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505" documentId="8_{B3461D10-0AC6-4053-8C6A-2E967DC7521E}" xr6:coauthVersionLast="47" xr6:coauthVersionMax="47" xr10:uidLastSave="{01A69400-3AF4-415B-AB37-4456E6672C3B}"/>
  <bookViews>
    <workbookView xWindow="39825" yWindow="2775" windowWidth="19890" windowHeight="16080" xr2:uid="{8B1725A7-9C4D-4573-A9FA-0F242F67C6A3}"/>
  </bookViews>
  <sheets>
    <sheet name="ShipmentDownload" sheetId="3" r:id="rId1"/>
    <sheet name="Summary" sheetId="4" r:id="rId2"/>
    <sheet name="Shipment" sheetId="8" r:id="rId3"/>
    <sheet name="Sheet2" sheetId="6" r:id="rId4"/>
    <sheet name="Sheet3" sheetId="7" r:id="rId5"/>
  </sheets>
  <definedNames>
    <definedName name="_xlnm._FilterDatabase" localSheetId="0" hidden="1">ShipmentDownload!$B$1:$K$37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6" l="1"/>
  <c r="D5" i="6"/>
  <c r="D4" i="6"/>
  <c r="D3" i="6"/>
  <c r="D2" i="6"/>
  <c r="D2" i="4"/>
  <c r="D3" i="4"/>
  <c r="D4" i="4"/>
  <c r="D5" i="4"/>
  <c r="D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2" i="3"/>
  <c r="AC1" i="3"/>
  <c r="M1" i="3" s="1"/>
  <c r="N2" i="3" l="1" a="1"/>
  <c r="N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<sst xmlns="http://schemas.openxmlformats.org/spreadsheetml/2006/main" count="244" uniqueCount="106">
  <si>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</si>
  <si>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</si>
  <si>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</si>
  <si>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</si>
  <si>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</si>
  <si>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​</t>
    <phoneticPr fontId="1" type="noConversion"/>
  </si>
  <si>
    <t>Ticket ID</t>
    <phoneticPr fontId="1" type="noConversion"/>
  </si>
  <si>
    <t>Ticket Name</t>
    <phoneticPr fontId="1" type="noConversion"/>
  </si>
  <si>
    <t>Severity</t>
    <phoneticPr fontId="1" type="noConversion"/>
  </si>
  <si>
    <t>Ticket Sub-Type</t>
    <phoneticPr fontId="1" type="noConversion"/>
  </si>
  <si>
    <t>Customer</t>
    <phoneticPr fontId="1" type="noConversion"/>
  </si>
  <si>
    <t>Assigned to</t>
    <phoneticPr fontId="1" type="noConversion"/>
  </si>
  <si>
    <t>Stage</t>
    <phoneticPr fontId="1" type="noConversion"/>
  </si>
  <si>
    <t>Visitor name</t>
    <phoneticPr fontId="1" type="noConversion"/>
  </si>
  <si>
    <t>Created on</t>
  </si>
  <si>
    <t>Text</t>
    <phoneticPr fontId="1" type="noConversion"/>
  </si>
  <si>
    <t>May</t>
    <phoneticPr fontId="1" type="noConversion"/>
  </si>
  <si>
    <t>Sep</t>
    <phoneticPr fontId="1" type="noConversion"/>
  </si>
  <si>
    <t>Aug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</si>
  <si>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</si>
  <si>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</si>
  <si>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</si>
  <si>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Jun</t>
    <phoneticPr fontId="1" type="noConversion"/>
  </si>
  <si>
    <t>Apr</t>
    <phoneticPr fontId="1" type="noConversion"/>
  </si>
  <si>
    <t>Jul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</si>
  <si>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</si>
  <si>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</si>
  <si>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</si>
  <si>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Mid</t>
    <phoneticPr fontId="1" type="noConversion"/>
  </si>
  <si>
    <t>Visitor name</t>
  </si>
  <si>
    <t>S-4</t>
  </si>
  <si>
    <t>문민주</t>
  </si>
  <si>
    <t>Completed</t>
  </si>
  <si>
    <t>Charge Temp Storage</t>
  </si>
  <si>
    <t>DEK SEL1</t>
  </si>
  <si>
    <t>Baatarbyek Ryskhan</t>
  </si>
  <si>
    <t>Cancelled</t>
  </si>
  <si>
    <t>usnoc@pccwglobal.com</t>
  </si>
  <si>
    <t>정진환 부장</t>
  </si>
  <si>
    <t>__export__.helpdesk_ticket_4261_46e5e468</t>
  </si>
  <si>
    <t>[TEST] Shipment Outbound (20230420-001)</t>
  </si>
  <si>
    <t>Rolland Wong (TEST)</t>
  </si>
  <si>
    <t>__export__.helpdesk_ticket_3924_83850ec5</t>
  </si>
  <si>
    <t>SFP module shipping for Syniverse (4F rack SEL1-4-1-S-010-C206 (4F-M16))</t>
  </si>
  <si>
    <t>__export__.helpdesk_ticket_3383_110d72ef</t>
  </si>
  <si>
    <t>[PUS1]INTEL SFP Module*8EA</t>
  </si>
  <si>
    <t>정현걸 팀장</t>
  </si>
  <si>
    <t>SeongWoo Choi</t>
  </si>
  <si>
    <t>__export__.helpdesk_ticket_1755_01b190bf</t>
  </si>
  <si>
    <t>Cisco SFP Module</t>
  </si>
  <si>
    <t>JeongWon Kim</t>
  </si>
  <si>
    <t>__export__.helpdesk_ticket_1642_29b90c9e</t>
  </si>
  <si>
    <t>Outbound shipment (PCCW)</t>
  </si>
  <si>
    <t>JunCheol Lee</t>
  </si>
  <si>
    <t>__export__.helpdesk_ticket_1508_30e8551d</t>
  </si>
  <si>
    <t>[Email] ASR-9010-FAN Shipment (PCCW)</t>
  </si>
  <si>
    <t>PCCW Global Korea Limited</t>
  </si>
  <si>
    <t>__export__.helpdesk_ticket_1484_9aff2512</t>
  </si>
  <si>
    <t>[PCCW] ASR-9010-FILTER</t>
  </si>
  <si>
    <t>JaeGu Kim</t>
  </si>
  <si>
    <t>__export__.helpdesk_ticket_991_7ed2f3e1</t>
  </si>
  <si>
    <t>RGA Equipment</t>
  </si>
  <si>
    <t>__export__.helpdesk_ticket_981_2e6d7168</t>
  </si>
  <si>
    <t>RGA Cable*10</t>
  </si>
  <si>
    <t>__export__.helpdesk_ticket_974_8bb563b5</t>
  </si>
  <si>
    <t>MTP Cable Shipment</t>
  </si>
  <si>
    <t>unchecked
​</t>
    <phoneticPr fontId="1" type="noConversion"/>
  </si>
  <si>
    <t>S-4</t>
    <phoneticPr fontId="1" type="noConversion"/>
  </si>
  <si>
    <t>문민주</t>
    <phoneticPr fontId="1" type="noConversion"/>
  </si>
  <si>
    <t>Completed</t>
    <phoneticPr fontId="1" type="noConversion"/>
  </si>
  <si>
    <t>Lumen Korea Shipment going to SEL1</t>
    <phoneticPr fontId="1" type="noConversion"/>
  </si>
  <si>
    <t>S-3</t>
    <phoneticPr fontId="1" type="noConversion"/>
  </si>
  <si>
    <t>박용서</t>
    <phoneticPr fontId="1" type="noConversion"/>
  </si>
  <si>
    <t>Hwang Nam Du</t>
    <phoneticPr fontId="1" type="noConversion"/>
  </si>
  <si>
    <t>소모품 박스 보관 요청(퀵배송)</t>
    <phoneticPr fontId="1" type="noConversion"/>
  </si>
  <si>
    <t>Cancelled</t>
    <phoneticPr fontId="1" type="noConversion"/>
  </si>
  <si>
    <t>Receive fiber cables</t>
    <phoneticPr fontId="1" type="noConversion"/>
  </si>
  <si>
    <t>SEL1 BMS용 네트워크 장비</t>
    <phoneticPr fontId="1" type="noConversion"/>
  </si>
  <si>
    <t>DEK SEL1</t>
    <phoneticPr fontId="1" type="noConversion"/>
  </si>
  <si>
    <t>Receive AC power cables</t>
    <phoneticPr fontId="1" type="noConversion"/>
  </si>
  <si>
    <t>정진환 부장</t>
    <phoneticPr fontId="1" type="noConversion"/>
  </si>
  <si>
    <t>장비 보관요청</t>
    <phoneticPr fontId="1" type="noConversion"/>
  </si>
  <si>
    <t>Receive part for Syniverse</t>
    <phoneticPr fontId="1" type="noConversion"/>
  </si>
  <si>
    <t>케이블 배송건</t>
    <phoneticPr fontId="1" type="noConversion"/>
  </si>
  <si>
    <t>헥토파이낸셜 철제선반반입</t>
    <phoneticPr fontId="1" type="noConversion"/>
  </si>
  <si>
    <t>박태호</t>
    <phoneticPr fontId="1" type="noConversion"/>
  </si>
  <si>
    <t>[TEST] Shipment Ticket - Outbound - SEL1 - with Loading Dock</t>
    <phoneticPr fontId="1" type="noConversion"/>
  </si>
  <si>
    <t>DEK Cross Connect</t>
    <phoneticPr fontId="1" type="noConversion"/>
  </si>
  <si>
    <t>[TEST] Shipment Inbound - 20230518001 with No Loading Dock</t>
    <phoneticPr fontId="1" type="noConversion"/>
  </si>
  <si>
    <t>자재보관 요청건(10x10cm 덕트 20개)</t>
    <phoneticPr fontId="1" type="noConversion"/>
  </si>
  <si>
    <t>shipping for Syniverse (4F rack SEL1-4-1-S-010-C206 (4F-M16))</t>
    <phoneticPr fontId="1" type="noConversion"/>
  </si>
  <si>
    <t>[TEST] Shipment Outbound (20230420-001)</t>
    <phoneticPr fontId="1" type="noConversion"/>
  </si>
  <si>
    <t>Rolland Wong (TEST)</t>
    <phoneticPr fontId="1" type="noConversion"/>
  </si>
  <si>
    <t>SFP module shipping for Syniverse (4F rack SEL1-4-1-S-010-C206 (4F-M16))</t>
    <phoneticPr fontId="1" type="noConversion"/>
  </si>
  <si>
    <t>[DLRY-1091] Anexia hardware delivery</t>
    <phoneticPr fontId="1" type="noConversion"/>
  </si>
  <si>
    <t>Lucian Cioltan</t>
    <phoneticPr fontId="1" type="noConversion"/>
  </si>
  <si>
    <t>Free Temp Storage</t>
    <phoneticPr fontId="1" type="noConversion"/>
  </si>
  <si>
    <t>퀵 수령</t>
    <phoneticPr fontId="1" type="noConversion"/>
  </si>
  <si>
    <t>부수자재 보관 요청</t>
    <phoneticPr fontId="1" type="noConversion"/>
  </si>
  <si>
    <t>[Email][PCCW] One box of 92 x optics</t>
    <phoneticPr fontId="1" type="noConversion"/>
  </si>
  <si>
    <t>Charge Temp Storage</t>
    <phoneticPr fontId="1" type="noConversion"/>
  </si>
  <si>
    <t>장비배송</t>
    <phoneticPr fontId="1" type="noConversion"/>
  </si>
  <si>
    <t>[Email][PCCW] 3 Cartons (SFP)</t>
    <phoneticPr fontId="1" type="noConversion"/>
  </si>
  <si>
    <t>usnoc@pccwglobal.com</t>
    <phoneticPr fontId="1" type="noConversion"/>
  </si>
  <si>
    <t>Receive cable</t>
    <phoneticPr fontId="1" type="noConversion"/>
  </si>
  <si>
    <t>[Lumen Korea] Juniper Module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</si>
</sst>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:ss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3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6" fillId="0" borderId="0" xfId="1" applyAlignment="1">
      <alignment wrapText="1"/>
    </xf>
    <xf numFmtId="0" fontId="0" fillId="0" borderId="0" xfId="0" applyAlignment="1">
      <alignment horizontal="center" vertical="center"/>
    </xf>
    <xf numFmtId="22" fontId="6" fillId="0" borderId="0" xfId="1" applyNumberFormat="1" applyAlignment="1">
      <alignment wrapText="1"/>
    </xf>
    <xf numFmtId="49" fontId="7" fillId="0" borderId="0" xfId="1" applyNumberFormat="1" applyFont="1" applyAlignment="1">
      <alignment horizont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22" fontId="0" fillId="3" borderId="0" xfId="0" applyNumberFormat="1" applyFill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4" borderId="0" xfId="1" applyFont="1" applyFill="1" applyAlignment="1">
      <alignment horizontal="center" vertical="center"/>
    </xf>
    <xf numFmtId="49" fontId="7" fillId="4" borderId="0" xfId="1" applyNumberFormat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7" fillId="7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/>
    </xf>
    <xf numFmtId="0" fontId="8" fillId="8" borderId="0" xfId="0" applyFont="1" applyFill="1" applyAlignment="1">
      <alignment horizontal="center" vertical="center"/>
    </xf>
    <xf numFmtId="0" fontId="7" fillId="6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0" fontId="5" fillId="0" borderId="7" xfId="0" applyFont="1" applyBorder="1" applyAlignment="1">
      <alignment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4" xfId="0" applyFont="1" applyBorder="1" applyAlignment="1">
      <alignment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dimension ref="A1:AC200"/>
  <sheetViews>
    <sheetView tabSelected="1" topLeftCell="G1" workbookViewId="0">
      <selection activeCell="K1" sqref="K1"/>
    </sheetView>
  </sheetViews>
  <sheetFormatPr defaultRowHeight="17.399999999999999" x14ac:dyDescent="0.4"/>
  <cols>
    <col min="2" max="2" width="39.5" customWidth="1"/>
    <col min="3" max="3" width="30.5" bestFit="1" customWidth="1"/>
    <col min="4" max="4" width="21.3984375" bestFit="1" customWidth="1"/>
    <col min="5" max="5" width="18.09765625" bestFit="1" customWidth="1"/>
    <col min="6" max="6" width="20.5" style="6" bestFit="1" customWidth="1"/>
    <col min="7" max="7" width="15.59765625" bestFit="1" customWidth="1"/>
    <col min="8" max="8" width="23.59765625" customWidth="1"/>
    <col min="9" max="9" width="21.296875" customWidth="1"/>
    <col min="10" max="10" width="17.19921875" style="6" bestFit="1" customWidth="1"/>
    <col min="11" max="11" width="19.5" bestFit="1" customWidth="1"/>
    <col min="12" max="12" width="19.5" customWidth="1"/>
    <col min="13" max="13" width="15.5" bestFit="1" customWidth="1"/>
    <col min="14" max="14" width="11.59765625" style="6" bestFit="1" customWidth="1"/>
    <col min="15" max="15" width="10.8984375" bestFit="1" customWidth="1"/>
    <col min="17" max="17" width="36.69921875" bestFit="1" customWidth="1"/>
    <col min="19" max="19" width="16.5" bestFit="1" customWidth="1"/>
    <col min="20" max="20" width="10.3984375" bestFit="1" customWidth="1"/>
    <col min="21" max="21" width="12.5" bestFit="1" customWidth="1"/>
    <col min="22" max="22" width="21.19921875" bestFit="1" customWidth="1"/>
    <col min="23" max="23" width="13.19921875" bestFit="1" customWidth="1"/>
    <col min="24" max="24" width="21" bestFit="1" customWidth="1"/>
  </cols>
  <sheetData>
    <row r="1" spans="1:29" x14ac:dyDescent="0.4">
      <c r="A1" s="22" t="s">
        <v>28</v>
      </c>
      <c r="B1" s="19" t="s">
        <v>5</v>
      </c>
      <c r="C1" s="19" t="s">
        <v>6</v>
      </c>
      <c r="D1" s="19" t="s">
        <v>7</v>
      </c>
      <c r="E1" s="19" t="s">
        <v>8</v>
      </c>
      <c r="F1" s="19" t="s">
        <v>9</v>
      </c>
      <c r="G1" s="19" t="s">
        <v>10</v>
      </c>
      <c r="H1" s="19" t="s">
        <v>11</v>
      </c>
      <c r="I1" s="19" t="s">
        <v>12</v>
      </c>
      <c r="J1" s="23" t="s">
        <v>29</v>
      </c>
      <c r="K1" s="20" t="s">
        <v>14</v>
      </c>
      <c r="L1" s="8"/>
      <c r="M1" s="11" t="str">
        <f>AC1</f>
        <v>Aug</v>
      </c>
      <c r="N1" s="14" t="s">
        <v>15</v>
      </c>
      <c r="O1" s="15" t="s">
        <v>5</v>
      </c>
      <c r="P1" s="15" t="s">
        <v>6</v>
      </c>
      <c r="Q1" s="15" t="s">
        <v>7</v>
      </c>
      <c r="R1" s="15" t="s">
        <v>8</v>
      </c>
      <c r="S1" s="15" t="s">
        <v>9</v>
      </c>
      <c r="T1" s="15" t="s">
        <v>10</v>
      </c>
      <c r="U1" s="15" t="s">
        <v>11</v>
      </c>
      <c r="V1" s="15" t="s">
        <v>12</v>
      </c>
      <c r="W1" s="16" t="s">
        <v>13</v>
      </c>
      <c r="X1" s="17" t="s">
        <v>14</v>
      </c>
      <c r="Z1" s="21">
        <v>8</v>
      </c>
      <c r="AA1" s="6">
        <v>1</v>
      </c>
      <c r="AB1" s="6" t="s">
        <v>19</v>
      </c>
      <c r="AC1" s="18" t="str">
        <f>VLOOKUP(Z1,$AA$1:$AB$12,2,0)</f>
        <v>Aug</v>
      </c>
    </row>
    <row r="2" spans="1:29" ht="34.799999999999997" x14ac:dyDescent="0.4">
      <c r="A2" s="24" t="str">
        <f>MID(K2,4,3)</f>
        <v>71.</v>
      </c>
      <c r="B2" s="5" t="s">
        <v>66</v>
      </c>
      <c r="C2" s="26">
        <v>9307</v>
      </c>
      <c r="D2" s="26" t="s">
        <v>94</v>
      </c>
      <c r="E2" s="26" t="s">
        <v>67</v>
      </c>
      <c r="F2" s="26"/>
      <c r="G2" s="26" t="s">
        <v>95</v>
      </c>
      <c r="H2" s="26"/>
      <c r="I2" s="26" t="s">
        <v>96</v>
      </c>
      <c r="J2" s="26"/>
      <c r="K2" s="27">
        <v>45171.062002314815</v>
      </c>
      <c r="L2" s="9"/>
      <c r="M2" s="1"/>
      <c r="N2" s="6" t="str" cm="1">
        <f t="array" ref="N2">_xlfn._xlws.FILTER($A$2:$K$200,($A$2:$A$200=M1),"결과값 없음")</f>
        <v>결과값 없음</v>
      </c>
      <c r="AA2" s="6">
        <v>2</v>
      </c>
      <c r="AB2" s="6" t="s">
        <v>20</v>
      </c>
    </row>
    <row r="3" spans="1:29" ht="34.799999999999997" x14ac:dyDescent="0.4">
      <c r="A3" s="24" t="str">
        <f t="shared" ref="A3:A37" si="0">MID(K3,4,3)</f>
        <v>62.</v>
      </c>
      <c r="B3" s="5" t="s">
        <v>66</v>
      </c>
      <c r="C3" s="26">
        <v>8968</v>
      </c>
      <c r="D3" s="26" t="s">
        <v>97</v>
      </c>
      <c r="E3" s="26" t="s">
        <v>67</v>
      </c>
      <c r="F3" s="26"/>
      <c r="G3" s="26" t="s">
        <v>68</v>
      </c>
      <c r="H3" s="26"/>
      <c r="I3" s="26" t="s">
        <v>69</v>
      </c>
      <c r="J3" s="26"/>
      <c r="K3" s="27">
        <v>45162.35359953704</v>
      </c>
      <c r="L3" s="9"/>
      <c r="M3" s="1"/>
      <c r="AA3" s="6">
        <v>3</v>
      </c>
      <c r="AB3" s="6" t="s">
        <v>21</v>
      </c>
    </row>
    <row r="4" spans="1:29" ht="34.799999999999997" x14ac:dyDescent="0.4">
      <c r="A4" s="24" t="str">
        <f t="shared" si="0"/>
        <v>54.</v>
      </c>
      <c r="B4" s="5" t="s">
        <v>66</v>
      </c>
      <c r="C4" s="26">
        <v>8628</v>
      </c>
      <c r="D4" s="26" t="s">
        <v>98</v>
      </c>
      <c r="E4" s="26" t="s">
        <v>67</v>
      </c>
      <c r="F4" s="26"/>
      <c r="G4" s="26" t="s">
        <v>68</v>
      </c>
      <c r="H4" s="26"/>
      <c r="I4" s="26" t="s">
        <v>69</v>
      </c>
      <c r="J4" s="26"/>
      <c r="K4" s="27">
        <v>45154.748749999999</v>
      </c>
      <c r="L4" s="9"/>
      <c r="AA4" s="6">
        <v>4</v>
      </c>
      <c r="AB4" s="6" t="s">
        <v>23</v>
      </c>
    </row>
    <row r="5" spans="1:29" ht="34.799999999999997" x14ac:dyDescent="0.4">
      <c r="A5" s="24" t="str">
        <f t="shared" si="0"/>
        <v>53.</v>
      </c>
      <c r="B5" s="5" t="s">
        <v>66</v>
      </c>
      <c r="C5" s="26">
        <v>8573</v>
      </c>
      <c r="D5" s="26" t="s">
        <v>99</v>
      </c>
      <c r="E5" s="26" t="s">
        <v>67</v>
      </c>
      <c r="F5" s="26"/>
      <c r="G5" s="26"/>
      <c r="H5" s="26"/>
      <c r="I5" s="26" t="s">
        <v>100</v>
      </c>
      <c r="J5" s="26"/>
      <c r="K5" s="27">
        <v>45153.587453703702</v>
      </c>
      <c r="L5" s="9"/>
      <c r="AA5" s="6">
        <v>5</v>
      </c>
      <c r="AB5" s="6" t="s">
        <v>16</v>
      </c>
    </row>
    <row r="6" spans="1:29" ht="34.799999999999997" x14ac:dyDescent="0.4">
      <c r="A6" s="24" t="str">
        <f t="shared" si="0"/>
        <v>48.</v>
      </c>
      <c r="B6" s="5" t="s">
        <v>66</v>
      </c>
      <c r="C6" s="26">
        <v>8457</v>
      </c>
      <c r="D6" s="26" t="s">
        <v>101</v>
      </c>
      <c r="E6" s="26" t="s">
        <v>67</v>
      </c>
      <c r="F6" s="26"/>
      <c r="G6" s="26" t="s">
        <v>68</v>
      </c>
      <c r="H6" s="26"/>
      <c r="I6" s="26" t="s">
        <v>69</v>
      </c>
      <c r="J6" s="26"/>
      <c r="K6" s="27">
        <v>45148.538344907407</v>
      </c>
      <c r="L6" s="9"/>
      <c r="AA6" s="6">
        <v>6</v>
      </c>
      <c r="AB6" s="6" t="s">
        <v>22</v>
      </c>
    </row>
    <row r="7" spans="1:29" ht="34.799999999999997" x14ac:dyDescent="0.4">
      <c r="A7" s="24" t="str">
        <f t="shared" si="0"/>
        <v>27.</v>
      </c>
      <c r="B7" s="5" t="s">
        <v>66</v>
      </c>
      <c r="C7" s="26">
        <v>7639</v>
      </c>
      <c r="D7" s="26" t="s">
        <v>102</v>
      </c>
      <c r="E7" s="26" t="s">
        <v>67</v>
      </c>
      <c r="F7" s="26"/>
      <c r="G7" s="26" t="s">
        <v>103</v>
      </c>
      <c r="H7" s="26"/>
      <c r="I7" s="26" t="s">
        <v>69</v>
      </c>
      <c r="J7" s="26"/>
      <c r="K7" s="27">
        <v>45127.480324074073</v>
      </c>
      <c r="L7" s="9"/>
      <c r="AA7" s="6">
        <v>7</v>
      </c>
      <c r="AB7" s="6" t="s">
        <v>24</v>
      </c>
    </row>
    <row r="8" spans="1:29" ht="34.799999999999997" x14ac:dyDescent="0.4">
      <c r="A8" s="24" t="str">
        <f t="shared" si="0"/>
        <v>26.</v>
      </c>
      <c r="B8" s="5" t="s">
        <v>66</v>
      </c>
      <c r="C8" s="26">
        <v>7603</v>
      </c>
      <c r="D8" s="26" t="s">
        <v>70</v>
      </c>
      <c r="E8" s="26" t="s">
        <v>71</v>
      </c>
      <c r="F8" s="26"/>
      <c r="G8" s="26" t="s">
        <v>72</v>
      </c>
      <c r="H8" s="26"/>
      <c r="I8" s="26" t="s">
        <v>69</v>
      </c>
      <c r="J8" s="26"/>
      <c r="K8" s="27">
        <v>45126.479108796295</v>
      </c>
      <c r="L8" s="9"/>
      <c r="AA8" s="6">
        <v>8</v>
      </c>
      <c r="AB8" s="6" t="s">
        <v>18</v>
      </c>
    </row>
    <row r="9" spans="1:29" ht="34.799999999999997" x14ac:dyDescent="0.4">
      <c r="A9" s="24" t="str">
        <f t="shared" si="0"/>
        <v>20.</v>
      </c>
      <c r="B9" s="5" t="s">
        <v>66</v>
      </c>
      <c r="C9" s="26">
        <v>7415</v>
      </c>
      <c r="D9" s="26" t="s">
        <v>104</v>
      </c>
      <c r="E9" s="26" t="s">
        <v>67</v>
      </c>
      <c r="F9" s="26"/>
      <c r="G9" s="26" t="s">
        <v>73</v>
      </c>
      <c r="H9" s="26"/>
      <c r="I9" s="26" t="s">
        <v>69</v>
      </c>
      <c r="J9" s="26"/>
      <c r="K9" s="27">
        <v>45120.549687500003</v>
      </c>
      <c r="L9" s="9"/>
      <c r="AA9" s="6">
        <v>9</v>
      </c>
      <c r="AB9" s="6" t="s">
        <v>17</v>
      </c>
    </row>
    <row r="10" spans="1:29" ht="34.799999999999997" x14ac:dyDescent="0.4">
      <c r="A10" s="24" t="str">
        <f t="shared" si="0"/>
        <v>20.</v>
      </c>
      <c r="B10" s="5" t="s">
        <v>66</v>
      </c>
      <c r="C10" s="26">
        <v>7397</v>
      </c>
      <c r="D10" s="26" t="s">
        <v>105</v>
      </c>
      <c r="E10" s="26" t="s">
        <v>67</v>
      </c>
      <c r="F10" s="26"/>
      <c r="G10" s="26" t="s">
        <v>72</v>
      </c>
      <c r="H10" s="26"/>
      <c r="I10" s="26" t="s">
        <v>69</v>
      </c>
      <c r="J10" s="26"/>
      <c r="K10" s="27">
        <v>45120.443287037036</v>
      </c>
      <c r="L10" s="9"/>
      <c r="AA10" s="6">
        <v>10</v>
      </c>
      <c r="AB10" s="6" t="s">
        <v>25</v>
      </c>
    </row>
    <row r="11" spans="1:29" ht="34.799999999999997" x14ac:dyDescent="0.4">
      <c r="A11" s="24" t="str">
        <f t="shared" si="0"/>
        <v>13.</v>
      </c>
      <c r="B11" s="5" t="s">
        <v>66</v>
      </c>
      <c r="C11" s="26">
        <v>7141</v>
      </c>
      <c r="D11" s="26" t="s">
        <v>74</v>
      </c>
      <c r="E11" s="26" t="s">
        <v>67</v>
      </c>
      <c r="F11" s="26"/>
      <c r="G11" s="26" t="s">
        <v>68</v>
      </c>
      <c r="H11" s="26"/>
      <c r="I11" s="26" t="s">
        <v>75</v>
      </c>
      <c r="J11" s="26"/>
      <c r="K11" s="27">
        <v>45113.683576388888</v>
      </c>
      <c r="L11" s="9"/>
      <c r="AA11" s="6">
        <v>11</v>
      </c>
      <c r="AB11" s="6" t="s">
        <v>26</v>
      </c>
    </row>
    <row r="12" spans="1:29" ht="34.799999999999997" x14ac:dyDescent="0.4">
      <c r="A12" s="24" t="str">
        <f t="shared" si="0"/>
        <v>13.</v>
      </c>
      <c r="B12" s="5" t="s">
        <v>66</v>
      </c>
      <c r="C12" s="26">
        <v>7116</v>
      </c>
      <c r="D12" s="26" t="s">
        <v>76</v>
      </c>
      <c r="E12" s="26" t="s">
        <v>67</v>
      </c>
      <c r="F12" s="26"/>
      <c r="G12" s="26" t="s">
        <v>73</v>
      </c>
      <c r="H12" s="26"/>
      <c r="I12" s="26" t="s">
        <v>69</v>
      </c>
      <c r="J12" s="26"/>
      <c r="K12" s="27">
        <v>45113.406319444446</v>
      </c>
      <c r="L12" s="9"/>
      <c r="AA12" s="6">
        <v>12</v>
      </c>
      <c r="AB12" s="6" t="s">
        <v>27</v>
      </c>
    </row>
    <row r="13" spans="1:29" ht="34.799999999999997" x14ac:dyDescent="0.4">
      <c r="A13" s="24" t="str">
        <f t="shared" si="0"/>
        <v>11.</v>
      </c>
      <c r="B13" s="5" t="s">
        <v>66</v>
      </c>
      <c r="C13" s="26">
        <v>7037</v>
      </c>
      <c r="D13" s="26" t="s">
        <v>77</v>
      </c>
      <c r="E13" s="26" t="s">
        <v>67</v>
      </c>
      <c r="F13" s="26"/>
      <c r="G13" s="26" t="s">
        <v>78</v>
      </c>
      <c r="H13" s="26"/>
      <c r="I13" s="26" t="s">
        <v>69</v>
      </c>
      <c r="J13" s="26"/>
      <c r="K13" s="27">
        <v>45111.512002314812</v>
      </c>
      <c r="L13" s="9"/>
    </row>
    <row r="14" spans="1:29" ht="34.799999999999997" x14ac:dyDescent="0.4">
      <c r="A14" s="24" t="str">
        <f t="shared" si="0"/>
        <v>10.</v>
      </c>
      <c r="B14" s="5" t="s">
        <v>66</v>
      </c>
      <c r="C14" s="26">
        <v>6985</v>
      </c>
      <c r="D14" s="26" t="s">
        <v>79</v>
      </c>
      <c r="E14" s="26" t="s">
        <v>67</v>
      </c>
      <c r="F14" s="26"/>
      <c r="G14" s="26" t="s">
        <v>80</v>
      </c>
      <c r="H14" s="26"/>
      <c r="I14" s="26" t="s">
        <v>69</v>
      </c>
      <c r="J14" s="26"/>
      <c r="K14" s="27">
        <v>45110.595104166663</v>
      </c>
      <c r="L14" s="9"/>
    </row>
    <row r="15" spans="1:29" ht="34.799999999999997" x14ac:dyDescent="0.4">
      <c r="A15" s="24" t="str">
        <f t="shared" si="0"/>
        <v>97.</v>
      </c>
      <c r="B15" s="5" t="s">
        <v>66</v>
      </c>
      <c r="C15" s="26">
        <v>6472</v>
      </c>
      <c r="D15" s="26" t="s">
        <v>81</v>
      </c>
      <c r="E15" s="26" t="s">
        <v>67</v>
      </c>
      <c r="F15" s="26"/>
      <c r="G15" s="26" t="s">
        <v>68</v>
      </c>
      <c r="H15" s="26"/>
      <c r="I15" s="26" t="s">
        <v>69</v>
      </c>
      <c r="J15" s="26"/>
      <c r="K15" s="27">
        <v>45097.616238425922</v>
      </c>
      <c r="L15" s="9"/>
    </row>
    <row r="16" spans="1:29" ht="34.799999999999997" x14ac:dyDescent="0.4">
      <c r="A16" s="24" t="str">
        <f t="shared" si="0"/>
        <v>97.</v>
      </c>
      <c r="B16" s="5" t="s">
        <v>66</v>
      </c>
      <c r="C16" s="26">
        <v>6448</v>
      </c>
      <c r="D16" s="26" t="s">
        <v>70</v>
      </c>
      <c r="E16" s="26" t="s">
        <v>67</v>
      </c>
      <c r="F16" s="26"/>
      <c r="G16" s="26" t="s">
        <v>72</v>
      </c>
      <c r="H16" s="26"/>
      <c r="I16" s="26" t="s">
        <v>69</v>
      </c>
      <c r="J16" s="26"/>
      <c r="K16" s="27">
        <v>45097.502754629626</v>
      </c>
      <c r="L16" s="9"/>
    </row>
    <row r="17" spans="1:12" ht="34.799999999999997" x14ac:dyDescent="0.4">
      <c r="A17" s="24" t="str">
        <f t="shared" si="0"/>
        <v>90.</v>
      </c>
      <c r="B17" s="5" t="s">
        <v>66</v>
      </c>
      <c r="C17" s="26">
        <v>6190</v>
      </c>
      <c r="D17" s="26" t="s">
        <v>82</v>
      </c>
      <c r="E17" s="26" t="s">
        <v>67</v>
      </c>
      <c r="F17" s="26"/>
      <c r="G17" s="26" t="s">
        <v>80</v>
      </c>
      <c r="H17" s="26"/>
      <c r="I17" s="26" t="s">
        <v>69</v>
      </c>
      <c r="J17" s="26"/>
      <c r="K17" s="27">
        <v>45090.695590277777</v>
      </c>
      <c r="L17" s="9"/>
    </row>
    <row r="18" spans="1:12" ht="34.799999999999997" x14ac:dyDescent="0.4">
      <c r="A18" s="24" t="str">
        <f t="shared" si="0"/>
        <v>86.</v>
      </c>
      <c r="B18" s="5" t="s">
        <v>66</v>
      </c>
      <c r="C18" s="26">
        <v>6041</v>
      </c>
      <c r="D18" s="26" t="s">
        <v>83</v>
      </c>
      <c r="E18" s="26" t="s">
        <v>67</v>
      </c>
      <c r="F18" s="26"/>
      <c r="G18" s="26" t="s">
        <v>68</v>
      </c>
      <c r="H18" s="26"/>
      <c r="I18" s="26" t="s">
        <v>69</v>
      </c>
      <c r="J18" s="26"/>
      <c r="K18" s="27">
        <v>45086.415092592593</v>
      </c>
      <c r="L18" s="9"/>
    </row>
    <row r="19" spans="1:12" ht="34.799999999999997" x14ac:dyDescent="0.4">
      <c r="A19" s="24" t="str">
        <f t="shared" si="0"/>
        <v>71.</v>
      </c>
      <c r="B19" s="5" t="s">
        <v>66</v>
      </c>
      <c r="C19" s="26">
        <v>5484</v>
      </c>
      <c r="D19" s="26" t="s">
        <v>84</v>
      </c>
      <c r="E19" s="26" t="s">
        <v>67</v>
      </c>
      <c r="F19" s="26"/>
      <c r="G19" s="26" t="s">
        <v>85</v>
      </c>
      <c r="H19" s="26"/>
      <c r="I19" s="26" t="s">
        <v>69</v>
      </c>
      <c r="J19" s="26"/>
      <c r="K19" s="27">
        <v>45071.599189814813</v>
      </c>
      <c r="L19" s="9"/>
    </row>
    <row r="20" spans="1:12" ht="52.2" x14ac:dyDescent="0.4">
      <c r="A20" s="24" t="str">
        <f t="shared" si="0"/>
        <v>64.</v>
      </c>
      <c r="B20" s="5" t="s">
        <v>66</v>
      </c>
      <c r="C20" s="26">
        <v>5231</v>
      </c>
      <c r="D20" s="26" t="s">
        <v>86</v>
      </c>
      <c r="E20" s="26" t="s">
        <v>67</v>
      </c>
      <c r="F20" s="26"/>
      <c r="G20" s="26" t="s">
        <v>87</v>
      </c>
      <c r="H20" s="26"/>
      <c r="I20" s="26" t="s">
        <v>75</v>
      </c>
      <c r="J20" s="26"/>
      <c r="K20" s="27">
        <v>45064.78392361111</v>
      </c>
      <c r="L20" s="9"/>
    </row>
    <row r="21" spans="1:12" ht="52.2" x14ac:dyDescent="0.4">
      <c r="A21" s="24" t="str">
        <f t="shared" si="0"/>
        <v>64.</v>
      </c>
      <c r="B21" s="5" t="s">
        <v>66</v>
      </c>
      <c r="C21" s="26">
        <v>5230</v>
      </c>
      <c r="D21" s="26" t="s">
        <v>88</v>
      </c>
      <c r="E21" s="26" t="s">
        <v>67</v>
      </c>
      <c r="F21" s="26"/>
      <c r="G21" s="26" t="s">
        <v>87</v>
      </c>
      <c r="H21" s="26"/>
      <c r="I21" s="26" t="s">
        <v>75</v>
      </c>
      <c r="J21" s="26"/>
      <c r="K21" s="27">
        <v>45064.78261574074</v>
      </c>
      <c r="L21" s="9"/>
    </row>
    <row r="22" spans="1:12" ht="34.799999999999997" x14ac:dyDescent="0.4">
      <c r="A22" s="24" t="str">
        <f t="shared" si="0"/>
        <v>58.</v>
      </c>
      <c r="B22" s="5" t="s">
        <v>66</v>
      </c>
      <c r="C22" s="26">
        <v>4935</v>
      </c>
      <c r="D22" s="26" t="s">
        <v>89</v>
      </c>
      <c r="E22" s="26" t="s">
        <v>67</v>
      </c>
      <c r="F22" s="26"/>
      <c r="G22" s="26" t="s">
        <v>68</v>
      </c>
      <c r="H22" s="26"/>
      <c r="I22" s="26" t="s">
        <v>69</v>
      </c>
      <c r="J22" s="26"/>
      <c r="K22" s="27">
        <v>45058.468738425923</v>
      </c>
      <c r="L22" s="9"/>
    </row>
    <row r="23" spans="1:12" ht="52.2" x14ac:dyDescent="0.4">
      <c r="A23" s="24" t="str">
        <f t="shared" si="0"/>
        <v>55.</v>
      </c>
      <c r="B23" s="5" t="s">
        <v>66</v>
      </c>
      <c r="C23" s="26">
        <v>4798</v>
      </c>
      <c r="D23" s="26" t="s">
        <v>90</v>
      </c>
      <c r="E23" s="26" t="s">
        <v>67</v>
      </c>
      <c r="F23" s="26"/>
      <c r="G23" s="26" t="s">
        <v>73</v>
      </c>
      <c r="H23" s="26"/>
      <c r="I23" s="26" t="s">
        <v>69</v>
      </c>
      <c r="J23" s="26"/>
      <c r="K23" s="27">
        <v>45055.589594907404</v>
      </c>
      <c r="L23" s="9"/>
    </row>
    <row r="24" spans="1:12" ht="52.2" x14ac:dyDescent="0.4">
      <c r="A24" s="24" t="str">
        <f t="shared" si="0"/>
        <v>55.</v>
      </c>
      <c r="B24" s="5" t="s">
        <v>66</v>
      </c>
      <c r="C24" s="26">
        <v>4797</v>
      </c>
      <c r="D24" s="26" t="s">
        <v>90</v>
      </c>
      <c r="E24" s="26" t="s">
        <v>67</v>
      </c>
      <c r="F24" s="26"/>
      <c r="G24" s="26" t="s">
        <v>73</v>
      </c>
      <c r="H24" s="26"/>
      <c r="I24" s="26" t="s">
        <v>75</v>
      </c>
      <c r="J24" s="26"/>
      <c r="K24" s="27">
        <v>45055.589594907404</v>
      </c>
      <c r="L24" s="9"/>
    </row>
    <row r="25" spans="1:12" ht="52.2" x14ac:dyDescent="0.4">
      <c r="A25" s="24" t="str">
        <f t="shared" si="0"/>
        <v>36.</v>
      </c>
      <c r="B25" s="5" t="s">
        <v>66</v>
      </c>
      <c r="C25" s="26">
        <v>4261</v>
      </c>
      <c r="D25" s="26" t="s">
        <v>91</v>
      </c>
      <c r="E25" s="26" t="s">
        <v>67</v>
      </c>
      <c r="F25" s="26"/>
      <c r="G25" s="26" t="s">
        <v>92</v>
      </c>
      <c r="H25" s="26"/>
      <c r="I25" s="26" t="s">
        <v>75</v>
      </c>
      <c r="J25" s="26"/>
      <c r="K25" s="27">
        <v>45036.852361111109</v>
      </c>
      <c r="L25" s="9"/>
    </row>
    <row r="26" spans="1:12" ht="69.599999999999994" x14ac:dyDescent="0.4">
      <c r="A26" s="24" t="str">
        <f t="shared" si="0"/>
        <v>27.</v>
      </c>
      <c r="B26" s="5" t="s">
        <v>66</v>
      </c>
      <c r="C26" s="26">
        <v>3924</v>
      </c>
      <c r="D26" s="26" t="s">
        <v>93</v>
      </c>
      <c r="E26" s="26" t="s">
        <v>67</v>
      </c>
      <c r="F26" s="26"/>
      <c r="G26" s="26" t="s">
        <v>80</v>
      </c>
      <c r="H26" s="26"/>
      <c r="I26" s="26" t="s">
        <v>69</v>
      </c>
      <c r="J26" s="26"/>
      <c r="K26" s="27">
        <v>45027.627800925926</v>
      </c>
      <c r="L26" s="9"/>
    </row>
    <row r="27" spans="1:12" x14ac:dyDescent="0.4">
      <c r="A27" s="24" t="str">
        <f t="shared" si="0"/>
        <v/>
      </c>
      <c r="B27" s="5"/>
      <c r="C27" s="26"/>
      <c r="D27" s="26"/>
      <c r="E27" s="26"/>
      <c r="F27" s="26"/>
      <c r="G27" s="26"/>
      <c r="H27" s="26"/>
      <c r="I27" s="26"/>
      <c r="J27" s="26"/>
      <c r="K27" s="27"/>
      <c r="L27" s="7"/>
    </row>
    <row r="28" spans="1:12" ht="52.2" x14ac:dyDescent="0.4">
      <c r="A28" s="24" t="str">
        <f t="shared" si="0"/>
        <v>36.</v>
      </c>
      <c r="B28" s="5"/>
      <c r="C28" s="26" t="s">
        <v>39</v>
      </c>
      <c r="D28" s="26" t="s">
        <v>40</v>
      </c>
      <c r="E28" s="26" t="s">
        <v>30</v>
      </c>
      <c r="F28" s="26"/>
      <c r="G28" s="26" t="s">
        <v>41</v>
      </c>
      <c r="H28" s="26"/>
      <c r="I28" s="26" t="s">
        <v>36</v>
      </c>
      <c r="J28" s="26"/>
      <c r="K28" s="27">
        <v>45036.852361111109</v>
      </c>
      <c r="L28" s="5"/>
    </row>
    <row r="29" spans="1:12" ht="69.599999999999994" x14ac:dyDescent="0.4">
      <c r="A29" s="24" t="str">
        <f t="shared" si="0"/>
        <v>27.</v>
      </c>
      <c r="B29" s="5"/>
      <c r="C29" s="26" t="s">
        <v>42</v>
      </c>
      <c r="D29" s="26" t="s">
        <v>43</v>
      </c>
      <c r="E29" s="26" t="s">
        <v>30</v>
      </c>
      <c r="F29" s="26"/>
      <c r="G29" s="26" t="s">
        <v>38</v>
      </c>
      <c r="H29" s="26"/>
      <c r="I29" s="26" t="s">
        <v>32</v>
      </c>
      <c r="J29" s="26"/>
      <c r="K29" s="27">
        <v>45027.627800925933</v>
      </c>
      <c r="L29" s="5"/>
    </row>
    <row r="30" spans="1:12" ht="34.799999999999997" x14ac:dyDescent="0.4">
      <c r="A30" s="24" t="str">
        <f t="shared" si="0"/>
        <v>12.</v>
      </c>
      <c r="B30" s="5"/>
      <c r="C30" s="26" t="s">
        <v>44</v>
      </c>
      <c r="D30" s="26" t="s">
        <v>45</v>
      </c>
      <c r="E30" s="26" t="s">
        <v>30</v>
      </c>
      <c r="F30" s="26"/>
      <c r="G30" s="26" t="s">
        <v>46</v>
      </c>
      <c r="H30" s="26" t="s">
        <v>47</v>
      </c>
      <c r="I30" s="26" t="s">
        <v>32</v>
      </c>
      <c r="J30" s="26"/>
      <c r="K30" s="27">
        <v>45012.549479166657</v>
      </c>
      <c r="L30" s="5"/>
    </row>
    <row r="31" spans="1:12" ht="34.799999999999997" x14ac:dyDescent="0.4">
      <c r="A31" s="24" t="str">
        <f t="shared" si="0"/>
        <v>56.</v>
      </c>
      <c r="B31" s="5"/>
      <c r="C31" s="26" t="s">
        <v>48</v>
      </c>
      <c r="D31" s="26" t="s">
        <v>49</v>
      </c>
      <c r="E31" s="26" t="s">
        <v>30</v>
      </c>
      <c r="F31" s="26"/>
      <c r="G31" s="26" t="s">
        <v>46</v>
      </c>
      <c r="H31" s="26" t="s">
        <v>50</v>
      </c>
      <c r="I31" s="26" t="s">
        <v>32</v>
      </c>
      <c r="J31" s="26"/>
      <c r="K31" s="27">
        <v>44956.705671296288</v>
      </c>
      <c r="L31" s="5"/>
    </row>
    <row r="32" spans="1:12" ht="34.799999999999997" x14ac:dyDescent="0.4">
      <c r="A32" s="24" t="str">
        <f t="shared" si="0"/>
        <v>46.</v>
      </c>
      <c r="B32" s="5"/>
      <c r="C32" s="26" t="s">
        <v>51</v>
      </c>
      <c r="D32" s="26" t="s">
        <v>52</v>
      </c>
      <c r="E32" s="26" t="s">
        <v>30</v>
      </c>
      <c r="F32" s="26"/>
      <c r="G32" s="26" t="s">
        <v>37</v>
      </c>
      <c r="H32" s="26" t="s">
        <v>53</v>
      </c>
      <c r="I32" s="26" t="s">
        <v>32</v>
      </c>
      <c r="J32" s="26"/>
      <c r="K32" s="27">
        <v>44946.412546296298</v>
      </c>
      <c r="L32" s="5"/>
    </row>
    <row r="33" spans="1:12" ht="34.799999999999997" x14ac:dyDescent="0.4">
      <c r="A33" s="24" t="str">
        <f t="shared" si="0"/>
        <v>37.</v>
      </c>
      <c r="B33" s="5"/>
      <c r="C33" s="26" t="s">
        <v>54</v>
      </c>
      <c r="D33" s="26" t="s">
        <v>55</v>
      </c>
      <c r="E33" s="26" t="s">
        <v>30</v>
      </c>
      <c r="F33" s="26"/>
      <c r="G33" s="26" t="s">
        <v>56</v>
      </c>
      <c r="H33" s="26" t="s">
        <v>35</v>
      </c>
      <c r="I33" s="26" t="s">
        <v>32</v>
      </c>
      <c r="J33" s="26"/>
      <c r="K33" s="27">
        <v>44937.577407407407</v>
      </c>
      <c r="L33" s="5"/>
    </row>
    <row r="34" spans="1:12" ht="34.799999999999997" x14ac:dyDescent="0.4">
      <c r="A34" s="24" t="str">
        <f t="shared" si="0"/>
        <v>36.</v>
      </c>
      <c r="B34" s="5"/>
      <c r="C34" s="26" t="s">
        <v>57</v>
      </c>
      <c r="D34" s="26" t="s">
        <v>58</v>
      </c>
      <c r="E34" s="26" t="s">
        <v>30</v>
      </c>
      <c r="F34" s="26"/>
      <c r="G34" s="26" t="s">
        <v>56</v>
      </c>
      <c r="H34" s="26" t="s">
        <v>59</v>
      </c>
      <c r="I34" s="26" t="s">
        <v>32</v>
      </c>
      <c r="J34" s="26"/>
      <c r="K34" s="27">
        <v>44936.560150462959</v>
      </c>
      <c r="L34" s="5"/>
    </row>
    <row r="35" spans="1:12" ht="34.799999999999997" x14ac:dyDescent="0.4">
      <c r="A35" s="24" t="str">
        <f t="shared" si="0"/>
        <v>97.</v>
      </c>
      <c r="B35" s="5"/>
      <c r="C35" s="26" t="s">
        <v>60</v>
      </c>
      <c r="D35" s="26" t="s">
        <v>61</v>
      </c>
      <c r="E35" s="26" t="s">
        <v>30</v>
      </c>
      <c r="F35" s="26"/>
      <c r="G35" s="26" t="s">
        <v>46</v>
      </c>
      <c r="H35" s="26" t="s">
        <v>50</v>
      </c>
      <c r="I35" s="26" t="s">
        <v>32</v>
      </c>
      <c r="J35" s="26"/>
      <c r="K35" s="27">
        <v>44897.670856481483</v>
      </c>
      <c r="L35" s="5"/>
    </row>
    <row r="36" spans="1:12" ht="34.799999999999997" x14ac:dyDescent="0.4">
      <c r="A36" s="24" t="str">
        <f t="shared" si="0"/>
        <v>97.</v>
      </c>
      <c r="B36" s="5"/>
      <c r="C36" s="26" t="s">
        <v>62</v>
      </c>
      <c r="D36" s="26" t="s">
        <v>63</v>
      </c>
      <c r="E36" s="26" t="s">
        <v>30</v>
      </c>
      <c r="F36" s="26"/>
      <c r="G36" s="26" t="s">
        <v>46</v>
      </c>
      <c r="H36" s="26" t="s">
        <v>50</v>
      </c>
      <c r="I36" s="26" t="s">
        <v>32</v>
      </c>
      <c r="J36" s="26"/>
      <c r="K36" s="27">
        <v>44897.372199074067</v>
      </c>
      <c r="L36" s="5"/>
    </row>
    <row r="37" spans="1:12" ht="34.799999999999997" x14ac:dyDescent="0.4">
      <c r="A37" s="24" t="str">
        <f t="shared" si="0"/>
        <v>96.</v>
      </c>
      <c r="B37" s="5"/>
      <c r="C37" s="26" t="s">
        <v>64</v>
      </c>
      <c r="D37" s="26" t="s">
        <v>65</v>
      </c>
      <c r="E37" s="26" t="s">
        <v>30</v>
      </c>
      <c r="F37" s="26"/>
      <c r="G37" s="26" t="s">
        <v>46</v>
      </c>
      <c r="H37" s="26" t="s">
        <v>50</v>
      </c>
      <c r="I37" s="26" t="s">
        <v>32</v>
      </c>
      <c r="J37" s="26"/>
      <c r="K37" s="27">
        <v>44896.684745370367</v>
      </c>
      <c r="L37" s="5"/>
    </row>
    <row r="38" spans="1:12" x14ac:dyDescent="0.4">
      <c r="A38" s="25"/>
    </row>
    <row r="39" spans="1:12" x14ac:dyDescent="0.4">
      <c r="A39" s="25"/>
    </row>
    <row r="40" spans="1:12" x14ac:dyDescent="0.4">
      <c r="A40" s="25"/>
    </row>
    <row r="41" spans="1:12" x14ac:dyDescent="0.4">
      <c r="A41" s="25"/>
    </row>
    <row r="42" spans="1:12" x14ac:dyDescent="0.4">
      <c r="A42" s="25"/>
    </row>
    <row r="43" spans="1:12" x14ac:dyDescent="0.4">
      <c r="A43" s="25"/>
    </row>
    <row r="44" spans="1:12" x14ac:dyDescent="0.4">
      <c r="A44" s="25"/>
    </row>
    <row r="45" spans="1:12" x14ac:dyDescent="0.4">
      <c r="A45" s="25"/>
    </row>
    <row r="46" spans="1:12" x14ac:dyDescent="0.4">
      <c r="A46" s="25"/>
    </row>
    <row r="47" spans="1:12" x14ac:dyDescent="0.4">
      <c r="A47" s="25"/>
    </row>
    <row r="48" spans="1:12" x14ac:dyDescent="0.4">
      <c r="A48" s="25"/>
    </row>
    <row r="49" spans="1:1" x14ac:dyDescent="0.4">
      <c r="A49" s="25"/>
    </row>
    <row r="50" spans="1:1" x14ac:dyDescent="0.4">
      <c r="A50" s="25"/>
    </row>
    <row r="51" spans="1:1" x14ac:dyDescent="0.4">
      <c r="A51" s="25"/>
    </row>
    <row r="52" spans="1:1" x14ac:dyDescent="0.4">
      <c r="A52" s="25"/>
    </row>
    <row r="53" spans="1:1" x14ac:dyDescent="0.4">
      <c r="A53" s="25"/>
    </row>
    <row r="54" spans="1:1" x14ac:dyDescent="0.4">
      <c r="A54" s="25"/>
    </row>
    <row r="55" spans="1:1" x14ac:dyDescent="0.4">
      <c r="A55" s="25"/>
    </row>
    <row r="56" spans="1:1" x14ac:dyDescent="0.4">
      <c r="A56" s="25"/>
    </row>
    <row r="57" spans="1:1" x14ac:dyDescent="0.4">
      <c r="A57" s="25"/>
    </row>
    <row r="58" spans="1:1" x14ac:dyDescent="0.4">
      <c r="A58" s="25"/>
    </row>
    <row r="59" spans="1:1" x14ac:dyDescent="0.4">
      <c r="A59" s="25"/>
    </row>
    <row r="60" spans="1:1" x14ac:dyDescent="0.4">
      <c r="A60" s="25"/>
    </row>
    <row r="61" spans="1:1" x14ac:dyDescent="0.4">
      <c r="A61" s="25"/>
    </row>
    <row r="62" spans="1:1" x14ac:dyDescent="0.4">
      <c r="A62" s="25"/>
    </row>
    <row r="63" spans="1:1" x14ac:dyDescent="0.4">
      <c r="A63" s="25"/>
    </row>
    <row r="64" spans="1:1" x14ac:dyDescent="0.4">
      <c r="A64" s="25"/>
    </row>
    <row r="65" spans="1:1" x14ac:dyDescent="0.4">
      <c r="A65" s="25"/>
    </row>
    <row r="66" spans="1:1" x14ac:dyDescent="0.4">
      <c r="A66" s="25"/>
    </row>
    <row r="67" spans="1:1" x14ac:dyDescent="0.4">
      <c r="A67" s="25"/>
    </row>
    <row r="68" spans="1:1" x14ac:dyDescent="0.4">
      <c r="A68" s="25"/>
    </row>
    <row r="69" spans="1:1" x14ac:dyDescent="0.4">
      <c r="A69" s="25"/>
    </row>
    <row r="70" spans="1:1" x14ac:dyDescent="0.4">
      <c r="A70" s="25"/>
    </row>
    <row r="71" spans="1:1" x14ac:dyDescent="0.4">
      <c r="A71" s="25"/>
    </row>
    <row r="72" spans="1:1" x14ac:dyDescent="0.4">
      <c r="A72" s="25"/>
    </row>
    <row r="73" spans="1:1" x14ac:dyDescent="0.4">
      <c r="A73" s="25"/>
    </row>
    <row r="74" spans="1:1" x14ac:dyDescent="0.4">
      <c r="A74" s="25"/>
    </row>
    <row r="75" spans="1:1" x14ac:dyDescent="0.4">
      <c r="A75" s="25"/>
    </row>
    <row r="76" spans="1:1" x14ac:dyDescent="0.4">
      <c r="A76" s="25"/>
    </row>
    <row r="77" spans="1:1" x14ac:dyDescent="0.4">
      <c r="A77" s="25"/>
    </row>
    <row r="78" spans="1:1" x14ac:dyDescent="0.4">
      <c r="A78" s="25"/>
    </row>
    <row r="79" spans="1:1" x14ac:dyDescent="0.4">
      <c r="A79" s="25"/>
    </row>
    <row r="80" spans="1:1" x14ac:dyDescent="0.4">
      <c r="A80" s="25"/>
    </row>
    <row r="81" spans="1:1" x14ac:dyDescent="0.4">
      <c r="A81" s="25"/>
    </row>
    <row r="82" spans="1:1" x14ac:dyDescent="0.4">
      <c r="A82" s="25"/>
    </row>
    <row r="83" spans="1:1" x14ac:dyDescent="0.4">
      <c r="A83" s="25"/>
    </row>
    <row r="84" spans="1:1" x14ac:dyDescent="0.4">
      <c r="A84" s="25"/>
    </row>
    <row r="85" spans="1:1" x14ac:dyDescent="0.4">
      <c r="A85" s="25"/>
    </row>
    <row r="86" spans="1:1" x14ac:dyDescent="0.4">
      <c r="A86" s="25"/>
    </row>
    <row r="87" spans="1:1" x14ac:dyDescent="0.4">
      <c r="A87" s="25"/>
    </row>
    <row r="88" spans="1:1" x14ac:dyDescent="0.4">
      <c r="A88" s="25"/>
    </row>
    <row r="89" spans="1:1" x14ac:dyDescent="0.4">
      <c r="A89" s="25"/>
    </row>
    <row r="90" spans="1:1" x14ac:dyDescent="0.4">
      <c r="A90" s="25"/>
    </row>
    <row r="91" spans="1:1" x14ac:dyDescent="0.4">
      <c r="A91" s="25"/>
    </row>
    <row r="92" spans="1:1" x14ac:dyDescent="0.4">
      <c r="A92" s="25"/>
    </row>
    <row r="93" spans="1:1" x14ac:dyDescent="0.4">
      <c r="A93" s="25"/>
    </row>
    <row r="94" spans="1:1" x14ac:dyDescent="0.4">
      <c r="A94" s="25"/>
    </row>
    <row r="95" spans="1:1" x14ac:dyDescent="0.4">
      <c r="A95" s="25"/>
    </row>
    <row r="96" spans="1:1" x14ac:dyDescent="0.4">
      <c r="A96" s="25"/>
    </row>
    <row r="97" spans="1:1" x14ac:dyDescent="0.4">
      <c r="A97" s="25"/>
    </row>
    <row r="98" spans="1:1" x14ac:dyDescent="0.4">
      <c r="A98" s="25"/>
    </row>
    <row r="99" spans="1:1" x14ac:dyDescent="0.4">
      <c r="A99" s="25"/>
    </row>
    <row r="100" spans="1:1" x14ac:dyDescent="0.4">
      <c r="A100" s="25"/>
    </row>
    <row r="101" spans="1:1" x14ac:dyDescent="0.4">
      <c r="A101" s="25"/>
    </row>
    <row r="102" spans="1:1" x14ac:dyDescent="0.4">
      <c r="A102" s="25"/>
    </row>
    <row r="103" spans="1:1" x14ac:dyDescent="0.4">
      <c r="A103" s="25"/>
    </row>
    <row r="104" spans="1:1" x14ac:dyDescent="0.4">
      <c r="A104" s="25"/>
    </row>
    <row r="105" spans="1:1" x14ac:dyDescent="0.4">
      <c r="A105" s="25"/>
    </row>
    <row r="106" spans="1:1" x14ac:dyDescent="0.4">
      <c r="A106" s="25"/>
    </row>
    <row r="107" spans="1:1" x14ac:dyDescent="0.4">
      <c r="A107" s="25"/>
    </row>
    <row r="108" spans="1:1" x14ac:dyDescent="0.4">
      <c r="A108" s="25"/>
    </row>
    <row r="109" spans="1:1" x14ac:dyDescent="0.4">
      <c r="A109" s="25"/>
    </row>
    <row r="110" spans="1:1" x14ac:dyDescent="0.4">
      <c r="A110" s="25"/>
    </row>
    <row r="111" spans="1:1" x14ac:dyDescent="0.4">
      <c r="A111" s="25"/>
    </row>
    <row r="112" spans="1:1" x14ac:dyDescent="0.4">
      <c r="A112" s="25"/>
    </row>
    <row r="113" spans="1:1" x14ac:dyDescent="0.4">
      <c r="A113" s="25"/>
    </row>
    <row r="114" spans="1:1" x14ac:dyDescent="0.4">
      <c r="A114" s="25"/>
    </row>
    <row r="115" spans="1:1" x14ac:dyDescent="0.4">
      <c r="A115" s="25"/>
    </row>
    <row r="116" spans="1:1" x14ac:dyDescent="0.4">
      <c r="A116" s="25"/>
    </row>
    <row r="117" spans="1:1" x14ac:dyDescent="0.4">
      <c r="A117" s="25"/>
    </row>
    <row r="118" spans="1:1" x14ac:dyDescent="0.4">
      <c r="A118" s="25"/>
    </row>
    <row r="119" spans="1:1" x14ac:dyDescent="0.4">
      <c r="A119" s="25"/>
    </row>
    <row r="120" spans="1:1" x14ac:dyDescent="0.4">
      <c r="A120" s="25"/>
    </row>
    <row r="121" spans="1:1" x14ac:dyDescent="0.4">
      <c r="A121" s="25"/>
    </row>
    <row r="122" spans="1:1" x14ac:dyDescent="0.4">
      <c r="A122" s="25"/>
    </row>
    <row r="123" spans="1:1" x14ac:dyDescent="0.4">
      <c r="A123" s="25"/>
    </row>
    <row r="124" spans="1:1" x14ac:dyDescent="0.4">
      <c r="A124" s="25"/>
    </row>
    <row r="125" spans="1:1" x14ac:dyDescent="0.4">
      <c r="A125" s="25"/>
    </row>
    <row r="126" spans="1:1" x14ac:dyDescent="0.4">
      <c r="A126" s="25"/>
    </row>
    <row r="127" spans="1:1" x14ac:dyDescent="0.4">
      <c r="A127" s="25"/>
    </row>
    <row r="128" spans="1:1" x14ac:dyDescent="0.4">
      <c r="A128" s="25"/>
    </row>
    <row r="129" spans="1:1" x14ac:dyDescent="0.4">
      <c r="A129" s="25"/>
    </row>
    <row r="130" spans="1:1" x14ac:dyDescent="0.4">
      <c r="A130" s="25"/>
    </row>
    <row r="131" spans="1:1" x14ac:dyDescent="0.4">
      <c r="A131" s="25"/>
    </row>
    <row r="132" spans="1:1" x14ac:dyDescent="0.4">
      <c r="A132" s="25"/>
    </row>
    <row r="133" spans="1:1" x14ac:dyDescent="0.4">
      <c r="A133" s="25"/>
    </row>
    <row r="134" spans="1:1" x14ac:dyDescent="0.4">
      <c r="A134" s="25"/>
    </row>
    <row r="135" spans="1:1" x14ac:dyDescent="0.4">
      <c r="A135" s="25"/>
    </row>
    <row r="136" spans="1:1" x14ac:dyDescent="0.4">
      <c r="A136" s="25"/>
    </row>
    <row r="137" spans="1:1" x14ac:dyDescent="0.4">
      <c r="A137" s="25"/>
    </row>
    <row r="138" spans="1:1" x14ac:dyDescent="0.4">
      <c r="A138" s="25"/>
    </row>
    <row r="139" spans="1:1" x14ac:dyDescent="0.4">
      <c r="A139" s="25"/>
    </row>
    <row r="140" spans="1:1" x14ac:dyDescent="0.4">
      <c r="A140" s="25"/>
    </row>
    <row r="141" spans="1:1" x14ac:dyDescent="0.4">
      <c r="A141" s="25"/>
    </row>
    <row r="142" spans="1:1" x14ac:dyDescent="0.4">
      <c r="A142" s="25"/>
    </row>
    <row r="143" spans="1:1" x14ac:dyDescent="0.4">
      <c r="A143" s="25"/>
    </row>
    <row r="144" spans="1:1" x14ac:dyDescent="0.4">
      <c r="A144" s="25"/>
    </row>
    <row r="145" spans="1:1" x14ac:dyDescent="0.4">
      <c r="A145" s="25"/>
    </row>
    <row r="146" spans="1:1" x14ac:dyDescent="0.4">
      <c r="A146" s="25"/>
    </row>
    <row r="147" spans="1:1" x14ac:dyDescent="0.4">
      <c r="A147" s="25"/>
    </row>
    <row r="148" spans="1:1" x14ac:dyDescent="0.4">
      <c r="A148" s="25"/>
    </row>
    <row r="149" spans="1:1" x14ac:dyDescent="0.4">
      <c r="A149" s="25"/>
    </row>
    <row r="150" spans="1:1" x14ac:dyDescent="0.4">
      <c r="A150" s="25"/>
    </row>
    <row r="151" spans="1:1" x14ac:dyDescent="0.4">
      <c r="A151" s="25"/>
    </row>
    <row r="152" spans="1:1" x14ac:dyDescent="0.4">
      <c r="A152" s="25"/>
    </row>
    <row r="153" spans="1:1" x14ac:dyDescent="0.4">
      <c r="A153" s="25"/>
    </row>
    <row r="154" spans="1:1" x14ac:dyDescent="0.4">
      <c r="A154" s="25"/>
    </row>
    <row r="155" spans="1:1" x14ac:dyDescent="0.4">
      <c r="A155" s="25"/>
    </row>
    <row r="156" spans="1:1" x14ac:dyDescent="0.4">
      <c r="A156" s="25"/>
    </row>
    <row r="157" spans="1:1" x14ac:dyDescent="0.4">
      <c r="A157" s="25"/>
    </row>
    <row r="158" spans="1:1" x14ac:dyDescent="0.4">
      <c r="A158" s="25"/>
    </row>
    <row r="159" spans="1:1" x14ac:dyDescent="0.4">
      <c r="A159" s="25"/>
    </row>
    <row r="160" spans="1:1" x14ac:dyDescent="0.4">
      <c r="A160" s="25"/>
    </row>
    <row r="161" spans="1:1" x14ac:dyDescent="0.4">
      <c r="A161" s="25"/>
    </row>
    <row r="162" spans="1:1" x14ac:dyDescent="0.4">
      <c r="A162" s="25"/>
    </row>
    <row r="163" spans="1:1" x14ac:dyDescent="0.4">
      <c r="A163" s="25"/>
    </row>
    <row r="164" spans="1:1" x14ac:dyDescent="0.4">
      <c r="A164" s="25"/>
    </row>
    <row r="165" spans="1:1" x14ac:dyDescent="0.4">
      <c r="A165" s="25"/>
    </row>
    <row r="166" spans="1:1" x14ac:dyDescent="0.4">
      <c r="A166" s="25"/>
    </row>
    <row r="167" spans="1:1" x14ac:dyDescent="0.4">
      <c r="A167" s="25"/>
    </row>
    <row r="168" spans="1:1" x14ac:dyDescent="0.4">
      <c r="A168" s="25"/>
    </row>
    <row r="169" spans="1:1" x14ac:dyDescent="0.4">
      <c r="A169" s="25"/>
    </row>
    <row r="170" spans="1:1" x14ac:dyDescent="0.4">
      <c r="A170" s="25"/>
    </row>
    <row r="171" spans="1:1" x14ac:dyDescent="0.4">
      <c r="A171" s="25"/>
    </row>
    <row r="172" spans="1:1" x14ac:dyDescent="0.4">
      <c r="A172" s="25"/>
    </row>
    <row r="173" spans="1:1" x14ac:dyDescent="0.4">
      <c r="A173" s="25"/>
    </row>
    <row r="174" spans="1:1" x14ac:dyDescent="0.4">
      <c r="A174" s="25"/>
    </row>
    <row r="175" spans="1:1" x14ac:dyDescent="0.4">
      <c r="A175" s="25"/>
    </row>
    <row r="176" spans="1:1" x14ac:dyDescent="0.4">
      <c r="A176" s="25"/>
    </row>
    <row r="177" spans="1:1" x14ac:dyDescent="0.4">
      <c r="A177" s="25"/>
    </row>
    <row r="178" spans="1:1" x14ac:dyDescent="0.4">
      <c r="A178" s="25"/>
    </row>
    <row r="179" spans="1:1" x14ac:dyDescent="0.4">
      <c r="A179" s="25"/>
    </row>
    <row r="180" spans="1:1" x14ac:dyDescent="0.4">
      <c r="A180" s="25"/>
    </row>
    <row r="181" spans="1:1" x14ac:dyDescent="0.4">
      <c r="A181" s="25"/>
    </row>
    <row r="182" spans="1:1" x14ac:dyDescent="0.4">
      <c r="A182" s="25"/>
    </row>
    <row r="183" spans="1:1" x14ac:dyDescent="0.4">
      <c r="A183" s="25"/>
    </row>
    <row r="184" spans="1:1" x14ac:dyDescent="0.4">
      <c r="A184" s="25"/>
    </row>
    <row r="185" spans="1:1" x14ac:dyDescent="0.4">
      <c r="A185" s="25"/>
    </row>
    <row r="186" spans="1:1" x14ac:dyDescent="0.4">
      <c r="A186" s="25"/>
    </row>
    <row r="187" spans="1:1" x14ac:dyDescent="0.4">
      <c r="A187" s="25"/>
    </row>
    <row r="188" spans="1:1" x14ac:dyDescent="0.4">
      <c r="A188" s="25"/>
    </row>
    <row r="189" spans="1:1" x14ac:dyDescent="0.4">
      <c r="A189" s="25"/>
    </row>
    <row r="190" spans="1:1" x14ac:dyDescent="0.4">
      <c r="A190" s="25"/>
    </row>
    <row r="191" spans="1:1" x14ac:dyDescent="0.4">
      <c r="A191" s="25"/>
    </row>
    <row r="192" spans="1:1" x14ac:dyDescent="0.4">
      <c r="A192" s="25"/>
    </row>
    <row r="193" spans="1:1" x14ac:dyDescent="0.4">
      <c r="A193" s="25"/>
    </row>
    <row r="194" spans="1:1" x14ac:dyDescent="0.4">
      <c r="A194" s="25"/>
    </row>
    <row r="195" spans="1:1" x14ac:dyDescent="0.4">
      <c r="A195" s="25"/>
    </row>
    <row r="196" spans="1:1" x14ac:dyDescent="0.4">
      <c r="A196" s="25"/>
    </row>
    <row r="197" spans="1:1" x14ac:dyDescent="0.4">
      <c r="A197" s="25"/>
    </row>
    <row r="198" spans="1:1" x14ac:dyDescent="0.4">
      <c r="A198" s="25"/>
    </row>
    <row r="199" spans="1:1" x14ac:dyDescent="0.4">
      <c r="A199" s="25"/>
    </row>
    <row r="200" spans="1:1" x14ac:dyDescent="0.4">
      <c r="A200" s="2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dimension ref="A1:K8"/>
  <sheetViews>
    <sheetView workbookViewId="0">
      <selection activeCell="C12" sqref="C12"/>
    </sheetView>
  </sheetViews>
  <sheetFormatPr defaultRowHeight="17.399999999999999" x14ac:dyDescent="0.4"/>
  <cols>
    <col min="1" max="1" width="12.5" bestFit="1" customWidth="1"/>
    <col min="4" max="4" width="12.5" bestFit="1" customWidth="1"/>
    <col min="5" max="5" width="10.3984375" bestFit="1" customWidth="1"/>
  </cols>
  <sheetData>
    <row r="1" spans="1:11" ht="18" thickBot="1" x14ac:dyDescent="0.45">
      <c r="A1" s="2" t="b">
        <v>0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4.6" customHeight="1" thickBot="1" x14ac:dyDescent="0.45">
      <c r="A2" s="4">
        <v>45162.35359953704</v>
      </c>
      <c r="B2" s="12">
        <v>8968</v>
      </c>
      <c r="C2" s="13" t="s">
        <v>31</v>
      </c>
      <c r="D2" s="13" t="str">
        <f>IF(ShipmentDownload!S2="","",ShipmentDownload!S2)</f>
        <v/>
      </c>
      <c r="E2" s="13" t="s">
        <v>32</v>
      </c>
      <c r="K2" s="10"/>
    </row>
    <row r="3" spans="1:11" ht="24.6" customHeight="1" thickBot="1" x14ac:dyDescent="0.45">
      <c r="A3" s="4">
        <v>45154.748749999999</v>
      </c>
      <c r="B3" s="12">
        <v>8628</v>
      </c>
      <c r="C3" s="13" t="s">
        <v>31</v>
      </c>
      <c r="D3" s="13" t="str">
        <f>IF(ShipmentDownload!S3="","",ShipmentDownload!S3)</f>
        <v/>
      </c>
      <c r="E3" s="13" t="s">
        <v>32</v>
      </c>
    </row>
    <row r="4" spans="1:11" ht="24.6" customHeight="1" thickBot="1" x14ac:dyDescent="0.45">
      <c r="A4" s="4">
        <v>45153.587453703702</v>
      </c>
      <c r="B4" s="12">
        <v>8573</v>
      </c>
      <c r="C4" s="13"/>
      <c r="D4" s="13" t="str">
        <f>IF(ShipmentDownload!S4="","",ShipmentDownload!S4)</f>
        <v/>
      </c>
      <c r="E4" s="13" t="s">
        <v>33</v>
      </c>
    </row>
    <row r="5" spans="1:11" ht="24.6" customHeight="1" thickBot="1" x14ac:dyDescent="0.45">
      <c r="A5" s="4">
        <v>45148.538344907407</v>
      </c>
      <c r="B5" s="12">
        <v>8457</v>
      </c>
      <c r="C5" s="13" t="s">
        <v>31</v>
      </c>
      <c r="D5" s="13" t="str">
        <f>IF(ShipmentDownload!S5="","",ShipmentDownload!S5)</f>
        <v/>
      </c>
      <c r="E5" s="13" t="s">
        <v>32</v>
      </c>
    </row>
    <row r="6" spans="1:11" ht="24.6" customHeight="1" thickBot="1" x14ac:dyDescent="0.45">
      <c r="A6" s="4">
        <v>45141.638287037043</v>
      </c>
      <c r="B6" s="12">
        <v>8196</v>
      </c>
      <c r="C6" s="13" t="s">
        <v>34</v>
      </c>
      <c r="D6" s="13" t="str">
        <f>IF(ShipmentDownload!S6="","",ShipmentDownload!S6)</f>
        <v/>
      </c>
      <c r="E6" s="13" t="s">
        <v>36</v>
      </c>
    </row>
    <row r="7" spans="1:11" ht="24.6" customHeight="1" x14ac:dyDescent="0.3">
      <c r="A7" s="28" t="s">
        <v>2</v>
      </c>
      <c r="B7" s="29"/>
      <c r="C7" s="29"/>
      <c r="D7" s="29"/>
      <c r="E7" s="30"/>
    </row>
    <row r="8" spans="1:11" ht="24.6" customHeight="1" thickBot="1" x14ac:dyDescent="0.35">
      <c r="A8" s="31"/>
      <c r="B8" s="32"/>
      <c r="C8" s="32"/>
      <c r="D8" s="32"/>
      <c r="E8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43E90-7101-44D9-8211-BD4F4A1EF364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8F6D-8B0F-448D-8814-6B74A2A4F512}">
  <dimension ref="A1:E8"/>
  <sheetViews>
    <sheetView workbookViewId="0">
      <selection sqref="A1:E8"/>
    </sheetView>
  </sheetViews>
  <sheetFormatPr defaultRowHeight="17.399999999999999" x14ac:dyDescent="0.4"/>
  <cols>
    <col min="1" max="1" width="12.5" bestFit="1" customWidth="1"/>
  </cols>
  <sheetData>
    <row r="1" spans="1:5" ht="18" thickBot="1" x14ac:dyDescent="0.45">
      <c r="A1" s="2" t="b">
        <v>0</v>
      </c>
      <c r="B1" s="3" t="s">
        <v>0</v>
      </c>
      <c r="C1" s="3" t="s">
        <v>3</v>
      </c>
      <c r="D1" s="3" t="s">
        <v>1</v>
      </c>
      <c r="E1" s="3" t="s">
        <v>4</v>
      </c>
    </row>
    <row r="2" spans="1:5" ht="18" thickBot="1" x14ac:dyDescent="0.45">
      <c r="A2" s="4">
        <v>45162.35359953704</v>
      </c>
      <c r="B2" s="12">
        <v>8968</v>
      </c>
      <c r="C2" s="13" t="s">
        <v>31</v>
      </c>
      <c r="D2" s="13" t="str">
        <f>IF(ShipmentDownload!S2="","",ShipmentDownload!S2)</f>
        <v/>
      </c>
      <c r="E2" s="13" t="s">
        <v>32</v>
      </c>
    </row>
    <row r="3" spans="1:5" ht="18" thickBot="1" x14ac:dyDescent="0.45">
      <c r="A3" s="4">
        <v>45154.748749999999</v>
      </c>
      <c r="B3" s="12">
        <v>8628</v>
      </c>
      <c r="C3" s="13" t="s">
        <v>31</v>
      </c>
      <c r="D3" s="13" t="str">
        <f>IF(ShipmentDownload!S3="","",ShipmentDownload!S3)</f>
        <v/>
      </c>
      <c r="E3" s="13" t="s">
        <v>32</v>
      </c>
    </row>
    <row r="4" spans="1:5" ht="29.4" thickBot="1" x14ac:dyDescent="0.45">
      <c r="A4" s="4">
        <v>45153.587453703702</v>
      </c>
      <c r="B4" s="12">
        <v>8573</v>
      </c>
      <c r="C4" s="13"/>
      <c r="D4" s="13" t="str">
        <f>IF(ShipmentDownload!S4="","",ShipmentDownload!S4)</f>
        <v/>
      </c>
      <c r="E4" s="13" t="s">
        <v>33</v>
      </c>
    </row>
    <row r="5" spans="1:5" ht="18" thickBot="1" x14ac:dyDescent="0.45">
      <c r="A5" s="4">
        <v>45148.538344907407</v>
      </c>
      <c r="B5" s="12">
        <v>8457</v>
      </c>
      <c r="C5" s="13" t="s">
        <v>31</v>
      </c>
      <c r="D5" s="13" t="str">
        <f>IF(ShipmentDownload!S5="","",ShipmentDownload!S5)</f>
        <v/>
      </c>
      <c r="E5" s="13" t="s">
        <v>32</v>
      </c>
    </row>
    <row r="6" spans="1:5" ht="18" thickBot="1" x14ac:dyDescent="0.45">
      <c r="A6" s="4">
        <v>45141.638287037043</v>
      </c>
      <c r="B6" s="12">
        <v>8196</v>
      </c>
      <c r="C6" s="13" t="s">
        <v>34</v>
      </c>
      <c r="D6" s="13" t="str">
        <f>IF(ShipmentDownload!S6="","",ShipmentDownload!S6)</f>
        <v/>
      </c>
      <c r="E6" s="13" t="s">
        <v>36</v>
      </c>
    </row>
    <row r="7" spans="1:5" ht="36" x14ac:dyDescent="0.3">
      <c r="A7" s="28" t="s">
        <v>2</v>
      </c>
      <c r="B7" s="29"/>
      <c r="C7" s="29"/>
      <c r="D7" s="29"/>
      <c r="E7" s="30"/>
    </row>
    <row r="8" spans="1:5" ht="18" thickBot="1" x14ac:dyDescent="0.35">
      <c r="A8" s="31"/>
      <c r="B8" s="32"/>
      <c r="C8" s="32"/>
      <c r="D8" s="32"/>
      <c r="E8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7793-D7D5-4213-8062-19613BEEB10E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ShipmentDownload</vt:lpstr>
      <vt:lpstr>Summary</vt:lpstr>
      <vt:lpstr>Shipment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2023-09-15T06:56:03Z</dcterms:modified>
</cp:coreProperties>
</file>