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BOSS통합버전+아웃룩일정추출/"/>
    </mc:Choice>
  </mc:AlternateContent>
  <xr:revisionPtr revIDLastSave="4909" documentId="8_{B3461D10-0AC6-4053-8C6A-2E967DC7521E}" xr6:coauthVersionLast="47" xr6:coauthVersionMax="47" xr10:uidLastSave="{BF731388-0D3B-4ACA-A18D-C23FA594FF11}"/>
  <bookViews>
    <workbookView xWindow="33720" yWindow="-120" windowWidth="51840" windowHeight="21840" firstSheet="7" activeTab="10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  <sheet name="Temp&amp;Hum_Download" sheetId="15" r:id="rId9"/>
    <sheet name="Temp&amp;Hum_Summary" sheetId="12" r:id="rId10"/>
    <sheet name="Power_Download" sheetId="13" r:id="rId11"/>
    <sheet name="Power_Summary" sheetId="16" r:id="rId12"/>
  </sheets>
  <definedNames>
    <definedName name="_xlnm._FilterDatabase" localSheetId="10" hidden="1">Power_Download!$A$3:$I$3</definedName>
    <definedName name="_xlnm._FilterDatabase" localSheetId="4" hidden="1">ShipmentDownload!$A$1:$L$3480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6" l="1"/>
  <c r="C3" i="16"/>
  <c r="C2" i="16"/>
  <c r="O2" i="12"/>
  <c r="F5" i="13"/>
  <c r="H5" i="13" s="1"/>
  <c r="F6" i="13"/>
  <c r="H6" i="13" s="1"/>
  <c r="F7" i="13"/>
  <c r="H7" i="13" s="1"/>
  <c r="F8" i="13"/>
  <c r="H8" i="13" s="1"/>
  <c r="F9" i="13"/>
  <c r="H9" i="13" s="1"/>
  <c r="F10" i="13"/>
  <c r="H10" i="13" s="1"/>
  <c r="F11" i="13"/>
  <c r="H11" i="13" s="1"/>
  <c r="F12" i="13"/>
  <c r="H12" i="13" s="1"/>
  <c r="F13" i="13"/>
  <c r="H13" i="13" s="1"/>
  <c r="F14" i="13"/>
  <c r="H14" i="13" s="1"/>
  <c r="F15" i="13"/>
  <c r="H15" i="13" s="1"/>
  <c r="F16" i="13"/>
  <c r="H16" i="13" s="1"/>
  <c r="F17" i="13"/>
  <c r="H17" i="13" s="1"/>
  <c r="F18" i="13"/>
  <c r="H18" i="13" s="1"/>
  <c r="F19" i="13"/>
  <c r="H19" i="13" s="1"/>
  <c r="F20" i="13"/>
  <c r="H20" i="13" s="1"/>
  <c r="F21" i="13"/>
  <c r="H21" i="13" s="1"/>
  <c r="F22" i="13"/>
  <c r="H22" i="13" s="1"/>
  <c r="F23" i="13"/>
  <c r="H23" i="13" s="1"/>
  <c r="F24" i="13"/>
  <c r="H24" i="13" s="1"/>
  <c r="F25" i="13"/>
  <c r="H25" i="13" s="1"/>
  <c r="F26" i="13"/>
  <c r="H26" i="13" s="1"/>
  <c r="F27" i="13"/>
  <c r="H27" i="13" s="1"/>
  <c r="F28" i="13"/>
  <c r="H28" i="13" s="1"/>
  <c r="F29" i="13"/>
  <c r="H29" i="13" s="1"/>
  <c r="F30" i="13"/>
  <c r="H30" i="13" s="1"/>
  <c r="F31" i="13"/>
  <c r="H31" i="13" s="1"/>
  <c r="F32" i="13"/>
  <c r="H32" i="13" s="1"/>
  <c r="F33" i="13"/>
  <c r="H33" i="13" s="1"/>
  <c r="F34" i="13"/>
  <c r="H34" i="13" s="1"/>
  <c r="F35" i="13"/>
  <c r="H35" i="13" s="1"/>
  <c r="F36" i="13"/>
  <c r="H36" i="13" s="1"/>
  <c r="F37" i="13"/>
  <c r="H37" i="13" s="1"/>
  <c r="F38" i="13"/>
  <c r="H38" i="13" s="1"/>
  <c r="F39" i="13"/>
  <c r="H39" i="13" s="1"/>
  <c r="F40" i="13"/>
  <c r="H40" i="13" s="1"/>
  <c r="F41" i="13"/>
  <c r="H41" i="13" s="1"/>
  <c r="F42" i="13"/>
  <c r="H42" i="13" s="1"/>
  <c r="F43" i="13"/>
  <c r="H43" i="13" s="1"/>
  <c r="F44" i="13"/>
  <c r="H44" i="13" s="1"/>
  <c r="F45" i="13"/>
  <c r="H45" i="13" s="1"/>
  <c r="F46" i="13"/>
  <c r="H46" i="13" s="1"/>
  <c r="F47" i="13"/>
  <c r="H47" i="13" s="1"/>
  <c r="F48" i="13"/>
  <c r="H48" i="13" s="1"/>
  <c r="F49" i="13"/>
  <c r="H49" i="13" s="1"/>
  <c r="F50" i="13"/>
  <c r="H50" i="13" s="1"/>
  <c r="F51" i="13"/>
  <c r="H51" i="13" s="1"/>
  <c r="F52" i="13"/>
  <c r="H52" i="13" s="1"/>
  <c r="F53" i="13"/>
  <c r="H53" i="13" s="1"/>
  <c r="F54" i="13"/>
  <c r="H54" i="13" s="1"/>
  <c r="F55" i="13"/>
  <c r="H55" i="13" s="1"/>
  <c r="F56" i="13"/>
  <c r="H56" i="13" s="1"/>
  <c r="F57" i="13"/>
  <c r="H57" i="13" s="1"/>
  <c r="F58" i="13"/>
  <c r="H58" i="13" s="1"/>
  <c r="F59" i="13"/>
  <c r="H59" i="13" s="1"/>
  <c r="F60" i="13"/>
  <c r="H60" i="13" s="1"/>
  <c r="F61" i="13"/>
  <c r="H61" i="13" s="1"/>
  <c r="F62" i="13"/>
  <c r="H62" i="13" s="1"/>
  <c r="F63" i="13"/>
  <c r="H63" i="13" s="1"/>
  <c r="F64" i="13"/>
  <c r="H64" i="13" s="1"/>
  <c r="F65" i="13"/>
  <c r="H65" i="13" s="1"/>
  <c r="F66" i="13"/>
  <c r="H66" i="13" s="1"/>
  <c r="F67" i="13"/>
  <c r="H67" i="13" s="1"/>
  <c r="F68" i="13"/>
  <c r="H68" i="13" s="1"/>
  <c r="F69" i="13"/>
  <c r="H69" i="13" s="1"/>
  <c r="F70" i="13"/>
  <c r="H70" i="13" s="1"/>
  <c r="F71" i="13"/>
  <c r="H71" i="13" s="1"/>
  <c r="F72" i="13"/>
  <c r="H72" i="13" s="1"/>
  <c r="F73" i="13"/>
  <c r="H73" i="13" s="1"/>
  <c r="F74" i="13"/>
  <c r="H74" i="13" s="1"/>
  <c r="F75" i="13"/>
  <c r="H75" i="13" s="1"/>
  <c r="F76" i="13"/>
  <c r="H76" i="13" s="1"/>
  <c r="F77" i="13"/>
  <c r="H77" i="13" s="1"/>
  <c r="F78" i="13"/>
  <c r="H78" i="13" s="1"/>
  <c r="F79" i="13"/>
  <c r="H79" i="13" s="1"/>
  <c r="F80" i="13"/>
  <c r="H80" i="13" s="1"/>
  <c r="F81" i="13"/>
  <c r="H81" i="13" s="1"/>
  <c r="F82" i="13"/>
  <c r="H82" i="13" s="1"/>
  <c r="F83" i="13"/>
  <c r="H83" i="13" s="1"/>
  <c r="F84" i="13"/>
  <c r="H84" i="13" s="1"/>
  <c r="F85" i="13"/>
  <c r="H85" i="13" s="1"/>
  <c r="F86" i="13"/>
  <c r="H86" i="13" s="1"/>
  <c r="F87" i="13"/>
  <c r="H87" i="13" s="1"/>
  <c r="F88" i="13"/>
  <c r="H88" i="13" s="1"/>
  <c r="F89" i="13"/>
  <c r="H89" i="13" s="1"/>
  <c r="F90" i="13"/>
  <c r="H90" i="13" s="1"/>
  <c r="F91" i="13"/>
  <c r="H91" i="13" s="1"/>
  <c r="F92" i="13"/>
  <c r="H92" i="13" s="1"/>
  <c r="F93" i="13"/>
  <c r="H93" i="13" s="1"/>
  <c r="F94" i="13"/>
  <c r="H94" i="13" s="1"/>
  <c r="F95" i="13"/>
  <c r="H95" i="13" s="1"/>
  <c r="F96" i="13"/>
  <c r="H96" i="13" s="1"/>
  <c r="F97" i="13"/>
  <c r="H97" i="13" s="1"/>
  <c r="F98" i="13"/>
  <c r="H98" i="13" s="1"/>
  <c r="F99" i="13"/>
  <c r="H99" i="13" s="1"/>
  <c r="F100" i="13"/>
  <c r="H100" i="13" s="1"/>
  <c r="F101" i="13"/>
  <c r="H101" i="13" s="1"/>
  <c r="F102" i="13"/>
  <c r="H102" i="13" s="1"/>
  <c r="F103" i="13"/>
  <c r="H103" i="13" s="1"/>
  <c r="F104" i="13"/>
  <c r="H104" i="13" s="1"/>
  <c r="F105" i="13"/>
  <c r="H105" i="13" s="1"/>
  <c r="F106" i="13"/>
  <c r="H106" i="13" s="1"/>
  <c r="F107" i="13"/>
  <c r="H107" i="13" s="1"/>
  <c r="F108" i="13"/>
  <c r="H108" i="13" s="1"/>
  <c r="F109" i="13"/>
  <c r="H109" i="13" s="1"/>
  <c r="F110" i="13"/>
  <c r="H110" i="13" s="1"/>
  <c r="F111" i="13"/>
  <c r="H111" i="13" s="1"/>
  <c r="F112" i="13"/>
  <c r="H112" i="13" s="1"/>
  <c r="F113" i="13"/>
  <c r="H113" i="13" s="1"/>
  <c r="F114" i="13"/>
  <c r="H114" i="13" s="1"/>
  <c r="F115" i="13"/>
  <c r="H115" i="13" s="1"/>
  <c r="F116" i="13"/>
  <c r="H116" i="13" s="1"/>
  <c r="F117" i="13"/>
  <c r="H117" i="13" s="1"/>
  <c r="F118" i="13"/>
  <c r="H118" i="13" s="1"/>
  <c r="F119" i="13"/>
  <c r="H119" i="13" s="1"/>
  <c r="F120" i="13"/>
  <c r="H120" i="13" s="1"/>
  <c r="F121" i="13"/>
  <c r="H121" i="13" s="1"/>
  <c r="F122" i="13"/>
  <c r="H122" i="13" s="1"/>
  <c r="F123" i="13"/>
  <c r="H123" i="13" s="1"/>
  <c r="F124" i="13"/>
  <c r="H124" i="13" s="1"/>
  <c r="F125" i="13"/>
  <c r="H125" i="13" s="1"/>
  <c r="F126" i="13"/>
  <c r="H126" i="13" s="1"/>
  <c r="F127" i="13"/>
  <c r="H127" i="13" s="1"/>
  <c r="F128" i="13"/>
  <c r="H128" i="13" s="1"/>
  <c r="F129" i="13"/>
  <c r="H129" i="13" s="1"/>
  <c r="F130" i="13"/>
  <c r="H130" i="13" s="1"/>
  <c r="F131" i="13"/>
  <c r="H131" i="13" s="1"/>
  <c r="F132" i="13"/>
  <c r="H132" i="13" s="1"/>
  <c r="F133" i="13"/>
  <c r="H133" i="13" s="1"/>
  <c r="F134" i="13"/>
  <c r="H134" i="13" s="1"/>
  <c r="F135" i="13"/>
  <c r="H135" i="13" s="1"/>
  <c r="F136" i="13"/>
  <c r="H136" i="13" s="1"/>
  <c r="F137" i="13"/>
  <c r="H137" i="13" s="1"/>
  <c r="F138" i="13"/>
  <c r="H138" i="13" s="1"/>
  <c r="F139" i="13"/>
  <c r="H139" i="13" s="1"/>
  <c r="F140" i="13"/>
  <c r="H140" i="13" s="1"/>
  <c r="F141" i="13"/>
  <c r="H141" i="13" s="1"/>
  <c r="F142" i="13"/>
  <c r="H142" i="13" s="1"/>
  <c r="F143" i="13"/>
  <c r="H143" i="13" s="1"/>
  <c r="F144" i="13"/>
  <c r="H144" i="13" s="1"/>
  <c r="F145" i="13"/>
  <c r="H145" i="13" s="1"/>
  <c r="F146" i="13"/>
  <c r="H146" i="13" s="1"/>
  <c r="F147" i="13"/>
  <c r="H147" i="13" s="1"/>
  <c r="F148" i="13"/>
  <c r="H148" i="13" s="1"/>
  <c r="F149" i="13"/>
  <c r="H149" i="13" s="1"/>
  <c r="F150" i="13"/>
  <c r="H150" i="13" s="1"/>
  <c r="F151" i="13"/>
  <c r="H151" i="13" s="1"/>
  <c r="F152" i="13"/>
  <c r="H152" i="13" s="1"/>
  <c r="F153" i="13"/>
  <c r="H153" i="13" s="1"/>
  <c r="F154" i="13"/>
  <c r="H154" i="13" s="1"/>
  <c r="F155" i="13"/>
  <c r="H155" i="13" s="1"/>
  <c r="F156" i="13"/>
  <c r="H156" i="13" s="1"/>
  <c r="F157" i="13"/>
  <c r="H157" i="13" s="1"/>
  <c r="F158" i="13"/>
  <c r="H158" i="13" s="1"/>
  <c r="F159" i="13"/>
  <c r="H159" i="13" s="1"/>
  <c r="F160" i="13"/>
  <c r="H160" i="13" s="1"/>
  <c r="F161" i="13"/>
  <c r="H161" i="13" s="1"/>
  <c r="F162" i="13"/>
  <c r="H162" i="13" s="1"/>
  <c r="F163" i="13"/>
  <c r="H163" i="13" s="1"/>
  <c r="F164" i="13"/>
  <c r="H164" i="13" s="1"/>
  <c r="F165" i="13"/>
  <c r="H165" i="13" s="1"/>
  <c r="F166" i="13"/>
  <c r="H166" i="13" s="1"/>
  <c r="F167" i="13"/>
  <c r="H167" i="13" s="1"/>
  <c r="F168" i="13"/>
  <c r="H168" i="13" s="1"/>
  <c r="F169" i="13"/>
  <c r="H169" i="13" s="1"/>
  <c r="F170" i="13"/>
  <c r="H170" i="13" s="1"/>
  <c r="F171" i="13"/>
  <c r="H171" i="13" s="1"/>
  <c r="F172" i="13"/>
  <c r="H172" i="13" s="1"/>
  <c r="F173" i="13"/>
  <c r="H173" i="13" s="1"/>
  <c r="F174" i="13"/>
  <c r="H174" i="13" s="1"/>
  <c r="F175" i="13"/>
  <c r="H175" i="13" s="1"/>
  <c r="F176" i="13"/>
  <c r="H176" i="13" s="1"/>
  <c r="F177" i="13"/>
  <c r="H177" i="13" s="1"/>
  <c r="F178" i="13"/>
  <c r="H178" i="13" s="1"/>
  <c r="F179" i="13"/>
  <c r="H179" i="13" s="1"/>
  <c r="F180" i="13"/>
  <c r="H180" i="13" s="1"/>
  <c r="F181" i="13"/>
  <c r="H181" i="13" s="1"/>
  <c r="F182" i="13"/>
  <c r="H182" i="13" s="1"/>
  <c r="F183" i="13"/>
  <c r="H183" i="13" s="1"/>
  <c r="F184" i="13"/>
  <c r="H184" i="13" s="1"/>
  <c r="F185" i="13"/>
  <c r="H185" i="13" s="1"/>
  <c r="F186" i="13"/>
  <c r="H186" i="13" s="1"/>
  <c r="F187" i="13"/>
  <c r="H187" i="13" s="1"/>
  <c r="F188" i="13"/>
  <c r="H188" i="13" s="1"/>
  <c r="F189" i="13"/>
  <c r="H189" i="13" s="1"/>
  <c r="F190" i="13"/>
  <c r="H190" i="13" s="1"/>
  <c r="F191" i="13"/>
  <c r="H191" i="13" s="1"/>
  <c r="F192" i="13"/>
  <c r="H192" i="13" s="1"/>
  <c r="F193" i="13"/>
  <c r="H193" i="13" s="1"/>
  <c r="F194" i="13"/>
  <c r="H194" i="13" s="1"/>
  <c r="F195" i="13"/>
  <c r="H195" i="13" s="1"/>
  <c r="F196" i="13"/>
  <c r="H196" i="13" s="1"/>
  <c r="F197" i="13"/>
  <c r="H197" i="13" s="1"/>
  <c r="F198" i="13"/>
  <c r="H198" i="13" s="1"/>
  <c r="F199" i="13"/>
  <c r="H199" i="13" s="1"/>
  <c r="F200" i="13"/>
  <c r="H200" i="13" s="1"/>
  <c r="F201" i="13"/>
  <c r="H201" i="13" s="1"/>
  <c r="F202" i="13"/>
  <c r="H202" i="13" s="1"/>
  <c r="F203" i="13"/>
  <c r="H203" i="13" s="1"/>
  <c r="F204" i="13"/>
  <c r="H204" i="13" s="1"/>
  <c r="F205" i="13"/>
  <c r="H205" i="13" s="1"/>
  <c r="F206" i="13"/>
  <c r="H206" i="13" s="1"/>
  <c r="F207" i="13"/>
  <c r="H207" i="13" s="1"/>
  <c r="F208" i="13"/>
  <c r="H208" i="13" s="1"/>
  <c r="F209" i="13"/>
  <c r="H209" i="13" s="1"/>
  <c r="F210" i="13"/>
  <c r="H210" i="13" s="1"/>
  <c r="F211" i="13"/>
  <c r="H211" i="13" s="1"/>
  <c r="F212" i="13"/>
  <c r="H212" i="13" s="1"/>
  <c r="F213" i="13"/>
  <c r="H213" i="13" s="1"/>
  <c r="F214" i="13"/>
  <c r="H214" i="13" s="1"/>
  <c r="F215" i="13"/>
  <c r="H215" i="13" s="1"/>
  <c r="F216" i="13"/>
  <c r="H216" i="13" s="1"/>
  <c r="F217" i="13"/>
  <c r="H217" i="13" s="1"/>
  <c r="F218" i="13"/>
  <c r="H218" i="13" s="1"/>
  <c r="F219" i="13"/>
  <c r="H219" i="13" s="1"/>
  <c r="F220" i="13"/>
  <c r="H220" i="13" s="1"/>
  <c r="F221" i="13"/>
  <c r="H221" i="13" s="1"/>
  <c r="F222" i="13"/>
  <c r="H222" i="13" s="1"/>
  <c r="F223" i="13"/>
  <c r="H223" i="13" s="1"/>
  <c r="F224" i="13"/>
  <c r="H224" i="13" s="1"/>
  <c r="F225" i="13"/>
  <c r="H225" i="13" s="1"/>
  <c r="F226" i="13"/>
  <c r="H226" i="13" s="1"/>
  <c r="F227" i="13"/>
  <c r="H227" i="13" s="1"/>
  <c r="F228" i="13"/>
  <c r="H228" i="13" s="1"/>
  <c r="F229" i="13"/>
  <c r="H229" i="13" s="1"/>
  <c r="F230" i="13"/>
  <c r="H230" i="13" s="1"/>
  <c r="F231" i="13"/>
  <c r="H231" i="13" s="1"/>
  <c r="F232" i="13"/>
  <c r="H232" i="13" s="1"/>
  <c r="F233" i="13"/>
  <c r="H233" i="13" s="1"/>
  <c r="F234" i="13"/>
  <c r="H234" i="13" s="1"/>
  <c r="F235" i="13"/>
  <c r="H235" i="13" s="1"/>
  <c r="F236" i="13"/>
  <c r="H236" i="13" s="1"/>
  <c r="F237" i="13"/>
  <c r="H237" i="13" s="1"/>
  <c r="F238" i="13"/>
  <c r="H238" i="13" s="1"/>
  <c r="F239" i="13"/>
  <c r="H239" i="13" s="1"/>
  <c r="F240" i="13"/>
  <c r="H240" i="13" s="1"/>
  <c r="F241" i="13"/>
  <c r="H241" i="13" s="1"/>
  <c r="F242" i="13"/>
  <c r="H242" i="13" s="1"/>
  <c r="F243" i="13"/>
  <c r="H243" i="13" s="1"/>
  <c r="F244" i="13"/>
  <c r="H244" i="13" s="1"/>
  <c r="F245" i="13"/>
  <c r="H245" i="13" s="1"/>
  <c r="F246" i="13"/>
  <c r="H246" i="13" s="1"/>
  <c r="F247" i="13"/>
  <c r="H247" i="13" s="1"/>
  <c r="F248" i="13"/>
  <c r="H248" i="13" s="1"/>
  <c r="F249" i="13"/>
  <c r="H249" i="13" s="1"/>
  <c r="F250" i="13"/>
  <c r="H250" i="13" s="1"/>
  <c r="F251" i="13"/>
  <c r="H251" i="13" s="1"/>
  <c r="F252" i="13"/>
  <c r="H252" i="13" s="1"/>
  <c r="F253" i="13"/>
  <c r="H253" i="13" s="1"/>
  <c r="F254" i="13"/>
  <c r="H254" i="13" s="1"/>
  <c r="F255" i="13"/>
  <c r="H255" i="13" s="1"/>
  <c r="F256" i="13"/>
  <c r="H256" i="13" s="1"/>
  <c r="F257" i="13"/>
  <c r="H257" i="13" s="1"/>
  <c r="F258" i="13"/>
  <c r="H258" i="13" s="1"/>
  <c r="F259" i="13"/>
  <c r="H259" i="13" s="1"/>
  <c r="F260" i="13"/>
  <c r="H260" i="13" s="1"/>
  <c r="F261" i="13"/>
  <c r="H261" i="13" s="1"/>
  <c r="F262" i="13"/>
  <c r="H262" i="13" s="1"/>
  <c r="F263" i="13"/>
  <c r="H263" i="13" s="1"/>
  <c r="F264" i="13"/>
  <c r="H264" i="13" s="1"/>
  <c r="F265" i="13"/>
  <c r="H265" i="13" s="1"/>
  <c r="F266" i="13"/>
  <c r="H266" i="13" s="1"/>
  <c r="F267" i="13"/>
  <c r="H267" i="13" s="1"/>
  <c r="F268" i="13"/>
  <c r="H268" i="13" s="1"/>
  <c r="F269" i="13"/>
  <c r="H269" i="13" s="1"/>
  <c r="F270" i="13"/>
  <c r="H270" i="13" s="1"/>
  <c r="F271" i="13"/>
  <c r="H271" i="13" s="1"/>
  <c r="F272" i="13"/>
  <c r="H272" i="13" s="1"/>
  <c r="F273" i="13"/>
  <c r="H273" i="13" s="1"/>
  <c r="F274" i="13"/>
  <c r="H274" i="13" s="1"/>
  <c r="F275" i="13"/>
  <c r="H275" i="13" s="1"/>
  <c r="F276" i="13"/>
  <c r="H276" i="13" s="1"/>
  <c r="F277" i="13"/>
  <c r="H277" i="13" s="1"/>
  <c r="F278" i="13"/>
  <c r="H278" i="13" s="1"/>
  <c r="F279" i="13"/>
  <c r="H279" i="13" s="1"/>
  <c r="F280" i="13"/>
  <c r="H280" i="13" s="1"/>
  <c r="F281" i="13"/>
  <c r="H281" i="13" s="1"/>
  <c r="F282" i="13"/>
  <c r="H282" i="13" s="1"/>
  <c r="F283" i="13"/>
  <c r="H283" i="13" s="1"/>
  <c r="F284" i="13"/>
  <c r="H284" i="13" s="1"/>
  <c r="F285" i="13"/>
  <c r="H285" i="13" s="1"/>
  <c r="F286" i="13"/>
  <c r="H286" i="13" s="1"/>
  <c r="F287" i="13"/>
  <c r="H287" i="13" s="1"/>
  <c r="F288" i="13"/>
  <c r="H288" i="13" s="1"/>
  <c r="F289" i="13"/>
  <c r="H289" i="13" s="1"/>
  <c r="F290" i="13"/>
  <c r="H290" i="13" s="1"/>
  <c r="F291" i="13"/>
  <c r="H291" i="13" s="1"/>
  <c r="F292" i="13"/>
  <c r="H292" i="13" s="1"/>
  <c r="F293" i="13"/>
  <c r="H293" i="13" s="1"/>
  <c r="F294" i="13"/>
  <c r="H294" i="13" s="1"/>
  <c r="F295" i="13"/>
  <c r="H295" i="13" s="1"/>
  <c r="F296" i="13"/>
  <c r="H296" i="13" s="1"/>
  <c r="F297" i="13"/>
  <c r="H297" i="13" s="1"/>
  <c r="F298" i="13"/>
  <c r="H298" i="13" s="1"/>
  <c r="F299" i="13"/>
  <c r="H299" i="13" s="1"/>
  <c r="F300" i="13"/>
  <c r="H300" i="13" s="1"/>
  <c r="F301" i="13"/>
  <c r="H301" i="13" s="1"/>
  <c r="F302" i="13"/>
  <c r="H302" i="13" s="1"/>
  <c r="F303" i="13"/>
  <c r="H303" i="13" s="1"/>
  <c r="F304" i="13"/>
  <c r="H304" i="13" s="1"/>
  <c r="F305" i="13"/>
  <c r="H305" i="13" s="1"/>
  <c r="F306" i="13"/>
  <c r="H306" i="13" s="1"/>
  <c r="F307" i="13"/>
  <c r="H307" i="13" s="1"/>
  <c r="F308" i="13"/>
  <c r="H308" i="13" s="1"/>
  <c r="F309" i="13"/>
  <c r="H309" i="13" s="1"/>
  <c r="F310" i="13"/>
  <c r="H310" i="13" s="1"/>
  <c r="F311" i="13"/>
  <c r="H311" i="13" s="1"/>
  <c r="F312" i="13"/>
  <c r="H312" i="13" s="1"/>
  <c r="F313" i="13"/>
  <c r="H313" i="13" s="1"/>
  <c r="F314" i="13"/>
  <c r="H314" i="13" s="1"/>
  <c r="F315" i="13"/>
  <c r="H315" i="13" s="1"/>
  <c r="F316" i="13"/>
  <c r="H316" i="13" s="1"/>
  <c r="F317" i="13"/>
  <c r="H317" i="13" s="1"/>
  <c r="F318" i="13"/>
  <c r="H318" i="13" s="1"/>
  <c r="F319" i="13"/>
  <c r="H319" i="13" s="1"/>
  <c r="F320" i="13"/>
  <c r="H320" i="13" s="1"/>
  <c r="F321" i="13"/>
  <c r="H321" i="13" s="1"/>
  <c r="F322" i="13"/>
  <c r="H322" i="13" s="1"/>
  <c r="F323" i="13"/>
  <c r="H323" i="13" s="1"/>
  <c r="F324" i="13"/>
  <c r="H324" i="13" s="1"/>
  <c r="F325" i="13"/>
  <c r="H325" i="13" s="1"/>
  <c r="F326" i="13"/>
  <c r="H326" i="13" s="1"/>
  <c r="F327" i="13"/>
  <c r="H327" i="13" s="1"/>
  <c r="F328" i="13"/>
  <c r="H328" i="13" s="1"/>
  <c r="F329" i="13"/>
  <c r="H329" i="13" s="1"/>
  <c r="F330" i="13"/>
  <c r="H330" i="13" s="1"/>
  <c r="F331" i="13"/>
  <c r="H331" i="13" s="1"/>
  <c r="F332" i="13"/>
  <c r="H332" i="13" s="1"/>
  <c r="F333" i="13"/>
  <c r="H333" i="13" s="1"/>
  <c r="F334" i="13"/>
  <c r="H334" i="13" s="1"/>
  <c r="F335" i="13"/>
  <c r="H335" i="13" s="1"/>
  <c r="F336" i="13"/>
  <c r="H336" i="13" s="1"/>
  <c r="F337" i="13"/>
  <c r="H337" i="13" s="1"/>
  <c r="F338" i="13"/>
  <c r="H338" i="13" s="1"/>
  <c r="F339" i="13"/>
  <c r="H339" i="13" s="1"/>
  <c r="F340" i="13"/>
  <c r="H340" i="13" s="1"/>
  <c r="F341" i="13"/>
  <c r="H341" i="13" s="1"/>
  <c r="F342" i="13"/>
  <c r="H342" i="13" s="1"/>
  <c r="F343" i="13"/>
  <c r="H343" i="13" s="1"/>
  <c r="F344" i="13"/>
  <c r="H344" i="13" s="1"/>
  <c r="F345" i="13"/>
  <c r="H345" i="13" s="1"/>
  <c r="F346" i="13"/>
  <c r="H346" i="13" s="1"/>
  <c r="F347" i="13"/>
  <c r="H347" i="13" s="1"/>
  <c r="F348" i="13"/>
  <c r="H348" i="13" s="1"/>
  <c r="F349" i="13"/>
  <c r="H349" i="13" s="1"/>
  <c r="F350" i="13"/>
  <c r="H350" i="13" s="1"/>
  <c r="F351" i="13"/>
  <c r="H351" i="13" s="1"/>
  <c r="F352" i="13"/>
  <c r="H352" i="13" s="1"/>
  <c r="F353" i="13"/>
  <c r="H353" i="13" s="1"/>
  <c r="F354" i="13"/>
  <c r="H354" i="13" s="1"/>
  <c r="F355" i="13"/>
  <c r="H355" i="13" s="1"/>
  <c r="F356" i="13"/>
  <c r="H356" i="13" s="1"/>
  <c r="F357" i="13"/>
  <c r="H357" i="13" s="1"/>
  <c r="F358" i="13"/>
  <c r="H358" i="13" s="1"/>
  <c r="F359" i="13"/>
  <c r="H359" i="13" s="1"/>
  <c r="F360" i="13"/>
  <c r="H360" i="13" s="1"/>
  <c r="F361" i="13"/>
  <c r="H361" i="13" s="1"/>
  <c r="F362" i="13"/>
  <c r="H362" i="13" s="1"/>
  <c r="F363" i="13"/>
  <c r="H363" i="13" s="1"/>
  <c r="F364" i="13"/>
  <c r="H364" i="13" s="1"/>
  <c r="F365" i="13"/>
  <c r="H365" i="13" s="1"/>
  <c r="F366" i="13"/>
  <c r="H366" i="13" s="1"/>
  <c r="F367" i="13"/>
  <c r="H367" i="13" s="1"/>
  <c r="F368" i="13"/>
  <c r="H368" i="13" s="1"/>
  <c r="F369" i="13"/>
  <c r="H369" i="13" s="1"/>
  <c r="F370" i="13"/>
  <c r="H370" i="13" s="1"/>
  <c r="F371" i="13"/>
  <c r="H371" i="13" s="1"/>
  <c r="F372" i="13"/>
  <c r="H372" i="13" s="1"/>
  <c r="F373" i="13"/>
  <c r="H373" i="13" s="1"/>
  <c r="F374" i="13"/>
  <c r="H374" i="13" s="1"/>
  <c r="F375" i="13"/>
  <c r="H375" i="13" s="1"/>
  <c r="F376" i="13"/>
  <c r="H376" i="13" s="1"/>
  <c r="F377" i="13"/>
  <c r="H377" i="13" s="1"/>
  <c r="F378" i="13"/>
  <c r="H378" i="13" s="1"/>
  <c r="F379" i="13"/>
  <c r="H379" i="13" s="1"/>
  <c r="F380" i="13"/>
  <c r="H380" i="13" s="1"/>
  <c r="F381" i="13"/>
  <c r="H381" i="13" s="1"/>
  <c r="F382" i="13"/>
  <c r="H382" i="13" s="1"/>
  <c r="F383" i="13"/>
  <c r="H383" i="13" s="1"/>
  <c r="F384" i="13"/>
  <c r="H384" i="13" s="1"/>
  <c r="F385" i="13"/>
  <c r="H385" i="13" s="1"/>
  <c r="F386" i="13"/>
  <c r="H386" i="13" s="1"/>
  <c r="F387" i="13"/>
  <c r="H387" i="13" s="1"/>
  <c r="F388" i="13"/>
  <c r="H388" i="13" s="1"/>
  <c r="F389" i="13"/>
  <c r="H389" i="13" s="1"/>
  <c r="F390" i="13"/>
  <c r="H390" i="13" s="1"/>
  <c r="F391" i="13"/>
  <c r="H391" i="13" s="1"/>
  <c r="F392" i="13"/>
  <c r="H392" i="13" s="1"/>
  <c r="F393" i="13"/>
  <c r="H393" i="13" s="1"/>
  <c r="F394" i="13"/>
  <c r="H394" i="13" s="1"/>
  <c r="F395" i="13"/>
  <c r="H395" i="13" s="1"/>
  <c r="F396" i="13"/>
  <c r="H396" i="13" s="1"/>
  <c r="F397" i="13"/>
  <c r="H397" i="13" s="1"/>
  <c r="F398" i="13"/>
  <c r="H398" i="13" s="1"/>
  <c r="F399" i="13"/>
  <c r="H399" i="13" s="1"/>
  <c r="F400" i="13"/>
  <c r="H400" i="13" s="1"/>
  <c r="F401" i="13"/>
  <c r="H401" i="13" s="1"/>
  <c r="F402" i="13"/>
  <c r="H402" i="13" s="1"/>
  <c r="F403" i="13"/>
  <c r="H403" i="13" s="1"/>
  <c r="F404" i="13"/>
  <c r="H404" i="13" s="1"/>
  <c r="F405" i="13"/>
  <c r="H405" i="13" s="1"/>
  <c r="F406" i="13"/>
  <c r="H406" i="13" s="1"/>
  <c r="F407" i="13"/>
  <c r="H407" i="13" s="1"/>
  <c r="F408" i="13"/>
  <c r="H408" i="13" s="1"/>
  <c r="F409" i="13"/>
  <c r="H409" i="13" s="1"/>
  <c r="F410" i="13"/>
  <c r="H410" i="13" s="1"/>
  <c r="F411" i="13"/>
  <c r="H411" i="13" s="1"/>
  <c r="F412" i="13"/>
  <c r="H412" i="13" s="1"/>
  <c r="F413" i="13"/>
  <c r="H413" i="13" s="1"/>
  <c r="F414" i="13"/>
  <c r="H414" i="13" s="1"/>
  <c r="F415" i="13"/>
  <c r="H415" i="13" s="1"/>
  <c r="F416" i="13"/>
  <c r="H416" i="13" s="1"/>
  <c r="F417" i="13"/>
  <c r="H417" i="13" s="1"/>
  <c r="F418" i="13"/>
  <c r="H418" i="13" s="1"/>
  <c r="F419" i="13"/>
  <c r="H419" i="13" s="1"/>
  <c r="F420" i="13"/>
  <c r="H420" i="13" s="1"/>
  <c r="F421" i="13"/>
  <c r="H421" i="13" s="1"/>
  <c r="F422" i="13"/>
  <c r="H422" i="13" s="1"/>
  <c r="F423" i="13"/>
  <c r="H423" i="13" s="1"/>
  <c r="F424" i="13"/>
  <c r="H424" i="13" s="1"/>
  <c r="F425" i="13"/>
  <c r="H425" i="13" s="1"/>
  <c r="F426" i="13"/>
  <c r="H426" i="13" s="1"/>
  <c r="F427" i="13"/>
  <c r="H427" i="13" s="1"/>
  <c r="F428" i="13"/>
  <c r="H428" i="13" s="1"/>
  <c r="F429" i="13"/>
  <c r="H429" i="13" s="1"/>
  <c r="F430" i="13"/>
  <c r="H430" i="13" s="1"/>
  <c r="F431" i="13"/>
  <c r="H431" i="13" s="1"/>
  <c r="F432" i="13"/>
  <c r="H432" i="13" s="1"/>
  <c r="F433" i="13"/>
  <c r="H433" i="13" s="1"/>
  <c r="F434" i="13"/>
  <c r="H434" i="13" s="1"/>
  <c r="F435" i="13"/>
  <c r="H435" i="13" s="1"/>
  <c r="F436" i="13"/>
  <c r="H436" i="13" s="1"/>
  <c r="F437" i="13"/>
  <c r="H437" i="13" s="1"/>
  <c r="F438" i="13"/>
  <c r="H438" i="13" s="1"/>
  <c r="F439" i="13"/>
  <c r="H439" i="13" s="1"/>
  <c r="F440" i="13"/>
  <c r="H440" i="13" s="1"/>
  <c r="F441" i="13"/>
  <c r="H441" i="13" s="1"/>
  <c r="F442" i="13"/>
  <c r="H442" i="13" s="1"/>
  <c r="F443" i="13"/>
  <c r="H443" i="13" s="1"/>
  <c r="F444" i="13"/>
  <c r="H444" i="13" s="1"/>
  <c r="F445" i="13"/>
  <c r="H445" i="13" s="1"/>
  <c r="F446" i="13"/>
  <c r="H446" i="13" s="1"/>
  <c r="F447" i="13"/>
  <c r="H447" i="13" s="1"/>
  <c r="F448" i="13"/>
  <c r="H448" i="13" s="1"/>
  <c r="F449" i="13"/>
  <c r="H449" i="13" s="1"/>
  <c r="F450" i="13"/>
  <c r="H450" i="13" s="1"/>
  <c r="F451" i="13"/>
  <c r="H451" i="13" s="1"/>
  <c r="F452" i="13"/>
  <c r="H452" i="13" s="1"/>
  <c r="F453" i="13"/>
  <c r="H453" i="13" s="1"/>
  <c r="F454" i="13"/>
  <c r="H454" i="13" s="1"/>
  <c r="F455" i="13"/>
  <c r="H455" i="13" s="1"/>
  <c r="F456" i="13"/>
  <c r="H456" i="13" s="1"/>
  <c r="F457" i="13"/>
  <c r="H457" i="13" s="1"/>
  <c r="F458" i="13"/>
  <c r="H458" i="13" s="1"/>
  <c r="F459" i="13"/>
  <c r="H459" i="13" s="1"/>
  <c r="F460" i="13"/>
  <c r="H460" i="13" s="1"/>
  <c r="F461" i="13"/>
  <c r="H461" i="13" s="1"/>
  <c r="F462" i="13"/>
  <c r="H462" i="13" s="1"/>
  <c r="F463" i="13"/>
  <c r="H463" i="13" s="1"/>
  <c r="F464" i="13"/>
  <c r="H464" i="13" s="1"/>
  <c r="F465" i="13"/>
  <c r="H465" i="13" s="1"/>
  <c r="F466" i="13"/>
  <c r="H466" i="13" s="1"/>
  <c r="F467" i="13"/>
  <c r="H467" i="13" s="1"/>
  <c r="F468" i="13"/>
  <c r="H468" i="13" s="1"/>
  <c r="F469" i="13"/>
  <c r="H469" i="13" s="1"/>
  <c r="F470" i="13"/>
  <c r="H470" i="13" s="1"/>
  <c r="F471" i="13"/>
  <c r="H471" i="13" s="1"/>
  <c r="F472" i="13"/>
  <c r="H472" i="13" s="1"/>
  <c r="F473" i="13"/>
  <c r="H473" i="13" s="1"/>
  <c r="F474" i="13"/>
  <c r="H474" i="13" s="1"/>
  <c r="F475" i="13"/>
  <c r="H475" i="13" s="1"/>
  <c r="F476" i="13"/>
  <c r="H476" i="13" s="1"/>
  <c r="F477" i="13"/>
  <c r="H477" i="13" s="1"/>
  <c r="F478" i="13"/>
  <c r="H478" i="13" s="1"/>
  <c r="F479" i="13"/>
  <c r="H479" i="13" s="1"/>
  <c r="F480" i="13"/>
  <c r="H480" i="13" s="1"/>
  <c r="F481" i="13"/>
  <c r="H481" i="13" s="1"/>
  <c r="F482" i="13"/>
  <c r="H482" i="13" s="1"/>
  <c r="F483" i="13"/>
  <c r="H483" i="13" s="1"/>
  <c r="F484" i="13"/>
  <c r="H484" i="13" s="1"/>
  <c r="F485" i="13"/>
  <c r="H485" i="13" s="1"/>
  <c r="F486" i="13"/>
  <c r="H486" i="13" s="1"/>
  <c r="F487" i="13"/>
  <c r="H487" i="13" s="1"/>
  <c r="F488" i="13"/>
  <c r="H488" i="13" s="1"/>
  <c r="F489" i="13"/>
  <c r="H489" i="13" s="1"/>
  <c r="F490" i="13"/>
  <c r="H490" i="13" s="1"/>
  <c r="F491" i="13"/>
  <c r="H491" i="13" s="1"/>
  <c r="F492" i="13"/>
  <c r="H492" i="13" s="1"/>
  <c r="F493" i="13"/>
  <c r="H493" i="13" s="1"/>
  <c r="F494" i="13"/>
  <c r="H494" i="13" s="1"/>
  <c r="F495" i="13"/>
  <c r="H495" i="13" s="1"/>
  <c r="F496" i="13"/>
  <c r="H496" i="13" s="1"/>
  <c r="F497" i="13"/>
  <c r="H497" i="13" s="1"/>
  <c r="F498" i="13"/>
  <c r="H498" i="13" s="1"/>
  <c r="F499" i="13"/>
  <c r="H499" i="13" s="1"/>
  <c r="F500" i="13"/>
  <c r="H500" i="13" s="1"/>
  <c r="F501" i="13"/>
  <c r="H501" i="13" s="1"/>
  <c r="F502" i="13"/>
  <c r="H502" i="13" s="1"/>
  <c r="F503" i="13"/>
  <c r="H503" i="13" s="1"/>
  <c r="F504" i="13"/>
  <c r="H504" i="13" s="1"/>
  <c r="F505" i="13"/>
  <c r="H505" i="13" s="1"/>
  <c r="F506" i="13"/>
  <c r="H506" i="13" s="1"/>
  <c r="F507" i="13"/>
  <c r="H507" i="13" s="1"/>
  <c r="F508" i="13"/>
  <c r="H508" i="13" s="1"/>
  <c r="F509" i="13"/>
  <c r="H509" i="13" s="1"/>
  <c r="F510" i="13"/>
  <c r="H510" i="13" s="1"/>
  <c r="F511" i="13"/>
  <c r="H511" i="13" s="1"/>
  <c r="F512" i="13"/>
  <c r="H512" i="13" s="1"/>
  <c r="F513" i="13"/>
  <c r="H513" i="13" s="1"/>
  <c r="F514" i="13"/>
  <c r="H514" i="13" s="1"/>
  <c r="F515" i="13"/>
  <c r="H515" i="13" s="1"/>
  <c r="F516" i="13"/>
  <c r="H516" i="13" s="1"/>
  <c r="F517" i="13"/>
  <c r="H517" i="13" s="1"/>
  <c r="F518" i="13"/>
  <c r="H518" i="13" s="1"/>
  <c r="F519" i="13"/>
  <c r="H519" i="13" s="1"/>
  <c r="F520" i="13"/>
  <c r="H520" i="13" s="1"/>
  <c r="F521" i="13"/>
  <c r="H521" i="13" s="1"/>
  <c r="F522" i="13"/>
  <c r="H522" i="13" s="1"/>
  <c r="F523" i="13"/>
  <c r="H523" i="13" s="1"/>
  <c r="F524" i="13"/>
  <c r="H524" i="13" s="1"/>
  <c r="F525" i="13"/>
  <c r="H525" i="13" s="1"/>
  <c r="F526" i="13"/>
  <c r="H526" i="13" s="1"/>
  <c r="F527" i="13"/>
  <c r="H527" i="13" s="1"/>
  <c r="F528" i="13"/>
  <c r="H528" i="13" s="1"/>
  <c r="F529" i="13"/>
  <c r="H529" i="13" s="1"/>
  <c r="F530" i="13"/>
  <c r="H530" i="13" s="1"/>
  <c r="F531" i="13"/>
  <c r="H531" i="13" s="1"/>
  <c r="F532" i="13"/>
  <c r="H532" i="13" s="1"/>
  <c r="F533" i="13"/>
  <c r="H533" i="13" s="1"/>
  <c r="F534" i="13"/>
  <c r="H534" i="13" s="1"/>
  <c r="F535" i="13"/>
  <c r="H535" i="13" s="1"/>
  <c r="F536" i="13"/>
  <c r="H536" i="13" s="1"/>
  <c r="F537" i="13"/>
  <c r="H537" i="13" s="1"/>
  <c r="F538" i="13"/>
  <c r="H538" i="13" s="1"/>
  <c r="F539" i="13"/>
  <c r="H539" i="13" s="1"/>
  <c r="F540" i="13"/>
  <c r="H540" i="13" s="1"/>
  <c r="F541" i="13"/>
  <c r="H541" i="13" s="1"/>
  <c r="F542" i="13"/>
  <c r="H542" i="13" s="1"/>
  <c r="F543" i="13"/>
  <c r="H543" i="13" s="1"/>
  <c r="F544" i="13"/>
  <c r="H544" i="13" s="1"/>
  <c r="F545" i="13"/>
  <c r="H545" i="13" s="1"/>
  <c r="F546" i="13"/>
  <c r="H546" i="13" s="1"/>
  <c r="F547" i="13"/>
  <c r="H547" i="13" s="1"/>
  <c r="F548" i="13"/>
  <c r="H548" i="13" s="1"/>
  <c r="F549" i="13"/>
  <c r="H549" i="13" s="1"/>
  <c r="F550" i="13"/>
  <c r="H550" i="13" s="1"/>
  <c r="F551" i="13"/>
  <c r="H551" i="13" s="1"/>
  <c r="F552" i="13"/>
  <c r="H552" i="13" s="1"/>
  <c r="F553" i="13"/>
  <c r="H553" i="13" s="1"/>
  <c r="F554" i="13"/>
  <c r="H554" i="13" s="1"/>
  <c r="F555" i="13"/>
  <c r="H555" i="13" s="1"/>
  <c r="F556" i="13"/>
  <c r="H556" i="13" s="1"/>
  <c r="F557" i="13"/>
  <c r="H557" i="13" s="1"/>
  <c r="F558" i="13"/>
  <c r="H558" i="13" s="1"/>
  <c r="F559" i="13"/>
  <c r="H559" i="13" s="1"/>
  <c r="F560" i="13"/>
  <c r="H560" i="13" s="1"/>
  <c r="F561" i="13"/>
  <c r="H561" i="13" s="1"/>
  <c r="F562" i="13"/>
  <c r="H562" i="13" s="1"/>
  <c r="F563" i="13"/>
  <c r="H563" i="13" s="1"/>
  <c r="F564" i="13"/>
  <c r="H564" i="13" s="1"/>
  <c r="F565" i="13"/>
  <c r="H565" i="13" s="1"/>
  <c r="F566" i="13"/>
  <c r="H566" i="13" s="1"/>
  <c r="F567" i="13"/>
  <c r="H567" i="13" s="1"/>
  <c r="F568" i="13"/>
  <c r="H568" i="13" s="1"/>
  <c r="F569" i="13"/>
  <c r="H569" i="13" s="1"/>
  <c r="F570" i="13"/>
  <c r="H570" i="13" s="1"/>
  <c r="F571" i="13"/>
  <c r="H571" i="13" s="1"/>
  <c r="F572" i="13"/>
  <c r="H572" i="13" s="1"/>
  <c r="F573" i="13"/>
  <c r="H573" i="13" s="1"/>
  <c r="F574" i="13"/>
  <c r="H574" i="13" s="1"/>
  <c r="F575" i="13"/>
  <c r="H575" i="13" s="1"/>
  <c r="F576" i="13"/>
  <c r="H576" i="13" s="1"/>
  <c r="F577" i="13"/>
  <c r="H577" i="13" s="1"/>
  <c r="F578" i="13"/>
  <c r="H578" i="13" s="1"/>
  <c r="F579" i="13"/>
  <c r="H579" i="13" s="1"/>
  <c r="F580" i="13"/>
  <c r="H580" i="13" s="1"/>
  <c r="F581" i="13"/>
  <c r="H581" i="13" s="1"/>
  <c r="F582" i="13"/>
  <c r="H582" i="13" s="1"/>
  <c r="F583" i="13"/>
  <c r="H583" i="13" s="1"/>
  <c r="F584" i="13"/>
  <c r="H584" i="13" s="1"/>
  <c r="F585" i="13"/>
  <c r="H585" i="13" s="1"/>
  <c r="F586" i="13"/>
  <c r="H586" i="13" s="1"/>
  <c r="F587" i="13"/>
  <c r="H587" i="13" s="1"/>
  <c r="F588" i="13"/>
  <c r="H588" i="13" s="1"/>
  <c r="F589" i="13"/>
  <c r="H589" i="13" s="1"/>
  <c r="F590" i="13"/>
  <c r="H590" i="13" s="1"/>
  <c r="F591" i="13"/>
  <c r="H591" i="13" s="1"/>
  <c r="F592" i="13"/>
  <c r="H592" i="13" s="1"/>
  <c r="F593" i="13"/>
  <c r="H593" i="13" s="1"/>
  <c r="F594" i="13"/>
  <c r="H594" i="13" s="1"/>
  <c r="F595" i="13"/>
  <c r="H595" i="13" s="1"/>
  <c r="F596" i="13"/>
  <c r="H596" i="13" s="1"/>
  <c r="F597" i="13"/>
  <c r="H597" i="13" s="1"/>
  <c r="F598" i="13"/>
  <c r="H598" i="13" s="1"/>
  <c r="F599" i="13"/>
  <c r="H599" i="13" s="1"/>
  <c r="F600" i="13"/>
  <c r="H600" i="13" s="1"/>
  <c r="F601" i="13"/>
  <c r="H601" i="13" s="1"/>
  <c r="F602" i="13"/>
  <c r="H602" i="13" s="1"/>
  <c r="F603" i="13"/>
  <c r="H603" i="13" s="1"/>
  <c r="F604" i="13"/>
  <c r="H604" i="13" s="1"/>
  <c r="F605" i="13"/>
  <c r="H605" i="13" s="1"/>
  <c r="F606" i="13"/>
  <c r="H606" i="13" s="1"/>
  <c r="F607" i="13"/>
  <c r="H607" i="13" s="1"/>
  <c r="F608" i="13"/>
  <c r="H608" i="13" s="1"/>
  <c r="F609" i="13"/>
  <c r="H609" i="13" s="1"/>
  <c r="F610" i="13"/>
  <c r="H610" i="13" s="1"/>
  <c r="F611" i="13"/>
  <c r="H611" i="13" s="1"/>
  <c r="F612" i="13"/>
  <c r="H612" i="13" s="1"/>
  <c r="F613" i="13"/>
  <c r="H613" i="13" s="1"/>
  <c r="F614" i="13"/>
  <c r="H614" i="13" s="1"/>
  <c r="F615" i="13"/>
  <c r="H615" i="13" s="1"/>
  <c r="F616" i="13"/>
  <c r="H616" i="13" s="1"/>
  <c r="F617" i="13"/>
  <c r="H617" i="13" s="1"/>
  <c r="F618" i="13"/>
  <c r="H618" i="13" s="1"/>
  <c r="F619" i="13"/>
  <c r="H619" i="13" s="1"/>
  <c r="F620" i="13"/>
  <c r="H620" i="13" s="1"/>
  <c r="F621" i="13"/>
  <c r="H621" i="13" s="1"/>
  <c r="F622" i="13"/>
  <c r="H622" i="13" s="1"/>
  <c r="F623" i="13"/>
  <c r="H623" i="13" s="1"/>
  <c r="F624" i="13"/>
  <c r="H624" i="13" s="1"/>
  <c r="F625" i="13"/>
  <c r="H625" i="13" s="1"/>
  <c r="F626" i="13"/>
  <c r="H626" i="13" s="1"/>
  <c r="F627" i="13"/>
  <c r="H627" i="13" s="1"/>
  <c r="F628" i="13"/>
  <c r="H628" i="13" s="1"/>
  <c r="F629" i="13"/>
  <c r="H629" i="13" s="1"/>
  <c r="F630" i="13"/>
  <c r="H630" i="13" s="1"/>
  <c r="F631" i="13"/>
  <c r="H631" i="13" s="1"/>
  <c r="F632" i="13"/>
  <c r="H632" i="13" s="1"/>
  <c r="F633" i="13"/>
  <c r="H633" i="13" s="1"/>
  <c r="F634" i="13"/>
  <c r="H634" i="13" s="1"/>
  <c r="F635" i="13"/>
  <c r="H635" i="13" s="1"/>
  <c r="F636" i="13"/>
  <c r="H636" i="13" s="1"/>
  <c r="F637" i="13"/>
  <c r="H637" i="13" s="1"/>
  <c r="F638" i="13"/>
  <c r="H638" i="13" s="1"/>
  <c r="F639" i="13"/>
  <c r="H639" i="13" s="1"/>
  <c r="F640" i="13"/>
  <c r="H640" i="13" s="1"/>
  <c r="F641" i="13"/>
  <c r="H641" i="13" s="1"/>
  <c r="F642" i="13"/>
  <c r="H642" i="13" s="1"/>
  <c r="F643" i="13"/>
  <c r="H643" i="13" s="1"/>
  <c r="F644" i="13"/>
  <c r="H644" i="13" s="1"/>
  <c r="F645" i="13"/>
  <c r="H645" i="13" s="1"/>
  <c r="F646" i="13"/>
  <c r="H646" i="13" s="1"/>
  <c r="F647" i="13"/>
  <c r="H647" i="13" s="1"/>
  <c r="F648" i="13"/>
  <c r="H648" i="13" s="1"/>
  <c r="F649" i="13"/>
  <c r="H649" i="13" s="1"/>
  <c r="F650" i="13"/>
  <c r="H650" i="13" s="1"/>
  <c r="F651" i="13"/>
  <c r="H651" i="13" s="1"/>
  <c r="F652" i="13"/>
  <c r="H652" i="13" s="1"/>
  <c r="F653" i="13"/>
  <c r="H653" i="13" s="1"/>
  <c r="F654" i="13"/>
  <c r="H654" i="13" s="1"/>
  <c r="F655" i="13"/>
  <c r="H655" i="13" s="1"/>
  <c r="F656" i="13"/>
  <c r="H656" i="13" s="1"/>
  <c r="F657" i="13"/>
  <c r="H657" i="13" s="1"/>
  <c r="F658" i="13"/>
  <c r="H658" i="13" s="1"/>
  <c r="F659" i="13"/>
  <c r="H659" i="13" s="1"/>
  <c r="F660" i="13"/>
  <c r="H660" i="13" s="1"/>
  <c r="F661" i="13"/>
  <c r="H661" i="13" s="1"/>
  <c r="F662" i="13"/>
  <c r="H662" i="13" s="1"/>
  <c r="F663" i="13"/>
  <c r="H663" i="13" s="1"/>
  <c r="F664" i="13"/>
  <c r="H664" i="13" s="1"/>
  <c r="F665" i="13"/>
  <c r="H665" i="13" s="1"/>
  <c r="F666" i="13"/>
  <c r="H666" i="13" s="1"/>
  <c r="F667" i="13"/>
  <c r="H667" i="13" s="1"/>
  <c r="F668" i="13"/>
  <c r="H668" i="13" s="1"/>
  <c r="F669" i="13"/>
  <c r="H669" i="13" s="1"/>
  <c r="F670" i="13"/>
  <c r="H670" i="13" s="1"/>
  <c r="F671" i="13"/>
  <c r="H671" i="13" s="1"/>
  <c r="F672" i="13"/>
  <c r="H672" i="13" s="1"/>
  <c r="F673" i="13"/>
  <c r="H673" i="13" s="1"/>
  <c r="F674" i="13"/>
  <c r="H674" i="13" s="1"/>
  <c r="F675" i="13"/>
  <c r="H675" i="13" s="1"/>
  <c r="F676" i="13"/>
  <c r="H676" i="13" s="1"/>
  <c r="F677" i="13"/>
  <c r="H677" i="13" s="1"/>
  <c r="F678" i="13"/>
  <c r="H678" i="13" s="1"/>
  <c r="F679" i="13"/>
  <c r="H679" i="13" s="1"/>
  <c r="F680" i="13"/>
  <c r="H680" i="13" s="1"/>
  <c r="F681" i="13"/>
  <c r="H681" i="13" s="1"/>
  <c r="F682" i="13"/>
  <c r="H682" i="13" s="1"/>
  <c r="F683" i="13"/>
  <c r="H683" i="13" s="1"/>
  <c r="F684" i="13"/>
  <c r="H684" i="13" s="1"/>
  <c r="F685" i="13"/>
  <c r="H685" i="13" s="1"/>
  <c r="F686" i="13"/>
  <c r="H686" i="13" s="1"/>
  <c r="F687" i="13"/>
  <c r="H687" i="13" s="1"/>
  <c r="F688" i="13"/>
  <c r="H688" i="13" s="1"/>
  <c r="F689" i="13"/>
  <c r="H689" i="13" s="1"/>
  <c r="F690" i="13"/>
  <c r="H690" i="13" s="1"/>
  <c r="F691" i="13"/>
  <c r="H691" i="13" s="1"/>
  <c r="F692" i="13"/>
  <c r="H692" i="13" s="1"/>
  <c r="F693" i="13"/>
  <c r="H693" i="13" s="1"/>
  <c r="F694" i="13"/>
  <c r="H694" i="13" s="1"/>
  <c r="F695" i="13"/>
  <c r="H695" i="13" s="1"/>
  <c r="F696" i="13"/>
  <c r="H696" i="13" s="1"/>
  <c r="F697" i="13"/>
  <c r="H697" i="13" s="1"/>
  <c r="F698" i="13"/>
  <c r="H698" i="13" s="1"/>
  <c r="F699" i="13"/>
  <c r="H699" i="13" s="1"/>
  <c r="F700" i="13"/>
  <c r="H700" i="13" s="1"/>
  <c r="F701" i="13"/>
  <c r="H701" i="13" s="1"/>
  <c r="F702" i="13"/>
  <c r="H702" i="13" s="1"/>
  <c r="F703" i="13"/>
  <c r="H703" i="13" s="1"/>
  <c r="F704" i="13"/>
  <c r="H704" i="13" s="1"/>
  <c r="F705" i="13"/>
  <c r="H705" i="13" s="1"/>
  <c r="F706" i="13"/>
  <c r="H706" i="13" s="1"/>
  <c r="F707" i="13"/>
  <c r="H707" i="13" s="1"/>
  <c r="F708" i="13"/>
  <c r="H708" i="13" s="1"/>
  <c r="F709" i="13"/>
  <c r="H709" i="13" s="1"/>
  <c r="F710" i="13"/>
  <c r="H710" i="13" s="1"/>
  <c r="F711" i="13"/>
  <c r="H711" i="13" s="1"/>
  <c r="F712" i="13"/>
  <c r="H712" i="13" s="1"/>
  <c r="F713" i="13"/>
  <c r="H713" i="13" s="1"/>
  <c r="F714" i="13"/>
  <c r="H714" i="13" s="1"/>
  <c r="F715" i="13"/>
  <c r="H715" i="13" s="1"/>
  <c r="F716" i="13"/>
  <c r="H716" i="13" s="1"/>
  <c r="F717" i="13"/>
  <c r="H717" i="13" s="1"/>
  <c r="F718" i="13"/>
  <c r="H718" i="13" s="1"/>
  <c r="F719" i="13"/>
  <c r="H719" i="13" s="1"/>
  <c r="F720" i="13"/>
  <c r="H720" i="13" s="1"/>
  <c r="F721" i="13"/>
  <c r="H721" i="13" s="1"/>
  <c r="F722" i="13"/>
  <c r="H722" i="13" s="1"/>
  <c r="F723" i="13"/>
  <c r="H723" i="13" s="1"/>
  <c r="F724" i="13"/>
  <c r="H724" i="13" s="1"/>
  <c r="F725" i="13"/>
  <c r="H725" i="13" s="1"/>
  <c r="F726" i="13"/>
  <c r="H726" i="13" s="1"/>
  <c r="F727" i="13"/>
  <c r="H727" i="13" s="1"/>
  <c r="F728" i="13"/>
  <c r="H728" i="13" s="1"/>
  <c r="F729" i="13"/>
  <c r="H729" i="13" s="1"/>
  <c r="F730" i="13"/>
  <c r="H730" i="13" s="1"/>
  <c r="F731" i="13"/>
  <c r="H731" i="13" s="1"/>
  <c r="F732" i="13"/>
  <c r="H732" i="13" s="1"/>
  <c r="F733" i="13"/>
  <c r="H733" i="13" s="1"/>
  <c r="F734" i="13"/>
  <c r="H734" i="13" s="1"/>
  <c r="F735" i="13"/>
  <c r="H735" i="13" s="1"/>
  <c r="F736" i="13"/>
  <c r="H736" i="13" s="1"/>
  <c r="F737" i="13"/>
  <c r="H737" i="13" s="1"/>
  <c r="F738" i="13"/>
  <c r="H738" i="13" s="1"/>
  <c r="F739" i="13"/>
  <c r="H739" i="13" s="1"/>
  <c r="F740" i="13"/>
  <c r="H740" i="13" s="1"/>
  <c r="F741" i="13"/>
  <c r="H741" i="13" s="1"/>
  <c r="F742" i="13"/>
  <c r="H742" i="13" s="1"/>
  <c r="F743" i="13"/>
  <c r="H743" i="13" s="1"/>
  <c r="F744" i="13"/>
  <c r="H744" i="13" s="1"/>
  <c r="F745" i="13"/>
  <c r="H745" i="13" s="1"/>
  <c r="F746" i="13"/>
  <c r="H746" i="13" s="1"/>
  <c r="F747" i="13"/>
  <c r="H747" i="13" s="1"/>
  <c r="F748" i="13"/>
  <c r="H748" i="13" s="1"/>
  <c r="F749" i="13"/>
  <c r="H749" i="13" s="1"/>
  <c r="F750" i="13"/>
  <c r="H750" i="13" s="1"/>
  <c r="F751" i="13"/>
  <c r="H751" i="13" s="1"/>
  <c r="F752" i="13"/>
  <c r="H752" i="13" s="1"/>
  <c r="F753" i="13"/>
  <c r="H753" i="13" s="1"/>
  <c r="F754" i="13"/>
  <c r="H754" i="13" s="1"/>
  <c r="F755" i="13"/>
  <c r="H755" i="13" s="1"/>
  <c r="F756" i="13"/>
  <c r="H756" i="13" s="1"/>
  <c r="F757" i="13"/>
  <c r="H757" i="13" s="1"/>
  <c r="F758" i="13"/>
  <c r="H758" i="13" s="1"/>
  <c r="F759" i="13"/>
  <c r="H759" i="13" s="1"/>
  <c r="F760" i="13"/>
  <c r="H760" i="13" s="1"/>
  <c r="F761" i="13"/>
  <c r="H761" i="13" s="1"/>
  <c r="F762" i="13"/>
  <c r="H762" i="13" s="1"/>
  <c r="F763" i="13"/>
  <c r="H763" i="13" s="1"/>
  <c r="F764" i="13"/>
  <c r="H764" i="13" s="1"/>
  <c r="F765" i="13"/>
  <c r="H765" i="13" s="1"/>
  <c r="F766" i="13"/>
  <c r="H766" i="13" s="1"/>
  <c r="F767" i="13"/>
  <c r="H767" i="13" s="1"/>
  <c r="F768" i="13"/>
  <c r="H768" i="13" s="1"/>
  <c r="F769" i="13"/>
  <c r="H769" i="13" s="1"/>
  <c r="F770" i="13"/>
  <c r="H770" i="13" s="1"/>
  <c r="F771" i="13"/>
  <c r="H771" i="13" s="1"/>
  <c r="F772" i="13"/>
  <c r="H772" i="13" s="1"/>
  <c r="F773" i="13"/>
  <c r="H773" i="13" s="1"/>
  <c r="F774" i="13"/>
  <c r="H774" i="13" s="1"/>
  <c r="F775" i="13"/>
  <c r="H775" i="13" s="1"/>
  <c r="F776" i="13"/>
  <c r="H776" i="13" s="1"/>
  <c r="F777" i="13"/>
  <c r="H777" i="13" s="1"/>
  <c r="F778" i="13"/>
  <c r="H778" i="13" s="1"/>
  <c r="F779" i="13"/>
  <c r="H779" i="13" s="1"/>
  <c r="F780" i="13"/>
  <c r="H780" i="13" s="1"/>
  <c r="F781" i="13"/>
  <c r="H781" i="13" s="1"/>
  <c r="F782" i="13"/>
  <c r="H782" i="13" s="1"/>
  <c r="F783" i="13"/>
  <c r="H783" i="13" s="1"/>
  <c r="F784" i="13"/>
  <c r="H784" i="13" s="1"/>
  <c r="F785" i="13"/>
  <c r="H785" i="13" s="1"/>
  <c r="F786" i="13"/>
  <c r="H786" i="13" s="1"/>
  <c r="F787" i="13"/>
  <c r="H787" i="13" s="1"/>
  <c r="F788" i="13"/>
  <c r="H788" i="13" s="1"/>
  <c r="F789" i="13"/>
  <c r="H789" i="13" s="1"/>
  <c r="F790" i="13"/>
  <c r="H790" i="13" s="1"/>
  <c r="F791" i="13"/>
  <c r="H791" i="13" s="1"/>
  <c r="F792" i="13"/>
  <c r="H792" i="13" s="1"/>
  <c r="F793" i="13"/>
  <c r="H793" i="13" s="1"/>
  <c r="F794" i="13"/>
  <c r="H794" i="13" s="1"/>
  <c r="F795" i="13"/>
  <c r="H795" i="13" s="1"/>
  <c r="F796" i="13"/>
  <c r="H796" i="13" s="1"/>
  <c r="F797" i="13"/>
  <c r="H797" i="13" s="1"/>
  <c r="F798" i="13"/>
  <c r="H798" i="13" s="1"/>
  <c r="F799" i="13"/>
  <c r="H799" i="13" s="1"/>
  <c r="F800" i="13"/>
  <c r="H800" i="13" s="1"/>
  <c r="F801" i="13"/>
  <c r="H801" i="13" s="1"/>
  <c r="F802" i="13"/>
  <c r="H802" i="13" s="1"/>
  <c r="F803" i="13"/>
  <c r="H803" i="13" s="1"/>
  <c r="F804" i="13"/>
  <c r="H804" i="13" s="1"/>
  <c r="F805" i="13"/>
  <c r="H805" i="13" s="1"/>
  <c r="F806" i="13"/>
  <c r="H806" i="13" s="1"/>
  <c r="F807" i="13"/>
  <c r="H807" i="13" s="1"/>
  <c r="F808" i="13"/>
  <c r="H808" i="13" s="1"/>
  <c r="F809" i="13"/>
  <c r="H809" i="13" s="1"/>
  <c r="F810" i="13"/>
  <c r="H810" i="13" s="1"/>
  <c r="F811" i="13"/>
  <c r="H811" i="13" s="1"/>
  <c r="F812" i="13"/>
  <c r="H812" i="13" s="1"/>
  <c r="F813" i="13"/>
  <c r="H813" i="13" s="1"/>
  <c r="F814" i="13"/>
  <c r="H814" i="13" s="1"/>
  <c r="F815" i="13"/>
  <c r="H815" i="13" s="1"/>
  <c r="F816" i="13"/>
  <c r="H816" i="13" s="1"/>
  <c r="F817" i="13"/>
  <c r="H817" i="13" s="1"/>
  <c r="F818" i="13"/>
  <c r="H818" i="13" s="1"/>
  <c r="F819" i="13"/>
  <c r="H819" i="13" s="1"/>
  <c r="F820" i="13"/>
  <c r="H820" i="13" s="1"/>
  <c r="F821" i="13"/>
  <c r="H821" i="13" s="1"/>
  <c r="F822" i="13"/>
  <c r="H822" i="13" s="1"/>
  <c r="F823" i="13"/>
  <c r="H823" i="13" s="1"/>
  <c r="F824" i="13"/>
  <c r="H824" i="13" s="1"/>
  <c r="F825" i="13"/>
  <c r="H825" i="13" s="1"/>
  <c r="F826" i="13"/>
  <c r="H826" i="13" s="1"/>
  <c r="F827" i="13"/>
  <c r="H827" i="13" s="1"/>
  <c r="F828" i="13"/>
  <c r="H828" i="13" s="1"/>
  <c r="F829" i="13"/>
  <c r="H829" i="13" s="1"/>
  <c r="F830" i="13"/>
  <c r="H830" i="13" s="1"/>
  <c r="F831" i="13"/>
  <c r="H831" i="13" s="1"/>
  <c r="F832" i="13"/>
  <c r="H832" i="13" s="1"/>
  <c r="F833" i="13"/>
  <c r="H833" i="13" s="1"/>
  <c r="F834" i="13"/>
  <c r="H834" i="13" s="1"/>
  <c r="F835" i="13"/>
  <c r="H835" i="13" s="1"/>
  <c r="F836" i="13"/>
  <c r="H836" i="13" s="1"/>
  <c r="F837" i="13"/>
  <c r="H837" i="13" s="1"/>
  <c r="F838" i="13"/>
  <c r="H838" i="13" s="1"/>
  <c r="F839" i="13"/>
  <c r="H839" i="13" s="1"/>
  <c r="F840" i="13"/>
  <c r="H840" i="13" s="1"/>
  <c r="F841" i="13"/>
  <c r="H841" i="13" s="1"/>
  <c r="F842" i="13"/>
  <c r="H842" i="13" s="1"/>
  <c r="F843" i="13"/>
  <c r="H843" i="13" s="1"/>
  <c r="F844" i="13"/>
  <c r="H844" i="13" s="1"/>
  <c r="F845" i="13"/>
  <c r="H845" i="13" s="1"/>
  <c r="F846" i="13"/>
  <c r="H846" i="13" s="1"/>
  <c r="F847" i="13"/>
  <c r="H847" i="13" s="1"/>
  <c r="F848" i="13"/>
  <c r="H848" i="13" s="1"/>
  <c r="F849" i="13"/>
  <c r="H849" i="13" s="1"/>
  <c r="F850" i="13"/>
  <c r="H850" i="13" s="1"/>
  <c r="F851" i="13"/>
  <c r="H851" i="13" s="1"/>
  <c r="F852" i="13"/>
  <c r="H852" i="13" s="1"/>
  <c r="F853" i="13"/>
  <c r="H853" i="13" s="1"/>
  <c r="F854" i="13"/>
  <c r="H854" i="13" s="1"/>
  <c r="F855" i="13"/>
  <c r="H855" i="13" s="1"/>
  <c r="F856" i="13"/>
  <c r="H856" i="13" s="1"/>
  <c r="F857" i="13"/>
  <c r="H857" i="13" s="1"/>
  <c r="F858" i="13"/>
  <c r="H858" i="13" s="1"/>
  <c r="F859" i="13"/>
  <c r="H859" i="13" s="1"/>
  <c r="F860" i="13"/>
  <c r="H860" i="13" s="1"/>
  <c r="F861" i="13"/>
  <c r="H861" i="13" s="1"/>
  <c r="F862" i="13"/>
  <c r="H862" i="13" s="1"/>
  <c r="F863" i="13"/>
  <c r="H863" i="13" s="1"/>
  <c r="F864" i="13"/>
  <c r="H864" i="13" s="1"/>
  <c r="F865" i="13"/>
  <c r="H865" i="13" s="1"/>
  <c r="F866" i="13"/>
  <c r="H866" i="13" s="1"/>
  <c r="F867" i="13"/>
  <c r="H867" i="13" s="1"/>
  <c r="F868" i="13"/>
  <c r="H868" i="13" s="1"/>
  <c r="F869" i="13"/>
  <c r="H869" i="13" s="1"/>
  <c r="F870" i="13"/>
  <c r="H870" i="13" s="1"/>
  <c r="F871" i="13"/>
  <c r="H871" i="13" s="1"/>
  <c r="F872" i="13"/>
  <c r="H872" i="13" s="1"/>
  <c r="F873" i="13"/>
  <c r="H873" i="13" s="1"/>
  <c r="F874" i="13"/>
  <c r="H874" i="13" s="1"/>
  <c r="F875" i="13"/>
  <c r="H875" i="13" s="1"/>
  <c r="F876" i="13"/>
  <c r="H876" i="13" s="1"/>
  <c r="F877" i="13"/>
  <c r="H877" i="13" s="1"/>
  <c r="F878" i="13"/>
  <c r="H878" i="13" s="1"/>
  <c r="F879" i="13"/>
  <c r="H879" i="13" s="1"/>
  <c r="F880" i="13"/>
  <c r="H880" i="13" s="1"/>
  <c r="F881" i="13"/>
  <c r="H881" i="13" s="1"/>
  <c r="F882" i="13"/>
  <c r="H882" i="13" s="1"/>
  <c r="F883" i="13"/>
  <c r="H883" i="13" s="1"/>
  <c r="F884" i="13"/>
  <c r="H884" i="13" s="1"/>
  <c r="F885" i="13"/>
  <c r="H885" i="13" s="1"/>
  <c r="F886" i="13"/>
  <c r="H886" i="13" s="1"/>
  <c r="F887" i="13"/>
  <c r="H887" i="13" s="1"/>
  <c r="F888" i="13"/>
  <c r="H888" i="13" s="1"/>
  <c r="F889" i="13"/>
  <c r="H889" i="13" s="1"/>
  <c r="F890" i="13"/>
  <c r="H890" i="13" s="1"/>
  <c r="F891" i="13"/>
  <c r="H891" i="13" s="1"/>
  <c r="F892" i="13"/>
  <c r="H892" i="13" s="1"/>
  <c r="F893" i="13"/>
  <c r="H893" i="13" s="1"/>
  <c r="F894" i="13"/>
  <c r="H894" i="13" s="1"/>
  <c r="F895" i="13"/>
  <c r="H895" i="13" s="1"/>
  <c r="F896" i="13"/>
  <c r="H896" i="13" s="1"/>
  <c r="F897" i="13"/>
  <c r="H897" i="13" s="1"/>
  <c r="F898" i="13"/>
  <c r="H898" i="13" s="1"/>
  <c r="F899" i="13"/>
  <c r="H899" i="13" s="1"/>
  <c r="F900" i="13"/>
  <c r="H900" i="13" s="1"/>
  <c r="F901" i="13"/>
  <c r="H901" i="13" s="1"/>
  <c r="F902" i="13"/>
  <c r="H902" i="13" s="1"/>
  <c r="F903" i="13"/>
  <c r="H903" i="13" s="1"/>
  <c r="F904" i="13"/>
  <c r="H904" i="13" s="1"/>
  <c r="F905" i="13"/>
  <c r="H905" i="13" s="1"/>
  <c r="F906" i="13"/>
  <c r="H906" i="13" s="1"/>
  <c r="F907" i="13"/>
  <c r="H907" i="13" s="1"/>
  <c r="F908" i="13"/>
  <c r="H908" i="13" s="1"/>
  <c r="F909" i="13"/>
  <c r="H909" i="13" s="1"/>
  <c r="F910" i="13"/>
  <c r="H910" i="13" s="1"/>
  <c r="F911" i="13"/>
  <c r="H911" i="13" s="1"/>
  <c r="F912" i="13"/>
  <c r="H912" i="13" s="1"/>
  <c r="F913" i="13"/>
  <c r="H913" i="13" s="1"/>
  <c r="F914" i="13"/>
  <c r="H914" i="13" s="1"/>
  <c r="F915" i="13"/>
  <c r="H915" i="13" s="1"/>
  <c r="F916" i="13"/>
  <c r="H916" i="13" s="1"/>
  <c r="F917" i="13"/>
  <c r="H917" i="13" s="1"/>
  <c r="F918" i="13"/>
  <c r="H918" i="13" s="1"/>
  <c r="F919" i="13"/>
  <c r="H919" i="13" s="1"/>
  <c r="F920" i="13"/>
  <c r="H920" i="13" s="1"/>
  <c r="F921" i="13"/>
  <c r="H921" i="13" s="1"/>
  <c r="F922" i="13"/>
  <c r="H922" i="13" s="1"/>
  <c r="F923" i="13"/>
  <c r="H923" i="13" s="1"/>
  <c r="F924" i="13"/>
  <c r="H924" i="13" s="1"/>
  <c r="F925" i="13"/>
  <c r="H925" i="13" s="1"/>
  <c r="F926" i="13"/>
  <c r="H926" i="13" s="1"/>
  <c r="F927" i="13"/>
  <c r="H927" i="13" s="1"/>
  <c r="F928" i="13"/>
  <c r="H928" i="13" s="1"/>
  <c r="F929" i="13"/>
  <c r="H929" i="13" s="1"/>
  <c r="F930" i="13"/>
  <c r="H930" i="13" s="1"/>
  <c r="F931" i="13"/>
  <c r="H931" i="13" s="1"/>
  <c r="F932" i="13"/>
  <c r="H932" i="13" s="1"/>
  <c r="F933" i="13"/>
  <c r="H933" i="13" s="1"/>
  <c r="F934" i="13"/>
  <c r="H934" i="13" s="1"/>
  <c r="F935" i="13"/>
  <c r="H935" i="13" s="1"/>
  <c r="F936" i="13"/>
  <c r="H936" i="13" s="1"/>
  <c r="F937" i="13"/>
  <c r="H937" i="13" s="1"/>
  <c r="F938" i="13"/>
  <c r="H938" i="13" s="1"/>
  <c r="F939" i="13"/>
  <c r="H939" i="13" s="1"/>
  <c r="F940" i="13"/>
  <c r="H940" i="13" s="1"/>
  <c r="F941" i="13"/>
  <c r="H941" i="13" s="1"/>
  <c r="F942" i="13"/>
  <c r="H942" i="13" s="1"/>
  <c r="F943" i="13"/>
  <c r="H943" i="13" s="1"/>
  <c r="F944" i="13"/>
  <c r="H944" i="13" s="1"/>
  <c r="F945" i="13"/>
  <c r="H945" i="13" s="1"/>
  <c r="F946" i="13"/>
  <c r="H946" i="13" s="1"/>
  <c r="F947" i="13"/>
  <c r="H947" i="13" s="1"/>
  <c r="F948" i="13"/>
  <c r="H948" i="13" s="1"/>
  <c r="F949" i="13"/>
  <c r="H949" i="13" s="1"/>
  <c r="F950" i="13"/>
  <c r="H950" i="13" s="1"/>
  <c r="F951" i="13"/>
  <c r="H951" i="13" s="1"/>
  <c r="F952" i="13"/>
  <c r="H952" i="13" s="1"/>
  <c r="F953" i="13"/>
  <c r="H953" i="13" s="1"/>
  <c r="F954" i="13"/>
  <c r="H954" i="13" s="1"/>
  <c r="F955" i="13"/>
  <c r="H955" i="13" s="1"/>
  <c r="F956" i="13"/>
  <c r="H956" i="13" s="1"/>
  <c r="F957" i="13"/>
  <c r="H957" i="13" s="1"/>
  <c r="F958" i="13"/>
  <c r="H958" i="13" s="1"/>
  <c r="F959" i="13"/>
  <c r="H959" i="13" s="1"/>
  <c r="F960" i="13"/>
  <c r="H960" i="13" s="1"/>
  <c r="F961" i="13"/>
  <c r="H961" i="13" s="1"/>
  <c r="F962" i="13"/>
  <c r="H962" i="13" s="1"/>
  <c r="F963" i="13"/>
  <c r="H963" i="13" s="1"/>
  <c r="F964" i="13"/>
  <c r="H964" i="13" s="1"/>
  <c r="F965" i="13"/>
  <c r="H965" i="13" s="1"/>
  <c r="F966" i="13"/>
  <c r="H966" i="13" s="1"/>
  <c r="F967" i="13"/>
  <c r="H967" i="13" s="1"/>
  <c r="F968" i="13"/>
  <c r="H968" i="13" s="1"/>
  <c r="F969" i="13"/>
  <c r="H969" i="13" s="1"/>
  <c r="F970" i="13"/>
  <c r="H970" i="13" s="1"/>
  <c r="F971" i="13"/>
  <c r="H971" i="13" s="1"/>
  <c r="F972" i="13"/>
  <c r="H972" i="13" s="1"/>
  <c r="F973" i="13"/>
  <c r="H973" i="13" s="1"/>
  <c r="F974" i="13"/>
  <c r="H974" i="13" s="1"/>
  <c r="F975" i="13"/>
  <c r="H975" i="13" s="1"/>
  <c r="F976" i="13"/>
  <c r="H976" i="13" s="1"/>
  <c r="F977" i="13"/>
  <c r="H977" i="13" s="1"/>
  <c r="F978" i="13"/>
  <c r="H978" i="13" s="1"/>
  <c r="F979" i="13"/>
  <c r="H979" i="13" s="1"/>
  <c r="F980" i="13"/>
  <c r="H980" i="13" s="1"/>
  <c r="F981" i="13"/>
  <c r="H981" i="13" s="1"/>
  <c r="F982" i="13"/>
  <c r="H982" i="13" s="1"/>
  <c r="F983" i="13"/>
  <c r="H983" i="13" s="1"/>
  <c r="F984" i="13"/>
  <c r="H984" i="13" s="1"/>
  <c r="F985" i="13"/>
  <c r="H985" i="13" s="1"/>
  <c r="F986" i="13"/>
  <c r="H986" i="13" s="1"/>
  <c r="F987" i="13"/>
  <c r="H987" i="13" s="1"/>
  <c r="F988" i="13"/>
  <c r="H988" i="13" s="1"/>
  <c r="F989" i="13"/>
  <c r="H989" i="13" s="1"/>
  <c r="F990" i="13"/>
  <c r="H990" i="13" s="1"/>
  <c r="F991" i="13"/>
  <c r="H991" i="13" s="1"/>
  <c r="F992" i="13"/>
  <c r="H992" i="13" s="1"/>
  <c r="F993" i="13"/>
  <c r="H993" i="13" s="1"/>
  <c r="F994" i="13"/>
  <c r="H994" i="13" s="1"/>
  <c r="F995" i="13"/>
  <c r="H995" i="13" s="1"/>
  <c r="F996" i="13"/>
  <c r="H996" i="13" s="1"/>
  <c r="F997" i="13"/>
  <c r="H997" i="13" s="1"/>
  <c r="F998" i="13"/>
  <c r="H998" i="13" s="1"/>
  <c r="F999" i="13"/>
  <c r="H999" i="13" s="1"/>
  <c r="F1000" i="13"/>
  <c r="H1000" i="13" s="1"/>
  <c r="F1001" i="13"/>
  <c r="H1001" i="13" s="1"/>
  <c r="F1002" i="13"/>
  <c r="H1002" i="13" s="1"/>
  <c r="F1003" i="13"/>
  <c r="H1003" i="13" s="1"/>
  <c r="F1004" i="13"/>
  <c r="H1004" i="13" s="1"/>
  <c r="F1005" i="13"/>
  <c r="H1005" i="13" s="1"/>
  <c r="F1006" i="13"/>
  <c r="H1006" i="13" s="1"/>
  <c r="F1007" i="13"/>
  <c r="H1007" i="13" s="1"/>
  <c r="F1008" i="13"/>
  <c r="H1008" i="13" s="1"/>
  <c r="F1009" i="13"/>
  <c r="H1009" i="13" s="1"/>
  <c r="F1010" i="13"/>
  <c r="H1010" i="13" s="1"/>
  <c r="F1011" i="13"/>
  <c r="H1011" i="13" s="1"/>
  <c r="F1012" i="13"/>
  <c r="H1012" i="13" s="1"/>
  <c r="F1013" i="13"/>
  <c r="H1013" i="13" s="1"/>
  <c r="F1014" i="13"/>
  <c r="H1014" i="13" s="1"/>
  <c r="F1015" i="13"/>
  <c r="H1015" i="13" s="1"/>
  <c r="F1016" i="13"/>
  <c r="H1016" i="13" s="1"/>
  <c r="F1017" i="13"/>
  <c r="H1017" i="13" s="1"/>
  <c r="F1018" i="13"/>
  <c r="H1018" i="13" s="1"/>
  <c r="F1019" i="13"/>
  <c r="H1019" i="13" s="1"/>
  <c r="F1020" i="13"/>
  <c r="H1020" i="13" s="1"/>
  <c r="F1021" i="13"/>
  <c r="H1021" i="13" s="1"/>
  <c r="F1022" i="13"/>
  <c r="H1022" i="13" s="1"/>
  <c r="F1023" i="13"/>
  <c r="H1023" i="13" s="1"/>
  <c r="F1024" i="13"/>
  <c r="H1024" i="13" s="1"/>
  <c r="F1025" i="13"/>
  <c r="H1025" i="13" s="1"/>
  <c r="F1026" i="13"/>
  <c r="H1026" i="13" s="1"/>
  <c r="F1027" i="13"/>
  <c r="H1027" i="13" s="1"/>
  <c r="F1028" i="13"/>
  <c r="H1028" i="13" s="1"/>
  <c r="F1029" i="13"/>
  <c r="H1029" i="13" s="1"/>
  <c r="F1030" i="13"/>
  <c r="H1030" i="13" s="1"/>
  <c r="F1031" i="13"/>
  <c r="H1031" i="13" s="1"/>
  <c r="F1032" i="13"/>
  <c r="H1032" i="13" s="1"/>
  <c r="F1033" i="13"/>
  <c r="H1033" i="13" s="1"/>
  <c r="F1034" i="13"/>
  <c r="H1034" i="13" s="1"/>
  <c r="F1035" i="13"/>
  <c r="H1035" i="13" s="1"/>
  <c r="F1036" i="13"/>
  <c r="H1036" i="13" s="1"/>
  <c r="F1037" i="13"/>
  <c r="H1037" i="13" s="1"/>
  <c r="F1038" i="13"/>
  <c r="H1038" i="13" s="1"/>
  <c r="F1039" i="13"/>
  <c r="H1039" i="13" s="1"/>
  <c r="F1040" i="13"/>
  <c r="H1040" i="13" s="1"/>
  <c r="F1041" i="13"/>
  <c r="H1041" i="13" s="1"/>
  <c r="F1042" i="13"/>
  <c r="H1042" i="13" s="1"/>
  <c r="F1043" i="13"/>
  <c r="H1043" i="13" s="1"/>
  <c r="F1044" i="13"/>
  <c r="H1044" i="13" s="1"/>
  <c r="F1045" i="13"/>
  <c r="H1045" i="13" s="1"/>
  <c r="F1046" i="13"/>
  <c r="H1046" i="13" s="1"/>
  <c r="F1047" i="13"/>
  <c r="H1047" i="13" s="1"/>
  <c r="F1048" i="13"/>
  <c r="H1048" i="13" s="1"/>
  <c r="F1049" i="13"/>
  <c r="H1049" i="13" s="1"/>
  <c r="F1050" i="13"/>
  <c r="H1050" i="13" s="1"/>
  <c r="F1051" i="13"/>
  <c r="H1051" i="13" s="1"/>
  <c r="F1052" i="13"/>
  <c r="H1052" i="13" s="1"/>
  <c r="F1053" i="13"/>
  <c r="H1053" i="13" s="1"/>
  <c r="F1054" i="13"/>
  <c r="H1054" i="13" s="1"/>
  <c r="F1055" i="13"/>
  <c r="H1055" i="13" s="1"/>
  <c r="F1056" i="13"/>
  <c r="H1056" i="13" s="1"/>
  <c r="F1057" i="13"/>
  <c r="H1057" i="13" s="1"/>
  <c r="F1058" i="13"/>
  <c r="H1058" i="13" s="1"/>
  <c r="F1059" i="13"/>
  <c r="H1059" i="13" s="1"/>
  <c r="F1060" i="13"/>
  <c r="H1060" i="13" s="1"/>
  <c r="F1061" i="13"/>
  <c r="H1061" i="13" s="1"/>
  <c r="F1062" i="13"/>
  <c r="H1062" i="13" s="1"/>
  <c r="F1063" i="13"/>
  <c r="H1063" i="13" s="1"/>
  <c r="F1064" i="13"/>
  <c r="F4" i="13"/>
  <c r="H4" i="13" s="1"/>
  <c r="G2" i="13"/>
  <c r="F2" i="13" l="1"/>
  <c r="L4" i="13" a="1"/>
  <c r="H2" i="13"/>
  <c r="X2" i="13" l="1"/>
  <c r="L4" i="13"/>
  <c r="Q2" i="13"/>
  <c r="R2" i="13"/>
  <c r="M1" i="13"/>
  <c r="M1" i="15"/>
  <c r="J91" i="15"/>
  <c r="O3" i="15" s="1" a="1"/>
  <c r="O3" i="15" s="1"/>
  <c r="B4" i="12" s="1"/>
  <c r="I91" i="15"/>
  <c r="H91" i="15"/>
  <c r="D4" i="12"/>
  <c r="E4" i="12"/>
  <c r="F4" i="12"/>
  <c r="G4" i="12"/>
  <c r="H4" i="12"/>
  <c r="I4" i="12"/>
  <c r="J4" i="12"/>
  <c r="K4" i="12"/>
  <c r="M4" i="12"/>
  <c r="D3" i="12"/>
  <c r="E3" i="12"/>
  <c r="F3" i="12"/>
  <c r="G3" i="12"/>
  <c r="H3" i="12"/>
  <c r="I3" i="12"/>
  <c r="J3" i="12"/>
  <c r="K3" i="12"/>
  <c r="M3" i="12"/>
  <c r="J2027" i="15"/>
  <c r="I2027" i="15"/>
  <c r="H2027" i="15"/>
  <c r="G2027" i="15"/>
  <c r="F2027" i="15"/>
  <c r="E2027" i="15"/>
  <c r="D2027" i="15"/>
  <c r="B2028" i="15" s="1"/>
  <c r="C2027" i="15"/>
  <c r="B2027" i="15" s="1"/>
  <c r="J1950" i="15"/>
  <c r="I1950" i="15"/>
  <c r="H1950" i="15"/>
  <c r="J1905" i="15"/>
  <c r="I1905" i="15"/>
  <c r="H1905" i="15"/>
  <c r="B1859" i="15"/>
  <c r="J1858" i="15"/>
  <c r="I1858" i="15"/>
  <c r="H1858" i="15"/>
  <c r="G1858" i="15"/>
  <c r="F1858" i="15"/>
  <c r="E1858" i="15"/>
  <c r="D1858" i="15"/>
  <c r="C1858" i="15"/>
  <c r="B1858" i="15" s="1"/>
  <c r="J1781" i="15"/>
  <c r="I1781" i="15"/>
  <c r="H1781" i="15"/>
  <c r="J1736" i="15"/>
  <c r="I1736" i="15"/>
  <c r="H1736" i="15"/>
  <c r="B1690" i="15"/>
  <c r="J1689" i="15"/>
  <c r="I1689" i="15"/>
  <c r="H1689" i="15"/>
  <c r="G1689" i="15"/>
  <c r="F1689" i="15"/>
  <c r="E1689" i="15"/>
  <c r="D1689" i="15"/>
  <c r="C1689" i="15"/>
  <c r="B1689" i="15" s="1"/>
  <c r="J1612" i="15"/>
  <c r="I1612" i="15"/>
  <c r="H1612" i="15"/>
  <c r="J1567" i="15"/>
  <c r="I1567" i="15"/>
  <c r="H1567" i="15"/>
  <c r="B1521" i="15"/>
  <c r="J1520" i="15"/>
  <c r="I1520" i="15"/>
  <c r="H1520" i="15"/>
  <c r="G1520" i="15"/>
  <c r="F1520" i="15"/>
  <c r="E1520" i="15"/>
  <c r="D1520" i="15"/>
  <c r="C1520" i="15"/>
  <c r="B1520" i="15" s="1"/>
  <c r="J1443" i="15"/>
  <c r="I1443" i="15"/>
  <c r="H1443" i="15"/>
  <c r="J1398" i="15"/>
  <c r="I1398" i="15"/>
  <c r="H1398" i="15"/>
  <c r="B1352" i="15"/>
  <c r="J1351" i="15"/>
  <c r="I1351" i="15"/>
  <c r="H1351" i="15"/>
  <c r="G1351" i="15"/>
  <c r="F1351" i="15"/>
  <c r="E1351" i="15"/>
  <c r="D1351" i="15"/>
  <c r="C1351" i="15"/>
  <c r="B1351" i="15" s="1"/>
  <c r="J1274" i="15"/>
  <c r="I1274" i="15"/>
  <c r="H1274" i="15"/>
  <c r="J1229" i="15"/>
  <c r="I1229" i="15"/>
  <c r="H1229" i="15"/>
  <c r="B1183" i="15"/>
  <c r="J1182" i="15"/>
  <c r="I1182" i="15"/>
  <c r="H1182" i="15"/>
  <c r="G1182" i="15"/>
  <c r="F1182" i="15"/>
  <c r="E1182" i="15"/>
  <c r="D1182" i="15"/>
  <c r="C1182" i="15"/>
  <c r="B1182" i="15" s="1"/>
  <c r="J1105" i="15"/>
  <c r="I1105" i="15"/>
  <c r="H1105" i="15"/>
  <c r="J1060" i="15"/>
  <c r="I1060" i="15"/>
  <c r="H1060" i="15"/>
  <c r="B1014" i="15"/>
  <c r="J1013" i="15"/>
  <c r="I1013" i="15"/>
  <c r="H1013" i="15"/>
  <c r="G1013" i="15"/>
  <c r="F1013" i="15"/>
  <c r="E1013" i="15"/>
  <c r="D1013" i="15"/>
  <c r="C1013" i="15"/>
  <c r="B1013" i="15" s="1"/>
  <c r="J936" i="15"/>
  <c r="I936" i="15"/>
  <c r="H936" i="15"/>
  <c r="J891" i="15"/>
  <c r="I891" i="15"/>
  <c r="H891" i="15"/>
  <c r="B845" i="15"/>
  <c r="J844" i="15"/>
  <c r="I844" i="15"/>
  <c r="H844" i="15"/>
  <c r="G844" i="15"/>
  <c r="F844" i="15"/>
  <c r="E844" i="15"/>
  <c r="D844" i="15"/>
  <c r="C844" i="15"/>
  <c r="B844" i="15" s="1"/>
  <c r="J767" i="15"/>
  <c r="I767" i="15"/>
  <c r="H767" i="15"/>
  <c r="J722" i="15"/>
  <c r="I722" i="15"/>
  <c r="H722" i="15"/>
  <c r="J675" i="15"/>
  <c r="I675" i="15"/>
  <c r="H675" i="15"/>
  <c r="G675" i="15"/>
  <c r="F675" i="15"/>
  <c r="E675" i="15"/>
  <c r="D675" i="15"/>
  <c r="B676" i="15" s="1"/>
  <c r="C675" i="15"/>
  <c r="B675" i="15" s="1"/>
  <c r="J598" i="15"/>
  <c r="I598" i="15"/>
  <c r="H598" i="15"/>
  <c r="J553" i="15"/>
  <c r="I553" i="15"/>
  <c r="H553" i="15"/>
  <c r="J506" i="15"/>
  <c r="I506" i="15"/>
  <c r="H506" i="15"/>
  <c r="G506" i="15"/>
  <c r="F506" i="15"/>
  <c r="E506" i="15"/>
  <c r="D506" i="15"/>
  <c r="B507" i="15" s="1"/>
  <c r="C506" i="15"/>
  <c r="B506" i="15"/>
  <c r="J429" i="15"/>
  <c r="I429" i="15"/>
  <c r="H429" i="15"/>
  <c r="J384" i="15"/>
  <c r="I384" i="15"/>
  <c r="H384" i="15"/>
  <c r="J337" i="15"/>
  <c r="I337" i="15"/>
  <c r="H337" i="15"/>
  <c r="G337" i="15"/>
  <c r="F337" i="15"/>
  <c r="E337" i="15"/>
  <c r="D337" i="15"/>
  <c r="B338" i="15" s="1"/>
  <c r="C337" i="15"/>
  <c r="B337" i="15"/>
  <c r="J260" i="15"/>
  <c r="P3" i="15" s="1" a="1"/>
  <c r="P3" i="15" s="1"/>
  <c r="C4" i="12" s="1"/>
  <c r="I260" i="15"/>
  <c r="H260" i="15"/>
  <c r="J215" i="15"/>
  <c r="I215" i="15"/>
  <c r="H215" i="15"/>
  <c r="J168" i="15"/>
  <c r="I168" i="15"/>
  <c r="H168" i="15"/>
  <c r="G168" i="15"/>
  <c r="F168" i="15"/>
  <c r="E168" i="15"/>
  <c r="D168" i="15"/>
  <c r="B169" i="15" s="1"/>
  <c r="C168" i="15"/>
  <c r="B168" i="15"/>
  <c r="J46" i="15"/>
  <c r="I46" i="15"/>
  <c r="H46" i="15"/>
  <c r="Z3" i="15" a="1"/>
  <c r="Z3" i="15" s="1"/>
  <c r="Y3" i="15" a="1"/>
  <c r="Y3" i="15" s="1"/>
  <c r="L4" i="12" s="1"/>
  <c r="X3" i="15" a="1"/>
  <c r="X3" i="15" s="1"/>
  <c r="W3" i="15"/>
  <c r="W3" i="15" a="1"/>
  <c r="V3" i="15" a="1"/>
  <c r="V3" i="15" s="1"/>
  <c r="U3" i="15" a="1"/>
  <c r="U3" i="15" s="1"/>
  <c r="T3" i="15" a="1"/>
  <c r="T3" i="15" s="1"/>
  <c r="S3" i="15"/>
  <c r="S3" i="15" a="1"/>
  <c r="R3" i="15" a="1"/>
  <c r="R3" i="15" s="1"/>
  <c r="Q3" i="15" a="1"/>
  <c r="Q3" i="15" s="1"/>
  <c r="Z2" i="15" a="1"/>
  <c r="Z2" i="15" s="1"/>
  <c r="Y2" i="15" a="1"/>
  <c r="Y2" i="15" s="1"/>
  <c r="L3" i="12" s="1"/>
  <c r="X2" i="15" a="1"/>
  <c r="X2" i="15" s="1"/>
  <c r="W2" i="15"/>
  <c r="W2" i="15" a="1"/>
  <c r="V2" i="15" a="1"/>
  <c r="V2" i="15" s="1"/>
  <c r="U2" i="15" a="1"/>
  <c r="U2" i="15" s="1"/>
  <c r="T2" i="15" a="1"/>
  <c r="T2" i="15" s="1"/>
  <c r="S2" i="15"/>
  <c r="S2" i="15" a="1"/>
  <c r="R2" i="15" a="1"/>
  <c r="R2" i="15" s="1"/>
  <c r="Q2" i="15" a="1"/>
  <c r="Q2" i="15" s="1"/>
  <c r="P2" i="15" a="1"/>
  <c r="P2" i="15" s="1"/>
  <c r="C3" i="12" s="1"/>
  <c r="O2" i="15" a="1"/>
  <c r="O2" i="15" s="1"/>
  <c r="B3" i="12" s="1"/>
  <c r="Y2" i="13" l="1"/>
  <c r="C4" i="16"/>
  <c r="S2" i="13"/>
  <c r="F3" i="8"/>
  <c r="F4" i="8"/>
  <c r="F5" i="8"/>
  <c r="F6" i="8"/>
  <c r="F2" i="8"/>
  <c r="J3" i="8"/>
  <c r="J4" i="8"/>
  <c r="J5" i="8"/>
  <c r="J6" i="8"/>
  <c r="J2" i="8"/>
  <c r="I3" i="8"/>
  <c r="I4" i="8"/>
  <c r="I5" i="8"/>
  <c r="I6" i="8"/>
  <c r="H3" i="8"/>
  <c r="H4" i="8"/>
  <c r="H5" i="8"/>
  <c r="H6" i="8"/>
  <c r="I2" i="8"/>
  <c r="H2" i="8"/>
  <c r="D3" i="8"/>
  <c r="D4" i="8"/>
  <c r="D5" i="8"/>
  <c r="D6" i="8"/>
  <c r="D2" i="8"/>
  <c r="C3" i="8"/>
  <c r="C4" i="8"/>
  <c r="C5" i="8"/>
  <c r="C6" i="8"/>
  <c r="C2" i="8"/>
  <c r="B3" i="8"/>
  <c r="B4" i="8"/>
  <c r="B5" i="8"/>
  <c r="B6" i="8"/>
  <c r="B2" i="8"/>
  <c r="A3" i="8"/>
  <c r="A4" i="8"/>
  <c r="A5" i="8"/>
  <c r="A6" i="8"/>
  <c r="A2" i="8"/>
  <c r="E3" i="8"/>
  <c r="E4" i="8"/>
  <c r="E5" i="8"/>
  <c r="E6" i="8"/>
  <c r="E2" i="8"/>
  <c r="A3" i="4"/>
  <c r="A4" i="4"/>
  <c r="A5" i="4"/>
  <c r="A6" i="4"/>
  <c r="A2" i="4"/>
  <c r="E3" i="4"/>
  <c r="E4" i="4"/>
  <c r="E5" i="4"/>
  <c r="E6" i="4"/>
  <c r="E2" i="4"/>
  <c r="D3" i="4"/>
  <c r="D4" i="4"/>
  <c r="D5" i="4"/>
  <c r="D6" i="4"/>
  <c r="D2" i="4"/>
  <c r="C3" i="4"/>
  <c r="C4" i="4"/>
  <c r="C5" i="4"/>
  <c r="C6" i="4"/>
  <c r="C2" i="4"/>
  <c r="B3" i="4"/>
  <c r="B4" i="4"/>
  <c r="B5" i="4"/>
  <c r="B6" i="4"/>
  <c r="B2" i="4"/>
  <c r="D2" i="10"/>
  <c r="B2" i="10"/>
  <c r="N1" i="5"/>
  <c r="E6" i="6"/>
  <c r="D6" i="6"/>
  <c r="C6" i="6"/>
  <c r="B6" i="6"/>
  <c r="A6" i="6"/>
  <c r="E3" i="10"/>
  <c r="E4" i="10"/>
  <c r="E5" i="10"/>
  <c r="E6" i="10"/>
  <c r="D3" i="10"/>
  <c r="D4" i="10"/>
  <c r="D5" i="10"/>
  <c r="D6" i="10"/>
  <c r="C3" i="10"/>
  <c r="C4" i="10"/>
  <c r="C5" i="10"/>
  <c r="C6" i="10"/>
  <c r="B3" i="10"/>
  <c r="B4" i="10"/>
  <c r="B5" i="10"/>
  <c r="B6" i="10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N1" i="7"/>
  <c r="N1" i="3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" i="3"/>
  <c r="O2" i="7" l="1" a="1"/>
  <c r="Q2" i="9" a="1"/>
  <c r="O2" i="5" a="1"/>
  <c r="O2" i="3" a="1"/>
  <c r="Q2" i="9" l="1"/>
  <c r="E2" i="10"/>
  <c r="C2" i="10"/>
  <c r="C5" i="6"/>
  <c r="B5" i="6"/>
  <c r="E5" i="6"/>
  <c r="A5" i="6"/>
  <c r="D5" i="6"/>
  <c r="D4" i="6"/>
  <c r="A4" i="6"/>
  <c r="C4" i="6"/>
  <c r="E4" i="6"/>
  <c r="B4" i="6"/>
  <c r="D3" i="6"/>
  <c r="B3" i="6"/>
  <c r="E3" i="6"/>
  <c r="C3" i="6"/>
  <c r="A3" i="6"/>
  <c r="O2" i="5"/>
  <c r="E2" i="6"/>
  <c r="C2" i="6"/>
  <c r="A2" i="6"/>
  <c r="B2" i="6"/>
  <c r="O2" i="7"/>
  <c r="D2" i="6"/>
  <c r="O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이현상</author>
  </authors>
  <commentList>
    <comment ref="A114" authorId="0" shapeId="0" xr:uid="{1DE59097-7B73-4096-8311-0A46038CB439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참고하세요</t>
        </r>
      </text>
    </comment>
    <comment ref="C947" authorId="0" shapeId="0" xr:uid="{CB21DCD8-7C4C-4995-BCCA-61B3BD992F98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인터넷에서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어마무시하게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중이라함
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(21.05.27)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<sst xmlns="http://schemas.openxmlformats.org/spreadsheetml/2006/main" count="6268" uniqueCount="1714">
  <si>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</si>
  <si>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</si>
  <si>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</si>
  <si>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</si>
  <si>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</si>
  <si>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</si>
  <si>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</si>
  <si>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</si>
  <si>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Severity</t>
  </si>
  <si>
    <t>Ticket Sub-Type</t>
  </si>
  <si>
    <t>Customer</t>
  </si>
  <si>
    <t>Assigned to</t>
  </si>
  <si>
    <t>Stage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</si>
  <si>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</si>
  <si>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</si>
  <si>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</si>
  <si>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</si>
  <si>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</si>
  <si>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ID</t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</si>
  <si>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</si>
  <si>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</si>
  <si>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</si>
  <si>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</si>
  <si>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</si>
  <si>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</si>
  <si>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</si>
  <si>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</si>
  <si>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</si>
  <si>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</si>
  <si>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</si>
  <si>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</si>
  <si>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</si>
  <si>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</si>
  <si>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</si>
  <si>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</si>
  <si>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</si>
  <si>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</si>
  <si>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CheckBox</t>
    <phoneticPr fontId="1" type="noConversion"/>
  </si>
  <si>
    <t>06</t>
    <phoneticPr fontId="1" type="noConversion"/>
  </si>
  <si>
    <t>unchecked
​</t>
  </si>
  <si>
    <t>Lumen Korea Shipment to SEL1 (코레이트빌딩8층)</t>
  </si>
  <si>
    <t>S-4</t>
  </si>
  <si>
    <t>박용서</t>
  </si>
  <si>
    <t>Inbound</t>
  </si>
  <si>
    <t>Completed</t>
  </si>
  <si>
    <t>Lumen Korea Shipment going to SEL1</t>
  </si>
  <si>
    <t>S-3</t>
  </si>
  <si>
    <t>[Lumen Korea] Juniper Module</t>
  </si>
  <si>
    <t>[PUS1-텔스트라] Site access (나무유통) 10/17</t>
  </si>
  <si>
    <t>김수헌 과장</t>
  </si>
  <si>
    <t>Work Visits</t>
  </si>
  <si>
    <t>황우승</t>
  </si>
  <si>
    <t>Cancelled</t>
  </si>
  <si>
    <t>최경석</t>
  </si>
  <si>
    <t>[PUS1-텔스트라] Site access (나무유통) 8/18</t>
  </si>
  <si>
    <t>[PUS1-텔스트라]SiteAccess(센츄리냉동공조)8/17</t>
  </si>
  <si>
    <t>김정수 매니저</t>
  </si>
  <si>
    <t>진복의</t>
  </si>
  <si>
    <t>[PUS1-텔스트라]SiteAccess(화랑디자인)7/20</t>
  </si>
  <si>
    <t>전성규, 백광현</t>
  </si>
  <si>
    <t>[PUS1-텔스트라]SiteAccess(에어텍)7/21</t>
  </si>
  <si>
    <t>윤호성, 김의진</t>
  </si>
  <si>
    <t>[PUS1-텔스트라]Siteaccess(화랑디자인)7/12</t>
  </si>
  <si>
    <t>전성규, 김현상</t>
  </si>
  <si>
    <t>[PUS1-텔스트라]SiteAccess(화랑디자인)7/11</t>
  </si>
  <si>
    <t>[PUS1-텔스트라]SiteAccess(나무유통)7/3</t>
  </si>
  <si>
    <t>[PUS1-텔스트라]SiteAccess(이화전기)6/28</t>
  </si>
  <si>
    <t>오상현, 김현우, 이용호, 이광범</t>
  </si>
  <si>
    <t>[PUS1-텔스트라]SiteAccess(SKB)6/29</t>
  </si>
  <si>
    <t>한승민, 이호열, 선진국</t>
  </si>
  <si>
    <t>[PUS1-텔스트라]SiteAccess(Corelight)5/25</t>
  </si>
  <si>
    <t>신석헌</t>
  </si>
  <si>
    <t>[PUS1-텔스트라]SiteAccess(나무유통(풀무원))5/9</t>
  </si>
  <si>
    <t>[PUS1-텔스트라]Site access(세방전지)5/11</t>
  </si>
  <si>
    <t>이외식, 이강욱, 이하수</t>
  </si>
  <si>
    <t>[PUS1-텔스트라]SiteAccess(이화전기)5/11</t>
  </si>
  <si>
    <t>김성오, 신현수, 이덕주</t>
  </si>
  <si>
    <t>[시스원] 서버 리부팅 요청 건</t>
  </si>
  <si>
    <t>이찬주</t>
  </si>
  <si>
    <t>Regular Remote Hands</t>
  </si>
  <si>
    <t>Closed</t>
  </si>
  <si>
    <t>[시스원] 유앤아이티 서버 재부팅 요청</t>
  </si>
  <si>
    <t>[시스원] 한국방사선진흥협회 서버 재부팅 요청</t>
  </si>
  <si>
    <t>Scheduled Remote Hands</t>
  </si>
  <si>
    <t>Customer</t>
    <phoneticPr fontId="1" type="noConversion"/>
  </si>
  <si>
    <t>Stage</t>
    <phoneticPr fontId="1" type="noConversion"/>
  </si>
  <si>
    <t>Site Visit Date Start</t>
    <phoneticPr fontId="1" type="noConversion"/>
  </si>
  <si>
    <t>Site Visit Date End</t>
    <phoneticPr fontId="1" type="noConversion"/>
  </si>
  <si>
    <t>Replacement of aging network equipment (ANEXIA)</t>
  </si>
  <si>
    <t>P3</t>
  </si>
  <si>
    <t>Incident Management</t>
  </si>
  <si>
    <t>Data Center - location</t>
    <phoneticPr fontId="1" type="noConversion"/>
  </si>
  <si>
    <t>Month in 2023</t>
    <phoneticPr fontId="1" type="noConversion"/>
  </si>
  <si>
    <t>Ave. Temp (°C)</t>
  </si>
  <si>
    <t>Ave. Hum (%)</t>
  </si>
  <si>
    <t>Jan</t>
    <phoneticPr fontId="1" type="noConversion"/>
  </si>
  <si>
    <t>Feb</t>
    <phoneticPr fontId="1" type="noConversion"/>
  </si>
  <si>
    <t>Mar</t>
    <phoneticPr fontId="1" type="noConversion"/>
  </si>
  <si>
    <t>Apr</t>
    <phoneticPr fontId="1" type="noConversion"/>
  </si>
  <si>
    <t>May</t>
    <phoneticPr fontId="1" type="noConversion"/>
  </si>
  <si>
    <t>Jun</t>
    <phoneticPr fontId="1" type="noConversion"/>
  </si>
  <si>
    <t>Jul</t>
    <phoneticPr fontId="1" type="noConversion"/>
  </si>
  <si>
    <t>Aug</t>
    <phoneticPr fontId="1" type="noConversion"/>
  </si>
  <si>
    <t>Sep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</si>
  <si>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</si>
  <si>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</si>
  <si>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</si>
  <si>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Baseline: Average 22 to 26 degrees celcius</t>
  </si>
  <si>
    <t>No. of CRACs (Running)</t>
  </si>
  <si>
    <t>No. of CRACs (N)</t>
  </si>
  <si>
    <t>Cooling Cap (Kw)</t>
  </si>
  <si>
    <t>Min Avg Temperature</t>
  </si>
  <si>
    <t>Maximum Avg Temperature</t>
  </si>
  <si>
    <t>Average Temperature</t>
  </si>
  <si>
    <t>7-CRACRm-CRAC-01</t>
  </si>
  <si>
    <t>7-CRACRm-CRAC-02</t>
  </si>
  <si>
    <t>7-CRACRm-CRAC-03</t>
  </si>
  <si>
    <t>Main CRAC 7F-3</t>
  </si>
  <si>
    <t>7-CRACRm-CRAC-04</t>
  </si>
  <si>
    <t>Main CRAC 7F-4</t>
  </si>
  <si>
    <t>6-CRACRm-CRAC-01</t>
  </si>
  <si>
    <t>6-CRACRm-CRAC-02</t>
  </si>
  <si>
    <t>6-CRACRm-CRAC-03</t>
  </si>
  <si>
    <t>Main CRAC 6F-3</t>
  </si>
  <si>
    <t>6-CRACRm-CRAC-04</t>
  </si>
  <si>
    <t>Main CRAC 6F-4</t>
  </si>
  <si>
    <t>6-DaHall 1-CRAC-01</t>
  </si>
  <si>
    <t>6-DaHall 1-CRAC-02</t>
  </si>
  <si>
    <t>Aux. CRAC 6F-2</t>
  </si>
  <si>
    <t>6-DaHall 1-CRAC-03</t>
  </si>
  <si>
    <t>Aux. CRAC 6F-3</t>
  </si>
  <si>
    <t>5-CRACRm-CRAC-01</t>
  </si>
  <si>
    <t>5-CRACRm-CRAC-02</t>
  </si>
  <si>
    <t>Main CRAC 5F-2</t>
  </si>
  <si>
    <t>5-CRACRm-CRAC-03</t>
  </si>
  <si>
    <t>Main CRAC 5F-3</t>
  </si>
  <si>
    <t>5-CRACRm-CRAC-04</t>
  </si>
  <si>
    <t>Main CRAC 5F-4</t>
  </si>
  <si>
    <t>5-DaHall 1-CRAC-13</t>
  </si>
  <si>
    <t>5-DaHall 1-CRAC-14</t>
  </si>
  <si>
    <t>CF CRAC-#02</t>
  </si>
  <si>
    <t>5-DaHall 1-CRAC-01</t>
  </si>
  <si>
    <t>5-DaHall 1-CRAC-02</t>
  </si>
  <si>
    <t>LG CRAC-#02</t>
  </si>
  <si>
    <t>5-DaHall 1-CRAC-03</t>
  </si>
  <si>
    <t>LG CRAC-#03</t>
  </si>
  <si>
    <t>5-DaHall 1-CRAC-04</t>
  </si>
  <si>
    <t>LG CRAC-#04</t>
  </si>
  <si>
    <t>5-DaHall 1-CRAC-05</t>
  </si>
  <si>
    <t>LG CRAC-#05</t>
  </si>
  <si>
    <t>5-DaHall 1-CRAC-06</t>
  </si>
  <si>
    <t>LG CRAC-#06</t>
  </si>
  <si>
    <t>5-DaHall 1-CRAC-07</t>
  </si>
  <si>
    <t>LG CRAC-#07</t>
  </si>
  <si>
    <t>5-DaHall 1-CRAC-08</t>
  </si>
  <si>
    <t>LG CRAC-#08</t>
  </si>
  <si>
    <t>5-DaHall 1-CRAC-09</t>
  </si>
  <si>
    <t>LG CRAC-#09</t>
  </si>
  <si>
    <t>5-DaHall 1-CRAC-10</t>
  </si>
  <si>
    <t>LG CRAC-#10</t>
  </si>
  <si>
    <t>5-DaHall 1-CRAC-11</t>
  </si>
  <si>
    <t>LG CRAC-#11</t>
  </si>
  <si>
    <t>5-DaHall 1-CRAC-12</t>
  </si>
  <si>
    <t>LG CRAC-#12</t>
  </si>
  <si>
    <t>5-DaHall 1-CRAC-15</t>
  </si>
  <si>
    <t>5-DaHall 1-CRAC-16</t>
  </si>
  <si>
    <t>Aux. CRAC 5F-2</t>
  </si>
  <si>
    <t>4-CRACRm-CRAC-01</t>
  </si>
  <si>
    <t>4-CRACRm-CRAC-02</t>
  </si>
  <si>
    <t>Main CRAC 4F-2</t>
  </si>
  <si>
    <t>4-CRACRm-CRAC-03</t>
  </si>
  <si>
    <t>Main CRAC 4F-3</t>
  </si>
  <si>
    <t>4-CRACRm-CRAC-04</t>
  </si>
  <si>
    <t>Main CRAC 4F-4</t>
  </si>
  <si>
    <t>4-DaHall 1-CRAC-05</t>
  </si>
  <si>
    <t>4-DaHall 1-CRAC-06</t>
  </si>
  <si>
    <t>Aux.E_CRAC 4F-2</t>
  </si>
  <si>
    <t>4-DaHall 1-CRAC-02</t>
  </si>
  <si>
    <t>4-DaHall 1-CRAC-03</t>
  </si>
  <si>
    <t>Aux. CRAC 4F-2</t>
  </si>
  <si>
    <t>4-DaHall 1-CRAC-04</t>
  </si>
  <si>
    <t>Aux. CRAC 4F-3</t>
  </si>
  <si>
    <t>Aux. CRAC 4F-4</t>
  </si>
  <si>
    <t>Baseline: Average 30 to 70 % RH</t>
  </si>
  <si>
    <t>Min Avg Humidity</t>
  </si>
  <si>
    <t>Maximum Avg Humidity</t>
  </si>
  <si>
    <t>Average Humidity</t>
  </si>
  <si>
    <t>4/F</t>
  </si>
  <si>
    <t>5/F</t>
  </si>
  <si>
    <t>6/F</t>
  </si>
  <si>
    <t>7/F</t>
  </si>
  <si>
    <t>Average Temp.</t>
  </si>
  <si>
    <t>Ave Hum.</t>
  </si>
  <si>
    <t>TH-01-02</t>
  </si>
  <si>
    <t>TH-01-03</t>
  </si>
  <si>
    <t>TH-01-04</t>
  </si>
  <si>
    <t>TH-01-05</t>
  </si>
  <si>
    <t>TH-01-06</t>
  </si>
  <si>
    <t>TH-01-07</t>
  </si>
  <si>
    <t>TH-01-08</t>
  </si>
  <si>
    <t>TH-01-09</t>
  </si>
  <si>
    <t>TH-01-10</t>
  </si>
  <si>
    <t>TH-01-11</t>
  </si>
  <si>
    <t>TH-01-12</t>
  </si>
  <si>
    <t>TH-01-13</t>
  </si>
  <si>
    <t>TH-01-14</t>
  </si>
  <si>
    <t>TH-01-15</t>
  </si>
  <si>
    <t>TH-01-16</t>
  </si>
  <si>
    <t>TH-02-02</t>
  </si>
  <si>
    <t>TH-02-03</t>
  </si>
  <si>
    <t>TH-02-04</t>
  </si>
  <si>
    <t>TH-02-05</t>
  </si>
  <si>
    <t>TH-02-06</t>
  </si>
  <si>
    <t>TH-02-07</t>
  </si>
  <si>
    <t>TH-02-08</t>
  </si>
  <si>
    <t>TH-02-09</t>
  </si>
  <si>
    <t>TH-02-10</t>
  </si>
  <si>
    <t>TH-02-11</t>
  </si>
  <si>
    <t>TH-02-12</t>
  </si>
  <si>
    <t>TH-02-13</t>
  </si>
  <si>
    <t>TH-02-14</t>
  </si>
  <si>
    <t>TH-02-16</t>
  </si>
  <si>
    <t>TH-03-02</t>
  </si>
  <si>
    <t>TH-03-03</t>
  </si>
  <si>
    <t>TH-03-04</t>
  </si>
  <si>
    <t>TH-03-05</t>
  </si>
  <si>
    <t>TH-03-06</t>
  </si>
  <si>
    <t>TH-03-07</t>
  </si>
  <si>
    <t>TH-03-08</t>
  </si>
  <si>
    <t>TH-03-09</t>
  </si>
  <si>
    <t>TH-03-10</t>
  </si>
  <si>
    <t>TH-03-11</t>
  </si>
  <si>
    <t>TH-03-12</t>
  </si>
  <si>
    <t>TH-03-13</t>
  </si>
  <si>
    <t>TH-03-14</t>
  </si>
  <si>
    <t>TH-03-15</t>
  </si>
  <si>
    <t>TH-03-16</t>
  </si>
  <si>
    <t>TH-04-02</t>
  </si>
  <si>
    <t>TH-04-03</t>
  </si>
  <si>
    <t>TH-04-04</t>
  </si>
  <si>
    <t>TH-04-05</t>
  </si>
  <si>
    <t>TH-04-06</t>
  </si>
  <si>
    <t>TH-04-07</t>
  </si>
  <si>
    <t>TH-04-08</t>
  </si>
  <si>
    <t>TH-04-09</t>
  </si>
  <si>
    <t>TH-04-10</t>
  </si>
  <si>
    <t>TH-04-11</t>
  </si>
  <si>
    <t>TH-04-12</t>
  </si>
  <si>
    <t>TH-04-13</t>
  </si>
  <si>
    <t>TH-05-02</t>
  </si>
  <si>
    <t>TH-05-03</t>
  </si>
  <si>
    <t>TH-05-04</t>
  </si>
  <si>
    <t>TH-05-05</t>
  </si>
  <si>
    <t>TH-05-06</t>
  </si>
  <si>
    <t>TH-05-07</t>
  </si>
  <si>
    <t>TH-05-08</t>
  </si>
  <si>
    <t>TH-05-09</t>
  </si>
  <si>
    <t>TH-05-10</t>
  </si>
  <si>
    <t>TH-05-11</t>
  </si>
  <si>
    <t>TH-05-12</t>
  </si>
  <si>
    <t>Power</t>
    <phoneticPr fontId="1" type="noConversion"/>
  </si>
  <si>
    <t>총 평균온도</t>
    <phoneticPr fontId="1" type="noConversion"/>
  </si>
  <si>
    <t>총 평균습도</t>
    <phoneticPr fontId="1" type="noConversion"/>
  </si>
  <si>
    <t>총 평균온도:</t>
    <phoneticPr fontId="1" type="noConversion"/>
  </si>
  <si>
    <t>총 평균습도:</t>
    <phoneticPr fontId="1" type="noConversion"/>
  </si>
  <si>
    <t>평균온도</t>
    <phoneticPr fontId="1" type="noConversion"/>
  </si>
  <si>
    <t>평균습도</t>
    <phoneticPr fontId="1" type="noConversion"/>
  </si>
  <si>
    <t>Floor</t>
  </si>
  <si>
    <t>DEK Name</t>
  </si>
  <si>
    <t>Equipment Name</t>
  </si>
  <si>
    <t>(N+1)</t>
  </si>
  <si>
    <t>7F</t>
  </si>
  <si>
    <t>Main CRAC 7F-1</t>
  </si>
  <si>
    <t>N+1</t>
  </si>
  <si>
    <t>Main CRAC 7F-2</t>
  </si>
  <si>
    <t>6F</t>
  </si>
  <si>
    <t>Main CRAC 6F-1</t>
  </si>
  <si>
    <t>Main CRAC 6F-2</t>
  </si>
  <si>
    <t>Aux. CRAC 6F-1</t>
  </si>
  <si>
    <t>5F</t>
  </si>
  <si>
    <t>Main CRAC 5F-1</t>
  </si>
  <si>
    <t>CF CRAC-#01</t>
  </si>
  <si>
    <t>Dedicated CRAC</t>
  </si>
  <si>
    <t>LG CRAC-#01</t>
  </si>
  <si>
    <t>Aux. CRAC 5F-1</t>
  </si>
  <si>
    <t>4F</t>
  </si>
  <si>
    <t>Main CRAC 4F-1</t>
  </si>
  <si>
    <t>Aux.E_CRAC 4F-1</t>
  </si>
  <si>
    <t>Aux. CRAC 4F-1</t>
  </si>
  <si>
    <t>4-DaHall 1-CRAC-01</t>
  </si>
  <si>
    <t>Device Name</t>
  </si>
  <si>
    <t>Sensor</t>
  </si>
  <si>
    <t>TH-01-01</t>
  </si>
  <si>
    <t>TH-02-01</t>
  </si>
  <si>
    <t>TH-02-15</t>
  </si>
  <si>
    <t>TH-03-01</t>
  </si>
  <si>
    <t>TH-04-01</t>
  </si>
  <si>
    <t>TH-05-01</t>
  </si>
  <si>
    <t>Ave. Temp (°C)</t>
    <phoneticPr fontId="1" type="noConversion"/>
  </si>
  <si>
    <t>Date : 2023-11-01 ~ 2023-11-30</t>
  </si>
  <si>
    <t>정류기</t>
    <phoneticPr fontId="22" type="noConversion"/>
  </si>
  <si>
    <t>항온항습기</t>
    <phoneticPr fontId="22" type="noConversion"/>
  </si>
  <si>
    <t>101~111Bay
/POP B열</t>
    <phoneticPr fontId="22" type="noConversion"/>
  </si>
  <si>
    <t>201~211Bay
/POP C열</t>
    <phoneticPr fontId="22" type="noConversion"/>
  </si>
  <si>
    <t>301~311Bay
/POP D열</t>
    <phoneticPr fontId="22" type="noConversion"/>
  </si>
  <si>
    <t>401~411Bay
/POP E열</t>
    <phoneticPr fontId="22" type="noConversion"/>
  </si>
  <si>
    <t>501~511Bay
/POP F열</t>
    <phoneticPr fontId="22" type="noConversion"/>
  </si>
  <si>
    <t>601~611Bay
/1구역 B열</t>
    <phoneticPr fontId="22" type="noConversion"/>
  </si>
  <si>
    <t>1구역 D열</t>
    <phoneticPr fontId="22" type="noConversion"/>
  </si>
  <si>
    <t>1구역 E열</t>
    <phoneticPr fontId="22" type="noConversion"/>
  </si>
  <si>
    <t>1구역 F열</t>
    <phoneticPr fontId="22" type="noConversion"/>
  </si>
  <si>
    <t>1구역 G열</t>
    <phoneticPr fontId="22" type="noConversion"/>
  </si>
  <si>
    <t>1구역 H열</t>
    <phoneticPr fontId="22" type="noConversion"/>
  </si>
  <si>
    <t>2구역 J열</t>
    <phoneticPr fontId="22" type="noConversion"/>
  </si>
  <si>
    <t>2구역 K열</t>
    <phoneticPr fontId="22" type="noConversion"/>
  </si>
  <si>
    <t>2구역 L열</t>
    <phoneticPr fontId="22" type="noConversion"/>
  </si>
  <si>
    <t>2구역 M열</t>
    <phoneticPr fontId="22" type="noConversion"/>
  </si>
  <si>
    <t>3구역 Z열</t>
    <phoneticPr fontId="22" type="noConversion"/>
  </si>
  <si>
    <t>3구역 O열</t>
    <phoneticPr fontId="22" type="noConversion"/>
  </si>
  <si>
    <t>3구역 P열</t>
    <phoneticPr fontId="22" type="noConversion"/>
  </si>
  <si>
    <t>3구역 Q열</t>
    <phoneticPr fontId="22" type="noConversion"/>
  </si>
  <si>
    <t>3구역 R열</t>
    <phoneticPr fontId="22" type="noConversion"/>
  </si>
  <si>
    <t>3구역 S열</t>
    <phoneticPr fontId="22" type="noConversion"/>
  </si>
  <si>
    <t>K 1-1</t>
    <phoneticPr fontId="22" type="noConversion"/>
  </si>
  <si>
    <t>K 1-2</t>
    <phoneticPr fontId="22" type="noConversion"/>
  </si>
  <si>
    <t>K 2-1</t>
    <phoneticPr fontId="22" type="noConversion"/>
  </si>
  <si>
    <t>K 2-2</t>
    <phoneticPr fontId="22" type="noConversion"/>
  </si>
  <si>
    <t>K 2-3</t>
    <phoneticPr fontId="22" type="noConversion"/>
  </si>
  <si>
    <t>K 2-4</t>
    <phoneticPr fontId="22" type="noConversion"/>
  </si>
  <si>
    <t>K 3-1</t>
    <phoneticPr fontId="22" type="noConversion"/>
  </si>
  <si>
    <t>K 3-2</t>
    <phoneticPr fontId="22" type="noConversion"/>
  </si>
  <si>
    <t>K 3-3</t>
    <phoneticPr fontId="22" type="noConversion"/>
  </si>
  <si>
    <t>K 3-4</t>
    <phoneticPr fontId="22" type="noConversion"/>
  </si>
  <si>
    <t>C1001</t>
    <phoneticPr fontId="22" type="noConversion"/>
  </si>
  <si>
    <t>C1002</t>
  </si>
  <si>
    <t>C1003</t>
  </si>
  <si>
    <t>C1004</t>
  </si>
  <si>
    <t>C1005</t>
  </si>
  <si>
    <t>C1006</t>
  </si>
  <si>
    <t>C1007</t>
  </si>
  <si>
    <t>C1008</t>
  </si>
  <si>
    <t>C1009</t>
  </si>
  <si>
    <t>C1010</t>
  </si>
  <si>
    <t>C1011</t>
  </si>
  <si>
    <t>C1012</t>
  </si>
  <si>
    <t>C901</t>
    <phoneticPr fontId="22" type="noConversion"/>
  </si>
  <si>
    <t>C902</t>
  </si>
  <si>
    <t>C903</t>
  </si>
  <si>
    <t>C904</t>
  </si>
  <si>
    <t>C905</t>
  </si>
  <si>
    <t>C906</t>
  </si>
  <si>
    <t>C907</t>
  </si>
  <si>
    <t>C908</t>
  </si>
  <si>
    <t>C909</t>
  </si>
  <si>
    <t>C910</t>
  </si>
  <si>
    <t>C911</t>
  </si>
  <si>
    <t>C912</t>
  </si>
  <si>
    <t>C801</t>
    <phoneticPr fontId="22" type="noConversion"/>
  </si>
  <si>
    <t>C802</t>
  </si>
  <si>
    <t>C803</t>
  </si>
  <si>
    <t>C804</t>
  </si>
  <si>
    <t>C805</t>
  </si>
  <si>
    <t>C806</t>
  </si>
  <si>
    <t>C807</t>
  </si>
  <si>
    <t>C808</t>
  </si>
  <si>
    <t>C809</t>
  </si>
  <si>
    <t>C810</t>
  </si>
  <si>
    <t>C811</t>
  </si>
  <si>
    <t>C812</t>
  </si>
  <si>
    <t>C701</t>
    <phoneticPr fontId="22" type="noConversion"/>
  </si>
  <si>
    <t>C702</t>
  </si>
  <si>
    <t>C703</t>
  </si>
  <si>
    <t>C704</t>
  </si>
  <si>
    <t>C705</t>
  </si>
  <si>
    <t>C706</t>
  </si>
  <si>
    <t>C707</t>
  </si>
  <si>
    <t>C708</t>
  </si>
  <si>
    <t>C709</t>
  </si>
  <si>
    <t>C710</t>
  </si>
  <si>
    <t>C711</t>
  </si>
  <si>
    <t>C712</t>
  </si>
  <si>
    <t>C601</t>
    <phoneticPr fontId="22" type="noConversion"/>
  </si>
  <si>
    <t>C602</t>
  </si>
  <si>
    <t>C603</t>
  </si>
  <si>
    <t>C604</t>
  </si>
  <si>
    <t>C605</t>
  </si>
  <si>
    <t>C606</t>
  </si>
  <si>
    <t>C607</t>
  </si>
  <si>
    <t>C608</t>
  </si>
  <si>
    <t>C609</t>
  </si>
  <si>
    <t>C610</t>
  </si>
  <si>
    <t>C611</t>
  </si>
  <si>
    <t>C501</t>
    <phoneticPr fontId="22" type="noConversion"/>
  </si>
  <si>
    <t>C502</t>
  </si>
  <si>
    <t>C503</t>
  </si>
  <si>
    <t>C504</t>
  </si>
  <si>
    <t>C505</t>
  </si>
  <si>
    <t>C506</t>
  </si>
  <si>
    <t>C507</t>
  </si>
  <si>
    <t>C508</t>
  </si>
  <si>
    <t>C509</t>
  </si>
  <si>
    <t>C510</t>
  </si>
  <si>
    <t>C401</t>
    <phoneticPr fontId="22" type="noConversion"/>
  </si>
  <si>
    <t>C402</t>
  </si>
  <si>
    <t>C403</t>
  </si>
  <si>
    <t>C404</t>
  </si>
  <si>
    <t>C405</t>
  </si>
  <si>
    <t>C406</t>
  </si>
  <si>
    <t>C407</t>
  </si>
  <si>
    <t>C408</t>
  </si>
  <si>
    <t>C409</t>
  </si>
  <si>
    <t>C410</t>
  </si>
  <si>
    <t>C301</t>
    <phoneticPr fontId="22" type="noConversion"/>
  </si>
  <si>
    <t>C302</t>
  </si>
  <si>
    <t>C303</t>
  </si>
  <si>
    <t>C304</t>
  </si>
  <si>
    <t>C305</t>
  </si>
  <si>
    <t>C306</t>
  </si>
  <si>
    <t>C307</t>
  </si>
  <si>
    <t>C308</t>
  </si>
  <si>
    <t>C309</t>
  </si>
  <si>
    <t>C310</t>
  </si>
  <si>
    <t>C201</t>
    <phoneticPr fontId="22" type="noConversion"/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</si>
  <si>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</si>
  <si>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</si>
  <si>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</si>
  <si>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</si>
  <si>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</si>
  <si>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</si>
  <si>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</si>
  <si>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</si>
  <si>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</si>
  <si>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</si>
  <si>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C101</t>
    <phoneticPr fontId="22" type="noConversion"/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</si>
  <si>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</si>
  <si>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</si>
  <si>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</si>
  <si>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</si>
  <si>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</si>
  <si>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</si>
  <si>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</si>
  <si>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</si>
  <si>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</si>
  <si>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</si>
  <si>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G3101</t>
    <phoneticPr fontId="22" type="noConversion"/>
  </si>
  <si>
    <t>G3102</t>
  </si>
  <si>
    <t>B515</t>
    <phoneticPr fontId="22" type="noConversion"/>
  </si>
  <si>
    <t>B516</t>
  </si>
  <si>
    <t>B517</t>
  </si>
  <si>
    <t>B518</t>
  </si>
  <si>
    <t>B519</t>
  </si>
  <si>
    <t>B520</t>
  </si>
  <si>
    <t>B521</t>
  </si>
  <si>
    <t>B522</t>
  </si>
  <si>
    <t>B523</t>
  </si>
  <si>
    <t>B524</t>
  </si>
  <si>
    <t>B415</t>
    <phoneticPr fontId="22" type="noConversion"/>
  </si>
  <si>
    <t>B416</t>
  </si>
  <si>
    <t>B417</t>
  </si>
  <si>
    <t>B418</t>
  </si>
  <si>
    <t>B419</t>
  </si>
  <si>
    <t>B420</t>
  </si>
  <si>
    <t>B421</t>
  </si>
  <si>
    <t>B422</t>
  </si>
  <si>
    <t>B423</t>
  </si>
  <si>
    <t>B424</t>
  </si>
  <si>
    <t>B315</t>
    <phoneticPr fontId="22" type="noConversion"/>
  </si>
  <si>
    <t>B316</t>
  </si>
  <si>
    <t>B317</t>
  </si>
  <si>
    <t>B318</t>
  </si>
  <si>
    <t>B319</t>
  </si>
  <si>
    <t>B320</t>
  </si>
  <si>
    <t>B321</t>
  </si>
  <si>
    <t>B322</t>
  </si>
  <si>
    <t>B323</t>
  </si>
  <si>
    <t>B324</t>
  </si>
  <si>
    <t>B115</t>
    <phoneticPr fontId="22" type="noConversion"/>
  </si>
  <si>
    <t>B116</t>
  </si>
  <si>
    <t>B117</t>
  </si>
  <si>
    <t>B118</t>
  </si>
  <si>
    <t>B119</t>
  </si>
  <si>
    <t>B120</t>
  </si>
  <si>
    <t>B121</t>
  </si>
  <si>
    <t>B122</t>
  </si>
  <si>
    <t>B123</t>
  </si>
  <si>
    <t>B124</t>
  </si>
  <si>
    <t>G2203</t>
    <phoneticPr fontId="22" type="noConversion"/>
  </si>
  <si>
    <t>G1101</t>
    <phoneticPr fontId="22" type="noConversion"/>
  </si>
  <si>
    <t>G1102</t>
  </si>
  <si>
    <t>G1103</t>
  </si>
  <si>
    <t>G1104</t>
  </si>
  <si>
    <t>G1105</t>
  </si>
  <si>
    <t>G1106</t>
  </si>
  <si>
    <t>G1204</t>
  </si>
  <si>
    <t>G1205</t>
  </si>
  <si>
    <t>G1206</t>
  </si>
  <si>
    <t>G1207</t>
  </si>
  <si>
    <t>G1201</t>
    <phoneticPr fontId="22" type="noConversion"/>
  </si>
  <si>
    <t>G1202</t>
  </si>
  <si>
    <t>G1304</t>
  </si>
  <si>
    <t>G1305</t>
  </si>
  <si>
    <t>G1306</t>
  </si>
  <si>
    <t>G1307</t>
  </si>
  <si>
    <t>4층 랙별 전기공급계통</t>
    <phoneticPr fontId="1" type="noConversion"/>
  </si>
  <si>
    <t>2023 in Month:</t>
    <phoneticPr fontId="1" type="noConversion"/>
  </si>
  <si>
    <t>A501</t>
    <phoneticPr fontId="22" type="noConversion"/>
  </si>
  <si>
    <t>A502</t>
  </si>
  <si>
    <t>A503</t>
  </si>
  <si>
    <t>A504</t>
    <phoneticPr fontId="22" type="noConversion"/>
  </si>
  <si>
    <t>A505</t>
    <phoneticPr fontId="22" type="noConversion"/>
  </si>
  <si>
    <t>A506</t>
  </si>
  <si>
    <t>A507</t>
  </si>
  <si>
    <t>A508</t>
  </si>
  <si>
    <t>A509</t>
    <phoneticPr fontId="22" type="noConversion"/>
  </si>
  <si>
    <t>A510</t>
  </si>
  <si>
    <t>A601</t>
    <phoneticPr fontId="22" type="noConversion"/>
  </si>
  <si>
    <t>A602</t>
  </si>
  <si>
    <t>A603</t>
  </si>
  <si>
    <t>A604</t>
  </si>
  <si>
    <t>A605</t>
  </si>
  <si>
    <t>A606</t>
  </si>
  <si>
    <t>A607</t>
    <phoneticPr fontId="22" type="noConversion"/>
  </si>
  <si>
    <t>A608</t>
  </si>
  <si>
    <t>A609</t>
    <phoneticPr fontId="22" type="noConversion"/>
  </si>
  <si>
    <t>A610</t>
  </si>
  <si>
    <t>A702</t>
    <phoneticPr fontId="22" type="noConversion"/>
  </si>
  <si>
    <t>A703</t>
    <phoneticPr fontId="22" type="noConversion"/>
  </si>
  <si>
    <t>A704</t>
    <phoneticPr fontId="22" type="noConversion"/>
  </si>
  <si>
    <t>A705</t>
    <phoneticPr fontId="22" type="noConversion"/>
  </si>
  <si>
    <t>A706</t>
    <phoneticPr fontId="22" type="noConversion"/>
  </si>
  <si>
    <t>A707</t>
    <phoneticPr fontId="22" type="noConversion"/>
  </si>
  <si>
    <t>A708</t>
    <phoneticPr fontId="22" type="noConversion"/>
  </si>
  <si>
    <t>A709</t>
    <phoneticPr fontId="22" type="noConversion"/>
  </si>
  <si>
    <t>A710</t>
    <phoneticPr fontId="22" type="noConversion"/>
  </si>
  <si>
    <t>A804</t>
    <phoneticPr fontId="22" type="noConversion"/>
  </si>
  <si>
    <t>A805</t>
    <phoneticPr fontId="22" type="noConversion"/>
  </si>
  <si>
    <t>A806</t>
    <phoneticPr fontId="22" type="noConversion"/>
  </si>
  <si>
    <t>A807</t>
    <phoneticPr fontId="22" type="noConversion"/>
  </si>
  <si>
    <t>A808</t>
    <phoneticPr fontId="22" type="noConversion"/>
  </si>
  <si>
    <t>A809</t>
    <phoneticPr fontId="22" type="noConversion"/>
  </si>
  <si>
    <t>A810</t>
    <phoneticPr fontId="22" type="noConversion"/>
  </si>
  <si>
    <t>A905</t>
    <phoneticPr fontId="22" type="noConversion"/>
  </si>
  <si>
    <t>A906</t>
    <phoneticPr fontId="22" type="noConversion"/>
  </si>
  <si>
    <t>A907</t>
    <phoneticPr fontId="22" type="noConversion"/>
  </si>
  <si>
    <t>A908</t>
    <phoneticPr fontId="22" type="noConversion"/>
  </si>
  <si>
    <t>A909</t>
    <phoneticPr fontId="22" type="noConversion"/>
  </si>
  <si>
    <t>A910</t>
    <phoneticPr fontId="22" type="noConversion"/>
  </si>
  <si>
    <t>A1005</t>
    <phoneticPr fontId="22" type="noConversion"/>
  </si>
  <si>
    <t>A1006</t>
  </si>
  <si>
    <t>A1007</t>
  </si>
  <si>
    <t>A1008</t>
  </si>
  <si>
    <t>B116</t>
    <phoneticPr fontId="22" type="noConversion"/>
  </si>
  <si>
    <t>B117</t>
    <phoneticPr fontId="22" type="noConversion"/>
  </si>
  <si>
    <t>B216</t>
    <phoneticPr fontId="22" type="noConversion"/>
  </si>
  <si>
    <t>B217</t>
  </si>
  <si>
    <t>B218</t>
  </si>
  <si>
    <t>B219</t>
  </si>
  <si>
    <t>B220</t>
  </si>
  <si>
    <t>B221</t>
  </si>
  <si>
    <t>B222</t>
  </si>
  <si>
    <t>B316</t>
    <phoneticPr fontId="22" type="noConversion"/>
  </si>
  <si>
    <t>B317</t>
    <phoneticPr fontId="22" type="noConversion"/>
  </si>
  <si>
    <t>B416</t>
    <phoneticPr fontId="22" type="noConversion"/>
  </si>
  <si>
    <t>B417</t>
    <phoneticPr fontId="22" type="noConversion"/>
  </si>
  <si>
    <t>B418</t>
    <phoneticPr fontId="22" type="noConversion"/>
  </si>
  <si>
    <t>B425</t>
    <phoneticPr fontId="22" type="noConversion"/>
  </si>
  <si>
    <t>C1002</t>
    <phoneticPr fontId="22" type="noConversion"/>
  </si>
  <si>
    <t>G1102</t>
    <phoneticPr fontId="22" type="noConversion"/>
  </si>
  <si>
    <t>G1103</t>
    <phoneticPr fontId="22" type="noConversion"/>
  </si>
  <si>
    <t>G1104</t>
    <phoneticPr fontId="22" type="noConversion"/>
  </si>
  <si>
    <t>G1105</t>
    <phoneticPr fontId="22" type="noConversion"/>
  </si>
  <si>
    <t>G1203</t>
  </si>
  <si>
    <t>G2101</t>
    <phoneticPr fontId="22" type="noConversion"/>
  </si>
  <si>
    <t>G2102</t>
  </si>
  <si>
    <t>G2103</t>
  </si>
  <si>
    <t>G2104</t>
  </si>
  <si>
    <t>G2204</t>
  </si>
  <si>
    <t>G3103</t>
  </si>
  <si>
    <t xml:space="preserve"> </t>
    <phoneticPr fontId="22" type="noConversion"/>
  </si>
  <si>
    <t>5F-A11</t>
  </si>
  <si>
    <t>5F-A12</t>
  </si>
  <si>
    <t>5F-A13</t>
  </si>
  <si>
    <t>5F-A14</t>
  </si>
  <si>
    <t>5F-A15</t>
  </si>
  <si>
    <t>5F-A16</t>
  </si>
  <si>
    <t>5F-A17</t>
  </si>
  <si>
    <t>5F-A18</t>
  </si>
  <si>
    <t>5F-A19</t>
  </si>
  <si>
    <t>5F-B11</t>
  </si>
  <si>
    <t>5F-B12</t>
  </si>
  <si>
    <t>5F-B13</t>
  </si>
  <si>
    <t>5F-B14</t>
  </si>
  <si>
    <t>5F-B15</t>
  </si>
  <si>
    <t>5F-B16</t>
  </si>
  <si>
    <t>5F-B17</t>
  </si>
  <si>
    <t>5F-B18</t>
  </si>
  <si>
    <t>5F-B19</t>
  </si>
  <si>
    <t>5F-C13</t>
  </si>
  <si>
    <t>5F-C14</t>
  </si>
  <si>
    <t>5F-C15</t>
  </si>
  <si>
    <t>5F-C16</t>
  </si>
  <si>
    <t>5F-C17</t>
  </si>
  <si>
    <t>5F-C18</t>
  </si>
  <si>
    <t>5F-C19</t>
  </si>
  <si>
    <t>5F-D13</t>
  </si>
  <si>
    <t>5F-D14</t>
  </si>
  <si>
    <t>5F-D15</t>
  </si>
  <si>
    <t>5F-D16</t>
  </si>
  <si>
    <t>5F-D17</t>
  </si>
  <si>
    <t>5F-D18</t>
  </si>
  <si>
    <t>5F-D19</t>
  </si>
  <si>
    <t>5F-E13</t>
  </si>
  <si>
    <t>5F-E14</t>
  </si>
  <si>
    <t>5F-E15</t>
  </si>
  <si>
    <t>5F-E16</t>
  </si>
  <si>
    <t>5F-E17</t>
  </si>
  <si>
    <t>5F-E18</t>
  </si>
  <si>
    <t>5F-E19</t>
  </si>
  <si>
    <t>5F-F13</t>
  </si>
  <si>
    <t>5F-F14</t>
  </si>
  <si>
    <t>5F-F15</t>
  </si>
  <si>
    <t>5F-F16</t>
  </si>
  <si>
    <t>5F-F17</t>
  </si>
  <si>
    <t>KG이니시스</t>
  </si>
  <si>
    <t>R17</t>
  </si>
  <si>
    <t>R18</t>
  </si>
  <si>
    <t>R19</t>
  </si>
  <si>
    <t>R20</t>
  </si>
  <si>
    <t>5F-O18</t>
  </si>
  <si>
    <t>5F-O19</t>
  </si>
  <si>
    <t>5F-O20</t>
  </si>
  <si>
    <t>5F-O21</t>
  </si>
  <si>
    <t>5F-O22</t>
  </si>
  <si>
    <t>5F-O23</t>
  </si>
  <si>
    <t>5F-O24</t>
  </si>
  <si>
    <t>5F-N18</t>
  </si>
  <si>
    <t>5F-N19</t>
  </si>
  <si>
    <t>5F-N20</t>
  </si>
  <si>
    <t>5F-N21</t>
  </si>
  <si>
    <t>5F-N22</t>
  </si>
  <si>
    <t>5F-N23</t>
  </si>
  <si>
    <t>5F-N24</t>
  </si>
  <si>
    <t>5F-M12</t>
  </si>
  <si>
    <t>5F-M13</t>
  </si>
  <si>
    <t>5F-M14</t>
  </si>
  <si>
    <t>5F-M15</t>
  </si>
  <si>
    <t>5F-M16</t>
  </si>
  <si>
    <t>5F-K12</t>
  </si>
  <si>
    <t>5F-K13</t>
  </si>
  <si>
    <t>5F-K14</t>
  </si>
  <si>
    <t>5F-K15</t>
  </si>
  <si>
    <t>5F-K16</t>
  </si>
  <si>
    <t>5F-K17</t>
  </si>
  <si>
    <t>5F-K18</t>
  </si>
  <si>
    <t>5F-J12</t>
  </si>
  <si>
    <t>5F-J13</t>
  </si>
  <si>
    <t>5F-J14</t>
  </si>
  <si>
    <t>5F-J15</t>
  </si>
  <si>
    <t>5F-J16</t>
  </si>
  <si>
    <t>5F-J17</t>
  </si>
  <si>
    <t>5F-J18</t>
  </si>
  <si>
    <t>5F-I12</t>
  </si>
  <si>
    <t>5F-I13</t>
  </si>
  <si>
    <t>5F-I14</t>
  </si>
  <si>
    <t>5F-I15</t>
  </si>
  <si>
    <t>5F-I16</t>
  </si>
  <si>
    <t>5F-I17</t>
  </si>
  <si>
    <t>5F-I18</t>
  </si>
  <si>
    <t>예비Rack#04/R-6-4</t>
  </si>
  <si>
    <t>LG CNS</t>
  </si>
  <si>
    <t>예비Rack#03/R6-3</t>
  </si>
  <si>
    <t>예비Rack#02/R6-2</t>
  </si>
  <si>
    <t>예비Rack#01/R6-1</t>
  </si>
  <si>
    <t>5F-H12</t>
  </si>
  <si>
    <t>5F-H13</t>
  </si>
  <si>
    <t>5F-H14</t>
  </si>
  <si>
    <t>5F-H15</t>
  </si>
  <si>
    <t>5F-H16</t>
  </si>
  <si>
    <t>5F-H17</t>
  </si>
  <si>
    <t>5F-H18</t>
  </si>
  <si>
    <t>5F-G12</t>
  </si>
  <si>
    <t>5F-G13</t>
  </si>
  <si>
    <t>5F-G14</t>
  </si>
  <si>
    <t>5F-G15</t>
  </si>
  <si>
    <t>5F-G16</t>
  </si>
  <si>
    <t>5F-G17</t>
  </si>
  <si>
    <t>5F-G18</t>
  </si>
  <si>
    <t>5F-R13</t>
  </si>
  <si>
    <t>5F-R14</t>
  </si>
  <si>
    <t>5F-R15</t>
  </si>
  <si>
    <t>Cloudflare</t>
  </si>
  <si>
    <t>5F-R16</t>
  </si>
  <si>
    <t>5F-R17</t>
  </si>
  <si>
    <t>5F-R18</t>
  </si>
  <si>
    <t>5F-R19</t>
  </si>
  <si>
    <t>5F-Q13</t>
  </si>
  <si>
    <t>5F-Q14</t>
  </si>
  <si>
    <t>5F-Q15</t>
  </si>
  <si>
    <t>5F-Q16</t>
  </si>
  <si>
    <t>5F-Q17</t>
  </si>
  <si>
    <t>5F-Q18</t>
  </si>
  <si>
    <t>5F-Q19</t>
  </si>
  <si>
    <t>5F-N13</t>
  </si>
  <si>
    <t>5F-N14</t>
  </si>
  <si>
    <t>5F-N15</t>
  </si>
  <si>
    <t>5F-N16</t>
  </si>
  <si>
    <t>5F-N17</t>
  </si>
  <si>
    <t>5F-O16</t>
  </si>
  <si>
    <t>5F-O17</t>
  </si>
  <si>
    <t>5F-P13</t>
  </si>
  <si>
    <t>5F-P14</t>
  </si>
  <si>
    <t>5F-P15</t>
  </si>
  <si>
    <t>5F-P16</t>
  </si>
  <si>
    <t>5F-P17</t>
  </si>
  <si>
    <t>5F-P18</t>
  </si>
  <si>
    <t>5F-P19</t>
  </si>
  <si>
    <t>5F-P20</t>
  </si>
  <si>
    <t>5F-P21</t>
  </si>
  <si>
    <t>5F-P22</t>
  </si>
  <si>
    <t>5F-P23</t>
  </si>
  <si>
    <t>5F-P24</t>
  </si>
  <si>
    <t>5F-Q20</t>
  </si>
  <si>
    <t>5F-Q21</t>
  </si>
  <si>
    <t>5F-Q24</t>
  </si>
  <si>
    <t>5F-R24</t>
  </si>
  <si>
    <t>single-2</t>
  </si>
  <si>
    <t>KT Rack #3 (소형 임시정류기)</t>
  </si>
  <si>
    <t>KT Rack #4 (소형 임시정류기)</t>
  </si>
  <si>
    <t>Telstra</t>
  </si>
  <si>
    <t>신규 BMS(4F TPS실) Rack</t>
  </si>
  <si>
    <t>신규 BMS(5F TPS실) Rack</t>
  </si>
  <si>
    <t>4층</t>
    <phoneticPr fontId="1" type="noConversion"/>
  </si>
  <si>
    <t>4-Sejong-Rect-1</t>
  </si>
  <si>
    <t>Sejong Telecom Inc.</t>
  </si>
  <si>
    <t>4-Sejong-Rect-2</t>
  </si>
  <si>
    <t>G4601-G4611</t>
  </si>
  <si>
    <t>G4501-G4511</t>
  </si>
  <si>
    <t>G4401-G4411</t>
  </si>
  <si>
    <t>G4301-G4311</t>
  </si>
  <si>
    <t>G4201-G4211</t>
  </si>
  <si>
    <t>G4101-G4111</t>
  </si>
  <si>
    <t>Media Player</t>
  </si>
  <si>
    <t>Settle Bank Co., Ltd.</t>
  </si>
  <si>
    <t>Suntech Solution</t>
  </si>
  <si>
    <t>Sysone Co., Ltd.</t>
  </si>
  <si>
    <t xml:space="preserve">Digital Edge Korea </t>
  </si>
  <si>
    <t>Ellis Information Technology Co., Ltd.</t>
  </si>
  <si>
    <t>SCG Lab</t>
  </si>
  <si>
    <t>Netoz Co., Ltd.</t>
  </si>
  <si>
    <t>Hi Auto Club Co., Ltd.</t>
  </si>
  <si>
    <t>Daerim I&amp;T</t>
  </si>
  <si>
    <t>Oriental Moon Co., Ltd.</t>
  </si>
  <si>
    <t>Singapore Telecom Korea Limited</t>
  </si>
  <si>
    <t>CASTIS CO.,LTD.</t>
  </si>
  <si>
    <t>TNC Technology</t>
  </si>
  <si>
    <t>Plus Eye Co., Ltd.</t>
  </si>
  <si>
    <t>Hecto Financial Co., Ltd.</t>
  </si>
  <si>
    <t>BS Printech</t>
  </si>
  <si>
    <t>Jongro Hakpyung</t>
  </si>
  <si>
    <t>JS Data Systems Korea</t>
  </si>
  <si>
    <t>CoinNet</t>
  </si>
  <si>
    <t>Winnet System Co., Ltd.</t>
  </si>
  <si>
    <t>ANEXIA</t>
  </si>
  <si>
    <t>Shoot</t>
  </si>
  <si>
    <t>MS Information Communication Co., Ltd.</t>
  </si>
  <si>
    <t>Kyungdong Corporation</t>
  </si>
  <si>
    <t>Wiz Communication Co., Ltd.</t>
  </si>
  <si>
    <t>Spark &amp; ​​Associates Co., Ltd.</t>
  </si>
  <si>
    <t xml:space="preserve"> </t>
    <phoneticPr fontId="1" type="noConversion"/>
  </si>
  <si>
    <t>2구역 I열</t>
    <phoneticPr fontId="22" type="noConversion"/>
  </si>
  <si>
    <t>B115</t>
  </si>
  <si>
    <t>B315</t>
  </si>
  <si>
    <t>B415</t>
  </si>
  <si>
    <t>B515</t>
  </si>
  <si>
    <t>CRAC 4E-1호기(20RT)</t>
  </si>
  <si>
    <t>CRAC 4E-2호기(20RT)</t>
  </si>
  <si>
    <t>PCCW Global Korea Limited</t>
  </si>
  <si>
    <t>Lumen Technologies Korea</t>
  </si>
  <si>
    <t>Dakos Co., Ltd.</t>
  </si>
  <si>
    <t>Ebiz Networks</t>
  </si>
  <si>
    <t>NTT KOREA Co., Ltd.</t>
  </si>
  <si>
    <t>Zeus Networks Co., Ltd.</t>
  </si>
  <si>
    <t>한비로</t>
  </si>
  <si>
    <t>CHANEL KOREA</t>
  </si>
  <si>
    <t>한국보안기술</t>
  </si>
  <si>
    <t>Onse Telink</t>
  </si>
  <si>
    <t>ITNEST</t>
  </si>
  <si>
    <t>Lumen Technology</t>
  </si>
  <si>
    <t>KG이니시스</t>
    <phoneticPr fontId="22" type="noConversion"/>
  </si>
  <si>
    <t>LG CNS</t>
    <phoneticPr fontId="22" type="noConversion"/>
  </si>
  <si>
    <t>Cloudflare</t>
    <phoneticPr fontId="22" type="noConversion"/>
  </si>
  <si>
    <t>LG U Plus</t>
  </si>
  <si>
    <t>Vodafone Enterprise Global Limited</t>
  </si>
  <si>
    <t>싱텔
분전반(A)</t>
    <phoneticPr fontId="22" type="noConversion"/>
  </si>
  <si>
    <t>싱텔
분전반(B)</t>
    <phoneticPr fontId="22" type="noConversion"/>
  </si>
  <si>
    <t>싱텔 SKB CWDM</t>
    <phoneticPr fontId="22" type="noConversion"/>
  </si>
  <si>
    <t>single-2</t>
    <phoneticPr fontId="22" type="noConversion"/>
  </si>
  <si>
    <t>KT Rack #2 (소형 임시정류기)</t>
    <phoneticPr fontId="22" type="noConversion"/>
  </si>
  <si>
    <t>Telstra</t>
    <phoneticPr fontId="22" type="noConversion"/>
  </si>
  <si>
    <t>5F-A10</t>
    <phoneticPr fontId="22" type="noConversion"/>
  </si>
  <si>
    <t>5F-B10</t>
    <phoneticPr fontId="22" type="noConversion"/>
  </si>
  <si>
    <t>5F-C12</t>
    <phoneticPr fontId="22" type="noConversion"/>
  </si>
  <si>
    <t>5F-D12</t>
    <phoneticPr fontId="22" type="noConversion"/>
  </si>
  <si>
    <t>5F-E12</t>
    <phoneticPr fontId="22" type="noConversion"/>
  </si>
  <si>
    <t>5F-F12</t>
    <phoneticPr fontId="22" type="noConversion"/>
  </si>
  <si>
    <t>R12</t>
    <phoneticPr fontId="22" type="noConversion"/>
  </si>
  <si>
    <t>R11</t>
    <phoneticPr fontId="22" type="noConversion"/>
  </si>
  <si>
    <t>R10</t>
    <phoneticPr fontId="22" type="noConversion"/>
  </si>
  <si>
    <t>R9</t>
    <phoneticPr fontId="22" type="noConversion"/>
  </si>
  <si>
    <t>R8</t>
    <phoneticPr fontId="22" type="noConversion"/>
  </si>
  <si>
    <t>R7</t>
    <phoneticPr fontId="22" type="noConversion"/>
  </si>
  <si>
    <t>R6</t>
    <phoneticPr fontId="22" type="noConversion"/>
  </si>
  <si>
    <t>R5</t>
    <phoneticPr fontId="22" type="noConversion"/>
  </si>
  <si>
    <t>R4</t>
    <phoneticPr fontId="22" type="noConversion"/>
  </si>
  <si>
    <t>R3</t>
    <phoneticPr fontId="22" type="noConversion"/>
  </si>
  <si>
    <t>R2</t>
    <phoneticPr fontId="22" type="noConversion"/>
  </si>
  <si>
    <t>R1</t>
    <phoneticPr fontId="22" type="noConversion"/>
  </si>
  <si>
    <t>R13</t>
    <phoneticPr fontId="22" type="noConversion"/>
  </si>
  <si>
    <t>R14</t>
    <phoneticPr fontId="22" type="noConversion"/>
  </si>
  <si>
    <t>R15</t>
    <phoneticPr fontId="22" type="noConversion"/>
  </si>
  <si>
    <t>R16</t>
    <phoneticPr fontId="22" type="noConversion"/>
  </si>
  <si>
    <t>R21</t>
    <phoneticPr fontId="22" type="noConversion"/>
  </si>
  <si>
    <t>R22</t>
    <phoneticPr fontId="22" type="noConversion"/>
  </si>
  <si>
    <t>R23</t>
    <phoneticPr fontId="22" type="noConversion"/>
  </si>
  <si>
    <t>R24</t>
    <phoneticPr fontId="22" type="noConversion"/>
  </si>
  <si>
    <t>5F-M-08</t>
    <phoneticPr fontId="22" type="noConversion"/>
  </si>
  <si>
    <t>5F-M11</t>
    <phoneticPr fontId="22" type="noConversion"/>
  </si>
  <si>
    <t>5F-K11</t>
    <phoneticPr fontId="22" type="noConversion"/>
  </si>
  <si>
    <t>5F-J11</t>
    <phoneticPr fontId="22" type="noConversion"/>
  </si>
  <si>
    <t>5F-I11</t>
    <phoneticPr fontId="22" type="noConversion"/>
  </si>
  <si>
    <t>R5-4</t>
    <phoneticPr fontId="22" type="noConversion"/>
  </si>
  <si>
    <r>
      <t>DGX Rack#3 /</t>
    </r>
    <r>
      <rPr>
        <sz val="11"/>
        <color theme="1"/>
        <rFont val="맑은 고딕"/>
        <family val="2"/>
        <charset val="129"/>
        <scheme val="minor"/>
      </rPr>
      <t xml:space="preserve"> R5-3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</si>
  <si>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DGX Rack#2 /</t>
    </r>
    <r>
      <rPr>
        <sz val="11"/>
        <color theme="1"/>
        <rFont val="맑은 고딕"/>
        <family val="2"/>
        <charset val="129"/>
        <scheme val="minor"/>
      </rPr>
      <t xml:space="preserve"> R5-2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</si>
  <si>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DGX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R5-1</t>
    </r>
    <phoneticPr fontId="22" type="noConversion"/>
  </si>
  <si>
    <t>NetApp AFF#2 / R4-4</t>
    <phoneticPr fontId="22" type="noConversion"/>
  </si>
  <si>
    <t>NetApp FAS#1 / R4-3</t>
    <phoneticPr fontId="22" type="noConversion"/>
  </si>
  <si>
    <r>
      <t>A40 Rack#2 /</t>
    </r>
    <r>
      <rPr>
        <sz val="11"/>
        <color theme="1"/>
        <rFont val="맑은 고딕"/>
        <family val="2"/>
        <charset val="129"/>
        <scheme val="minor"/>
      </rPr>
      <t xml:space="preserve"> R4-2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</si>
  <si>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A40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R4-1</t>
    </r>
    <phoneticPr fontId="22" type="noConversion"/>
  </si>
  <si>
    <t>R3-4</t>
    <phoneticPr fontId="22" type="noConversion"/>
  </si>
  <si>
    <t>NW/Mgmt Rack /
 R3-3</t>
    <phoneticPr fontId="22" type="noConversion"/>
  </si>
  <si>
    <r>
      <t>RTX Rack#9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</si>
  <si>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Rack#8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1</t>
    </r>
    <phoneticPr fontId="22" type="noConversion"/>
  </si>
  <si>
    <r>
      <t>RTX Rack#7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4</t>
    </r>
    <phoneticPr fontId="22" type="noConversion"/>
  </si>
  <si>
    <r>
      <t>RTX Rack#6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</si>
  <si>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r>
      <t>RTX Rack#5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</si>
  <si>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Rack#4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1</t>
    </r>
    <phoneticPr fontId="22" type="noConversion"/>
  </si>
  <si>
    <r>
      <t>RTX Rack#4</t>
    </r>
    <r>
      <rPr>
        <sz val="11"/>
        <color theme="1"/>
        <rFont val="맑은 고딕"/>
        <family val="2"/>
        <charset val="129"/>
        <scheme val="minor"/>
      </rPr>
      <t xml:space="preserve"> / R1-4</t>
    </r>
    <phoneticPr fontId="22" type="noConversion"/>
  </si>
  <si>
    <r>
      <t>RTX Rack#3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</si>
  <si>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r>
      <t>RTX Rack#2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</si>
  <si>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R1-1</t>
    </r>
    <phoneticPr fontId="22" type="noConversion"/>
  </si>
  <si>
    <t>5F-H11</t>
    <phoneticPr fontId="22" type="noConversion"/>
  </si>
  <si>
    <t>5F-G11</t>
    <phoneticPr fontId="22" type="noConversion"/>
  </si>
  <si>
    <t>5F-R12</t>
    <phoneticPr fontId="22" type="noConversion"/>
  </si>
  <si>
    <t>번호없음</t>
    <phoneticPr fontId="22" type="noConversion"/>
  </si>
  <si>
    <t>5F-Q12</t>
    <phoneticPr fontId="22" type="noConversion"/>
  </si>
  <si>
    <t>5F-P-12</t>
    <phoneticPr fontId="22" type="noConversion"/>
  </si>
  <si>
    <t>5F-P-13</t>
    <phoneticPr fontId="22" type="noConversion"/>
  </si>
  <si>
    <t>5F-P-14</t>
    <phoneticPr fontId="22" type="noConversion"/>
  </si>
  <si>
    <t>5F-P-15</t>
    <phoneticPr fontId="22" type="noConversion"/>
  </si>
  <si>
    <t>5F-O12</t>
    <phoneticPr fontId="22" type="noConversion"/>
  </si>
  <si>
    <t>5F-O-14</t>
    <phoneticPr fontId="22" type="noConversion"/>
  </si>
  <si>
    <t>5F-O-15</t>
    <phoneticPr fontId="22" type="noConversion"/>
  </si>
  <si>
    <t>시스템박스</t>
    <phoneticPr fontId="22" type="noConversion"/>
  </si>
  <si>
    <t>지문인식기</t>
    <phoneticPr fontId="22" type="noConversion"/>
  </si>
  <si>
    <t>5F-M-04</t>
    <phoneticPr fontId="22" type="noConversion"/>
  </si>
  <si>
    <t>5F-M-05</t>
    <phoneticPr fontId="22" type="noConversion"/>
  </si>
  <si>
    <t>5F-M-06</t>
    <phoneticPr fontId="22" type="noConversion"/>
  </si>
  <si>
    <t>5F-N12</t>
    <phoneticPr fontId="22" type="noConversion"/>
  </si>
  <si>
    <t>5F-P12</t>
    <phoneticPr fontId="22" type="noConversion"/>
  </si>
  <si>
    <t>pacnet
내
분전반2식</t>
    <phoneticPr fontId="40" type="noConversion"/>
  </si>
  <si>
    <t>싱텔</t>
    <phoneticPr fontId="22" type="noConversion"/>
  </si>
  <si>
    <t>텔스트라</t>
    <phoneticPr fontId="40" type="noConversion"/>
  </si>
  <si>
    <t>A101</t>
    <phoneticPr fontId="22" type="noConversion"/>
  </si>
  <si>
    <t>A102</t>
    <phoneticPr fontId="22" type="noConversion"/>
  </si>
  <si>
    <t>A103</t>
    <phoneticPr fontId="22" type="noConversion"/>
  </si>
  <si>
    <t>A104</t>
    <phoneticPr fontId="22" type="noConversion"/>
  </si>
  <si>
    <t>A105</t>
    <phoneticPr fontId="22" type="noConversion"/>
  </si>
  <si>
    <t>A106</t>
    <phoneticPr fontId="22" type="noConversion"/>
  </si>
  <si>
    <t>A107</t>
    <phoneticPr fontId="22" type="noConversion"/>
  </si>
  <si>
    <t>A108</t>
    <phoneticPr fontId="22" type="noConversion"/>
  </si>
  <si>
    <t>A109</t>
    <phoneticPr fontId="22" type="noConversion"/>
  </si>
  <si>
    <t>A110</t>
    <phoneticPr fontId="22" type="noConversion"/>
  </si>
  <si>
    <t>A201</t>
    <phoneticPr fontId="22" type="noConversion"/>
  </si>
  <si>
    <t>A202</t>
    <phoneticPr fontId="22" type="noConversion"/>
  </si>
  <si>
    <t>A203</t>
    <phoneticPr fontId="22" type="noConversion"/>
  </si>
  <si>
    <t>A204</t>
    <phoneticPr fontId="22" type="noConversion"/>
  </si>
  <si>
    <t>A205</t>
    <phoneticPr fontId="22" type="noConversion"/>
  </si>
  <si>
    <t>A206</t>
    <phoneticPr fontId="22" type="noConversion"/>
  </si>
  <si>
    <t>A207</t>
    <phoneticPr fontId="22" type="noConversion"/>
  </si>
  <si>
    <t>A208</t>
    <phoneticPr fontId="22" type="noConversion"/>
  </si>
  <si>
    <t>A209</t>
    <phoneticPr fontId="22" type="noConversion"/>
  </si>
  <si>
    <t>A210</t>
    <phoneticPr fontId="22" type="noConversion"/>
  </si>
  <si>
    <t>A303</t>
    <phoneticPr fontId="22" type="noConversion"/>
  </si>
  <si>
    <t>A304</t>
    <phoneticPr fontId="22" type="noConversion"/>
  </si>
  <si>
    <t>A305</t>
    <phoneticPr fontId="22" type="noConversion"/>
  </si>
  <si>
    <t>A306</t>
    <phoneticPr fontId="22" type="noConversion"/>
  </si>
  <si>
    <t>A307</t>
    <phoneticPr fontId="22" type="noConversion"/>
  </si>
  <si>
    <t>A308</t>
    <phoneticPr fontId="22" type="noConversion"/>
  </si>
  <si>
    <t>A309</t>
    <phoneticPr fontId="22" type="noConversion"/>
  </si>
  <si>
    <t>A310</t>
    <phoneticPr fontId="22" type="noConversion"/>
  </si>
  <si>
    <t>A403</t>
    <phoneticPr fontId="22" type="noConversion"/>
  </si>
  <si>
    <t>A404</t>
    <phoneticPr fontId="22" type="noConversion"/>
  </si>
  <si>
    <t>A405</t>
    <phoneticPr fontId="22" type="noConversion"/>
  </si>
  <si>
    <t>A406</t>
    <phoneticPr fontId="22" type="noConversion"/>
  </si>
  <si>
    <t>A407</t>
    <phoneticPr fontId="22" type="noConversion"/>
  </si>
  <si>
    <t>A408</t>
    <phoneticPr fontId="22" type="noConversion"/>
  </si>
  <si>
    <t>A409</t>
    <phoneticPr fontId="22" type="noConversion"/>
  </si>
  <si>
    <t>A410</t>
    <phoneticPr fontId="22" type="noConversion"/>
  </si>
  <si>
    <t>A503</t>
    <phoneticPr fontId="22" type="noConversion"/>
  </si>
  <si>
    <t>A506</t>
    <phoneticPr fontId="22" type="noConversion"/>
  </si>
  <si>
    <t>A507</t>
    <phoneticPr fontId="22" type="noConversion"/>
  </si>
  <si>
    <t>A508</t>
    <phoneticPr fontId="22" type="noConversion"/>
  </si>
  <si>
    <t>A510</t>
    <phoneticPr fontId="22" type="noConversion"/>
  </si>
  <si>
    <t>A603</t>
    <phoneticPr fontId="22" type="noConversion"/>
  </si>
  <si>
    <t>A604</t>
    <phoneticPr fontId="22" type="noConversion"/>
  </si>
  <si>
    <t>A605</t>
    <phoneticPr fontId="22" type="noConversion"/>
  </si>
  <si>
    <t>A606</t>
    <phoneticPr fontId="22" type="noConversion"/>
  </si>
  <si>
    <t>A608</t>
    <phoneticPr fontId="22" type="noConversion"/>
  </si>
  <si>
    <t>A610</t>
    <phoneticPr fontId="22" type="noConversion"/>
  </si>
  <si>
    <t>B119</t>
    <phoneticPr fontId="22" type="noConversion"/>
  </si>
  <si>
    <t>B120</t>
    <phoneticPr fontId="22" type="noConversion"/>
  </si>
  <si>
    <t>B121</t>
    <phoneticPr fontId="22" type="noConversion"/>
  </si>
  <si>
    <t>B125</t>
  </si>
  <si>
    <t>B201</t>
    <phoneticPr fontId="22" type="noConversion"/>
  </si>
  <si>
    <t>B202</t>
    <phoneticPr fontId="22" type="noConversion"/>
  </si>
  <si>
    <t>B203</t>
    <phoneticPr fontId="22" type="noConversion"/>
  </si>
  <si>
    <t>B204</t>
  </si>
  <si>
    <t>B205</t>
  </si>
  <si>
    <t>B206</t>
  </si>
  <si>
    <t>B207</t>
  </si>
  <si>
    <t>B208</t>
  </si>
  <si>
    <t>B209</t>
  </si>
  <si>
    <t>B210</t>
    <phoneticPr fontId="22" type="noConversion"/>
  </si>
  <si>
    <t>B211</t>
  </si>
  <si>
    <t>B215</t>
    <phoneticPr fontId="22" type="noConversion"/>
  </si>
  <si>
    <t>B216</t>
  </si>
  <si>
    <t>B223</t>
  </si>
  <si>
    <t>B224</t>
  </si>
  <si>
    <t>B225</t>
  </si>
  <si>
    <t>B301</t>
    <phoneticPr fontId="22" type="noConversion"/>
  </si>
  <si>
    <t>B302</t>
    <phoneticPr fontId="22" type="noConversion"/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</si>
  <si>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</si>
  <si>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</si>
  <si>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</si>
  <si>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</si>
  <si>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</si>
  <si>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</si>
  <si>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</si>
  <si>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</si>
  <si>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</si>
  <si>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B325</t>
  </si>
  <si>
    <t>B401</t>
    <phoneticPr fontId="22" type="noConversion"/>
  </si>
  <si>
    <t>B402</t>
  </si>
  <si>
    <t>B403</t>
  </si>
  <si>
    <t>B404</t>
  </si>
  <si>
    <t>B405</t>
  </si>
  <si>
    <t>B406</t>
  </si>
  <si>
    <t>B407</t>
    <phoneticPr fontId="22" type="noConversion"/>
  </si>
  <si>
    <t>B408</t>
  </si>
  <si>
    <t>B409</t>
  </si>
  <si>
    <t>B410</t>
  </si>
  <si>
    <t>B411</t>
  </si>
  <si>
    <t>B425</t>
  </si>
  <si>
    <t>C305</t>
    <phoneticPr fontId="22" type="noConversion"/>
  </si>
  <si>
    <t>C306</t>
    <phoneticPr fontId="22" type="noConversion"/>
  </si>
  <si>
    <t>G2105</t>
  </si>
  <si>
    <t>G2106</t>
  </si>
  <si>
    <t>G2107</t>
  </si>
  <si>
    <t>G2108</t>
  </si>
  <si>
    <t>6F-AE19</t>
  </si>
  <si>
    <t>6F-AE18</t>
  </si>
  <si>
    <t>6F-AE17</t>
  </si>
  <si>
    <t>6F-AE16</t>
  </si>
  <si>
    <t>6F-AE15</t>
  </si>
  <si>
    <t>6F-AE14</t>
  </si>
  <si>
    <t>6F-AE13</t>
  </si>
  <si>
    <t>6F-AE12</t>
  </si>
  <si>
    <t>6F-AE11</t>
    <phoneticPr fontId="22" type="noConversion"/>
  </si>
  <si>
    <t>6F-AD19</t>
  </si>
  <si>
    <t>6F-AD18</t>
  </si>
  <si>
    <t>6F-AD17</t>
  </si>
  <si>
    <t>6F-AD16</t>
  </si>
  <si>
    <t>6F-AD15</t>
  </si>
  <si>
    <t>6F-AD14</t>
  </si>
  <si>
    <t>6F-AD13</t>
  </si>
  <si>
    <t>6F-AD12</t>
  </si>
  <si>
    <t>6F-AD11</t>
    <phoneticPr fontId="22" type="noConversion"/>
  </si>
  <si>
    <t>6F-AC18</t>
  </si>
  <si>
    <t>6F-AC17</t>
  </si>
  <si>
    <t>6F-AC16</t>
  </si>
  <si>
    <t>6F-AC15</t>
  </si>
  <si>
    <t>6F-AC14</t>
  </si>
  <si>
    <t>6F-AC13</t>
  </si>
  <si>
    <t>6F-AC12</t>
  </si>
  <si>
    <t>6F-AC11</t>
    <phoneticPr fontId="22" type="noConversion"/>
  </si>
  <si>
    <t>6F-AB18</t>
  </si>
  <si>
    <t>6F-AB17</t>
  </si>
  <si>
    <t>6F-AB16</t>
  </si>
  <si>
    <t>6F-AB15</t>
  </si>
  <si>
    <t>6F-AB14</t>
  </si>
  <si>
    <t>6F-AB13</t>
  </si>
  <si>
    <t>6F-AB12</t>
  </si>
  <si>
    <t>6F-AB11</t>
    <phoneticPr fontId="22" type="noConversion"/>
  </si>
  <si>
    <t>6F-V18</t>
    <phoneticPr fontId="22" type="noConversion"/>
  </si>
  <si>
    <t>6F-V17</t>
    <phoneticPr fontId="22" type="noConversion"/>
  </si>
  <si>
    <t>6F-V16</t>
    <phoneticPr fontId="22" type="noConversion"/>
  </si>
  <si>
    <t>6F-V15</t>
    <phoneticPr fontId="22" type="noConversion"/>
  </si>
  <si>
    <t>6F-V14</t>
    <phoneticPr fontId="22" type="noConversion"/>
  </si>
  <si>
    <t>6F-V13</t>
    <phoneticPr fontId="22" type="noConversion"/>
  </si>
  <si>
    <t>6F-V12</t>
    <phoneticPr fontId="22" type="noConversion"/>
  </si>
  <si>
    <t>6F-V11</t>
    <phoneticPr fontId="22" type="noConversion"/>
  </si>
  <si>
    <t>6F-W19</t>
    <phoneticPr fontId="22" type="noConversion"/>
  </si>
  <si>
    <t>6F-W18</t>
    <phoneticPr fontId="22" type="noConversion"/>
  </si>
  <si>
    <t>6F-W17</t>
    <phoneticPr fontId="22" type="noConversion"/>
  </si>
  <si>
    <t>6F-W16</t>
    <phoneticPr fontId="22" type="noConversion"/>
  </si>
  <si>
    <t>6F-W15</t>
    <phoneticPr fontId="22" type="noConversion"/>
  </si>
  <si>
    <t>6F-W14</t>
    <phoneticPr fontId="22" type="noConversion"/>
  </si>
  <si>
    <t>6F-W13</t>
    <phoneticPr fontId="22" type="noConversion"/>
  </si>
  <si>
    <t>6F-W12</t>
    <phoneticPr fontId="22" type="noConversion"/>
  </si>
  <si>
    <t>6F-W11</t>
    <phoneticPr fontId="22" type="noConversion"/>
  </si>
  <si>
    <t>6F-X19</t>
  </si>
  <si>
    <t>6F-X18</t>
  </si>
  <si>
    <t>6F-X17</t>
  </si>
  <si>
    <t>6F-X16</t>
  </si>
  <si>
    <t>6F-X15</t>
  </si>
  <si>
    <t>6F-X14</t>
  </si>
  <si>
    <t>6F-X13</t>
  </si>
  <si>
    <t>6F-X12</t>
  </si>
  <si>
    <t>6F-Y19</t>
  </si>
  <si>
    <t>6F-Y18</t>
  </si>
  <si>
    <t>6F-Y17</t>
  </si>
  <si>
    <t>6F-Y16</t>
  </si>
  <si>
    <t>6F-Y15</t>
  </si>
  <si>
    <t>6F-Y14</t>
  </si>
  <si>
    <t>6F-Y13</t>
  </si>
  <si>
    <t>6F-Y12</t>
  </si>
  <si>
    <t>6F-Y11</t>
    <phoneticPr fontId="22" type="noConversion"/>
  </si>
  <si>
    <t>6F-S11</t>
    <phoneticPr fontId="22" type="noConversion"/>
  </si>
  <si>
    <t>6F-S12</t>
    <phoneticPr fontId="22" type="noConversion"/>
  </si>
  <si>
    <t>6F-S13</t>
    <phoneticPr fontId="22" type="noConversion"/>
  </si>
  <si>
    <t>6F-S14</t>
    <phoneticPr fontId="22" type="noConversion"/>
  </si>
  <si>
    <t>6F-S15</t>
    <phoneticPr fontId="22" type="noConversion"/>
  </si>
  <si>
    <t>6F-S16</t>
    <phoneticPr fontId="22" type="noConversion"/>
  </si>
  <si>
    <t>6F-S17</t>
    <phoneticPr fontId="22" type="noConversion"/>
  </si>
  <si>
    <t>6F-S18</t>
    <phoneticPr fontId="22" type="noConversion"/>
  </si>
  <si>
    <t>6F-S19</t>
    <phoneticPr fontId="22" type="noConversion"/>
  </si>
  <si>
    <t>6F-AA11</t>
    <phoneticPr fontId="22" type="noConversion"/>
  </si>
  <si>
    <t>6F-AA12</t>
  </si>
  <si>
    <t>6F-AA13</t>
  </si>
  <si>
    <t>6F-AA14</t>
  </si>
  <si>
    <t>6F-AA15</t>
  </si>
  <si>
    <t>6F-AA16</t>
  </si>
  <si>
    <t>6F-AA17</t>
  </si>
  <si>
    <t>6F-AA18</t>
  </si>
  <si>
    <t>6F-AA19</t>
  </si>
  <si>
    <t>6F-R11</t>
    <phoneticPr fontId="22" type="noConversion"/>
  </si>
  <si>
    <t>6F-R12</t>
    <phoneticPr fontId="22" type="noConversion"/>
  </si>
  <si>
    <t>6F-R13</t>
    <phoneticPr fontId="22" type="noConversion"/>
  </si>
  <si>
    <t>6F-R14</t>
    <phoneticPr fontId="22" type="noConversion"/>
  </si>
  <si>
    <t>6F-R15</t>
    <phoneticPr fontId="22" type="noConversion"/>
  </si>
  <si>
    <t>6F-R16</t>
    <phoneticPr fontId="22" type="noConversion"/>
  </si>
  <si>
    <t>6F-R17</t>
    <phoneticPr fontId="22" type="noConversion"/>
  </si>
  <si>
    <t>6F-R18</t>
    <phoneticPr fontId="22" type="noConversion"/>
  </si>
  <si>
    <t>6F-R19</t>
    <phoneticPr fontId="22" type="noConversion"/>
  </si>
  <si>
    <t>6F-U10</t>
    <phoneticPr fontId="22" type="noConversion"/>
  </si>
  <si>
    <t>6F-U11</t>
    <phoneticPr fontId="22" type="noConversion"/>
  </si>
  <si>
    <t>6F-U12</t>
    <phoneticPr fontId="22" type="noConversion"/>
  </si>
  <si>
    <t>6F-U13</t>
    <phoneticPr fontId="22" type="noConversion"/>
  </si>
  <si>
    <t>6F-U14</t>
    <phoneticPr fontId="22" type="noConversion"/>
  </si>
  <si>
    <t>6F-U15</t>
    <phoneticPr fontId="22" type="noConversion"/>
  </si>
  <si>
    <t>6F-U16</t>
    <phoneticPr fontId="22" type="noConversion"/>
  </si>
  <si>
    <t>6F-U17</t>
    <phoneticPr fontId="22" type="noConversion"/>
  </si>
  <si>
    <t>6F-U18</t>
    <phoneticPr fontId="22" type="noConversion"/>
  </si>
  <si>
    <t>6F-Q11</t>
    <phoneticPr fontId="22" type="noConversion"/>
  </si>
  <si>
    <t>6F-Q12</t>
    <phoneticPr fontId="22" type="noConversion"/>
  </si>
  <si>
    <t>6F-Q13</t>
    <phoneticPr fontId="22" type="noConversion"/>
  </si>
  <si>
    <t>6F-Q14</t>
    <phoneticPr fontId="22" type="noConversion"/>
  </si>
  <si>
    <t>6F-Q15</t>
    <phoneticPr fontId="22" type="noConversion"/>
  </si>
  <si>
    <t>6F-Q16</t>
    <phoneticPr fontId="22" type="noConversion"/>
  </si>
  <si>
    <t>6F-Q17</t>
    <phoneticPr fontId="22" type="noConversion"/>
  </si>
  <si>
    <t>6F-Q18</t>
    <phoneticPr fontId="22" type="noConversion"/>
  </si>
  <si>
    <t>6F-Q19</t>
    <phoneticPr fontId="22" type="noConversion"/>
  </si>
  <si>
    <t>6F-T11</t>
    <phoneticPr fontId="22" type="noConversion"/>
  </si>
  <si>
    <t>6F-T12</t>
    <phoneticPr fontId="22" type="noConversion"/>
  </si>
  <si>
    <t>6F-T13</t>
    <phoneticPr fontId="22" type="noConversion"/>
  </si>
  <si>
    <t>6F-T14</t>
    <phoneticPr fontId="22" type="noConversion"/>
  </si>
  <si>
    <t>6F-T15</t>
    <phoneticPr fontId="22" type="noConversion"/>
  </si>
  <si>
    <t>6F-T16</t>
    <phoneticPr fontId="22" type="noConversion"/>
  </si>
  <si>
    <t>6F-T17</t>
    <phoneticPr fontId="22" type="noConversion"/>
  </si>
  <si>
    <t>6F-T18</t>
    <phoneticPr fontId="22" type="noConversion"/>
  </si>
  <si>
    <t>6F-T19</t>
    <phoneticPr fontId="22" type="noConversion"/>
  </si>
  <si>
    <t>6F-P11</t>
    <phoneticPr fontId="22" type="noConversion"/>
  </si>
  <si>
    <t>6F-P12</t>
    <phoneticPr fontId="22" type="noConversion"/>
  </si>
  <si>
    <t>6F-P13</t>
    <phoneticPr fontId="22" type="noConversion"/>
  </si>
  <si>
    <t>6F-P14</t>
    <phoneticPr fontId="22" type="noConversion"/>
  </si>
  <si>
    <t>6F-P15</t>
    <phoneticPr fontId="22" type="noConversion"/>
  </si>
  <si>
    <t>6F-P16</t>
    <phoneticPr fontId="22" type="noConversion"/>
  </si>
  <si>
    <t>6F-P17</t>
    <phoneticPr fontId="22" type="noConversion"/>
  </si>
  <si>
    <t>6F-P18</t>
    <phoneticPr fontId="22" type="noConversion"/>
  </si>
  <si>
    <t>6F-P19</t>
    <phoneticPr fontId="22" type="noConversion"/>
  </si>
  <si>
    <t>6F-O11</t>
    <phoneticPr fontId="22" type="noConversion"/>
  </si>
  <si>
    <t>6F-O12</t>
    <phoneticPr fontId="22" type="noConversion"/>
  </si>
  <si>
    <t>6F-O13</t>
    <phoneticPr fontId="22" type="noConversion"/>
  </si>
  <si>
    <t>6F-O14</t>
    <phoneticPr fontId="22" type="noConversion"/>
  </si>
  <si>
    <t>6F-O15</t>
    <phoneticPr fontId="22" type="noConversion"/>
  </si>
  <si>
    <t>6F-O16</t>
    <phoneticPr fontId="22" type="noConversion"/>
  </si>
  <si>
    <t>6F-O17</t>
    <phoneticPr fontId="22" type="noConversion"/>
  </si>
  <si>
    <t>6F-O18</t>
    <phoneticPr fontId="22" type="noConversion"/>
  </si>
  <si>
    <t>6F-O19</t>
    <phoneticPr fontId="22" type="noConversion"/>
  </si>
  <si>
    <t>6F-N11</t>
    <phoneticPr fontId="22" type="noConversion"/>
  </si>
  <si>
    <t>6F-N12</t>
    <phoneticPr fontId="22" type="noConversion"/>
  </si>
  <si>
    <t>6F-N13</t>
    <phoneticPr fontId="22" type="noConversion"/>
  </si>
  <si>
    <t>6F-N14</t>
    <phoneticPr fontId="22" type="noConversion"/>
  </si>
  <si>
    <t>6F-N15</t>
    <phoneticPr fontId="22" type="noConversion"/>
  </si>
  <si>
    <t>6F-N16</t>
    <phoneticPr fontId="22" type="noConversion"/>
  </si>
  <si>
    <t>6F-N17</t>
    <phoneticPr fontId="22" type="noConversion"/>
  </si>
  <si>
    <t>6F-N18</t>
    <phoneticPr fontId="22" type="noConversion"/>
  </si>
  <si>
    <t>6F-N19</t>
    <phoneticPr fontId="22" type="noConversion"/>
  </si>
  <si>
    <t>6F-M11</t>
    <phoneticPr fontId="22" type="noConversion"/>
  </si>
  <si>
    <t>6F-M12</t>
    <phoneticPr fontId="22" type="noConversion"/>
  </si>
  <si>
    <t>6F-M13</t>
    <phoneticPr fontId="22" type="noConversion"/>
  </si>
  <si>
    <t>6F-M14</t>
    <phoneticPr fontId="22" type="noConversion"/>
  </si>
  <si>
    <t>6F-M15</t>
    <phoneticPr fontId="22" type="noConversion"/>
  </si>
  <si>
    <t>6F-M16</t>
    <phoneticPr fontId="22" type="noConversion"/>
  </si>
  <si>
    <t>6F-M17</t>
    <phoneticPr fontId="22" type="noConversion"/>
  </si>
  <si>
    <t>6F-M18</t>
    <phoneticPr fontId="22" type="noConversion"/>
  </si>
  <si>
    <t>6F-M19</t>
    <phoneticPr fontId="22" type="noConversion"/>
  </si>
  <si>
    <t>6F-L11</t>
    <phoneticPr fontId="22" type="noConversion"/>
  </si>
  <si>
    <t>6F-L12</t>
    <phoneticPr fontId="22" type="noConversion"/>
  </si>
  <si>
    <t>6F-L13</t>
    <phoneticPr fontId="22" type="noConversion"/>
  </si>
  <si>
    <t>6F-L14</t>
    <phoneticPr fontId="22" type="noConversion"/>
  </si>
  <si>
    <t>6F-L15</t>
    <phoneticPr fontId="22" type="noConversion"/>
  </si>
  <si>
    <t>6F-L16</t>
    <phoneticPr fontId="22" type="noConversion"/>
  </si>
  <si>
    <t>6F-L17</t>
    <phoneticPr fontId="22" type="noConversion"/>
  </si>
  <si>
    <t>6F-L18</t>
    <phoneticPr fontId="22" type="noConversion"/>
  </si>
  <si>
    <t>6F-L19</t>
    <phoneticPr fontId="22" type="noConversion"/>
  </si>
  <si>
    <t>6F-K11</t>
    <phoneticPr fontId="22" type="noConversion"/>
  </si>
  <si>
    <t>6F-K12</t>
    <phoneticPr fontId="22" type="noConversion"/>
  </si>
  <si>
    <t>6F-K13</t>
    <phoneticPr fontId="22" type="noConversion"/>
  </si>
  <si>
    <t>6F-K14</t>
    <phoneticPr fontId="22" type="noConversion"/>
  </si>
  <si>
    <t>6F-K15</t>
    <phoneticPr fontId="22" type="noConversion"/>
  </si>
  <si>
    <t>6F-K16</t>
    <phoneticPr fontId="22" type="noConversion"/>
  </si>
  <si>
    <t>6F-K17</t>
    <phoneticPr fontId="22" type="noConversion"/>
  </si>
  <si>
    <t>6F-K18</t>
    <phoneticPr fontId="22" type="noConversion"/>
  </si>
  <si>
    <t>6F-K19</t>
    <phoneticPr fontId="22" type="noConversion"/>
  </si>
  <si>
    <t>6F-AF11</t>
    <phoneticPr fontId="22" type="noConversion"/>
  </si>
  <si>
    <t>6F-AF12</t>
  </si>
  <si>
    <t>6F-AF13</t>
  </si>
  <si>
    <t>6F-AF14</t>
  </si>
  <si>
    <t>6F-AF15</t>
  </si>
  <si>
    <t>6F-AF16</t>
  </si>
  <si>
    <t>6F-AF17</t>
  </si>
  <si>
    <t>6F-AF18</t>
  </si>
  <si>
    <t>6F-AF19</t>
  </si>
  <si>
    <t>6F-AG10</t>
    <phoneticPr fontId="22" type="noConversion"/>
  </si>
  <si>
    <t>6F-AG11</t>
  </si>
  <si>
    <t>6F-AG12</t>
    <phoneticPr fontId="22" type="noConversion"/>
  </si>
  <si>
    <t>6F-AG13</t>
    <phoneticPr fontId="22" type="noConversion"/>
  </si>
  <si>
    <t>6F-AG14</t>
    <phoneticPr fontId="22" type="noConversion"/>
  </si>
  <si>
    <t>6F-AG15</t>
    <phoneticPr fontId="22" type="noConversion"/>
  </si>
  <si>
    <t>6F-AG16</t>
    <phoneticPr fontId="22" type="noConversion"/>
  </si>
  <si>
    <t>6F-AG17</t>
    <phoneticPr fontId="22" type="noConversion"/>
  </si>
  <si>
    <t>6F-AG18</t>
    <phoneticPr fontId="22" type="noConversion"/>
  </si>
  <si>
    <t>6F-AG19</t>
    <phoneticPr fontId="22" type="noConversion"/>
  </si>
  <si>
    <t>6F-AG20</t>
  </si>
  <si>
    <t>DE운용실 사무#1</t>
    <phoneticPr fontId="22" type="noConversion"/>
  </si>
  <si>
    <t>DE 출입통제Desk</t>
    <phoneticPr fontId="22" type="noConversion"/>
  </si>
  <si>
    <t>DE운용실 감시모니터</t>
    <phoneticPr fontId="22" type="noConversion"/>
  </si>
  <si>
    <t>DE운용실 사무#2</t>
    <phoneticPr fontId="22" type="noConversion"/>
  </si>
  <si>
    <t>6층 사무실</t>
    <phoneticPr fontId="22" type="noConversion"/>
  </si>
  <si>
    <t>6층 인터넷장비</t>
    <phoneticPr fontId="22" type="noConversion"/>
  </si>
  <si>
    <t>FMS 6층 전원</t>
    <phoneticPr fontId="22" type="noConversion"/>
  </si>
  <si>
    <t>신규 BMS(6F TPS실) Rack</t>
  </si>
  <si>
    <t>주식회사 씨엘엠앤에스</t>
    <phoneticPr fontId="22" type="noConversion"/>
  </si>
  <si>
    <t>Pyler</t>
    <phoneticPr fontId="22" type="noConversion"/>
  </si>
  <si>
    <t>Servis</t>
  </si>
  <si>
    <t>Terrapin Tech Co., Ltd.</t>
  </si>
  <si>
    <t>Net Target</t>
  </si>
  <si>
    <t>Piolink</t>
  </si>
  <si>
    <t>RXN Co., Ltd.</t>
  </si>
  <si>
    <t>에네이</t>
    <phoneticPr fontId="22" type="noConversion"/>
  </si>
  <si>
    <t>DVS Network Korea Co., Ltd.</t>
  </si>
  <si>
    <t>Du System Co., Ltd.</t>
  </si>
  <si>
    <t>Piolink Co., Ltd.</t>
  </si>
  <si>
    <t>주식회사 메타넷티플랫폼</t>
  </si>
  <si>
    <t>U.I.WINS</t>
  </si>
  <si>
    <t>ETSIN Co., Ltd.</t>
  </si>
  <si>
    <t>Dongyang &amp; I&amp;C Co., Ltd.</t>
  </si>
  <si>
    <t>ELIMNET Co., Ltd.</t>
  </si>
  <si>
    <t>MarkPro</t>
  </si>
  <si>
    <t>Enei</t>
  </si>
  <si>
    <t>피플펀드</t>
  </si>
  <si>
    <t>삼성물산(주)패션부문</t>
  </si>
  <si>
    <t>DEK 사무실</t>
    <phoneticPr fontId="22" type="noConversion"/>
  </si>
  <si>
    <t>정류기실</t>
    <phoneticPr fontId="22" type="noConversion"/>
  </si>
  <si>
    <t>A111</t>
    <phoneticPr fontId="22" type="noConversion"/>
  </si>
  <si>
    <t>A402</t>
    <phoneticPr fontId="22" type="noConversion"/>
  </si>
  <si>
    <t>A411</t>
    <phoneticPr fontId="22" type="noConversion"/>
  </si>
  <si>
    <t>A502</t>
    <phoneticPr fontId="22" type="noConversion"/>
  </si>
  <si>
    <t>B204</t>
    <phoneticPr fontId="22" type="noConversion"/>
  </si>
  <si>
    <t>B207</t>
    <phoneticPr fontId="22" type="noConversion"/>
  </si>
  <si>
    <t>B208</t>
    <phoneticPr fontId="22" type="noConversion"/>
  </si>
  <si>
    <t>B209</t>
    <phoneticPr fontId="22" type="noConversion"/>
  </si>
  <si>
    <t>B211</t>
    <phoneticPr fontId="22" type="noConversion"/>
  </si>
  <si>
    <t>B217</t>
    <phoneticPr fontId="22" type="noConversion"/>
  </si>
  <si>
    <t>B218</t>
    <phoneticPr fontId="22" type="noConversion"/>
  </si>
  <si>
    <t>B219</t>
    <phoneticPr fontId="22" type="noConversion"/>
  </si>
  <si>
    <t>B222</t>
    <phoneticPr fontId="22" type="noConversion"/>
  </si>
  <si>
    <t>B223</t>
    <phoneticPr fontId="22" type="noConversion"/>
  </si>
  <si>
    <t>B224</t>
    <phoneticPr fontId="22" type="noConversion"/>
  </si>
  <si>
    <t>B225</t>
    <phoneticPr fontId="22" type="noConversion"/>
  </si>
  <si>
    <t>B306</t>
    <phoneticPr fontId="22" type="noConversion"/>
  </si>
  <si>
    <t>B307</t>
    <phoneticPr fontId="22" type="noConversion"/>
  </si>
  <si>
    <t>B308</t>
    <phoneticPr fontId="22" type="noConversion"/>
  </si>
  <si>
    <t>B309</t>
    <phoneticPr fontId="22" type="noConversion"/>
  </si>
  <si>
    <t>B310</t>
    <phoneticPr fontId="22" type="noConversion"/>
  </si>
  <si>
    <t>B319</t>
    <phoneticPr fontId="22" type="noConversion"/>
  </si>
  <si>
    <t>B320</t>
    <phoneticPr fontId="22" type="noConversion"/>
  </si>
  <si>
    <t>B322</t>
    <phoneticPr fontId="22" type="noConversion"/>
  </si>
  <si>
    <t>B323</t>
    <phoneticPr fontId="22" type="noConversion"/>
  </si>
  <si>
    <t>B402</t>
    <phoneticPr fontId="22" type="noConversion"/>
  </si>
  <si>
    <t>B403</t>
    <phoneticPr fontId="22" type="noConversion"/>
  </si>
  <si>
    <t>B404</t>
    <phoneticPr fontId="22" type="noConversion"/>
  </si>
  <si>
    <t>B405</t>
    <phoneticPr fontId="22" type="noConversion"/>
  </si>
  <si>
    <t>B406</t>
    <phoneticPr fontId="22" type="noConversion"/>
  </si>
  <si>
    <t>B408</t>
    <phoneticPr fontId="22" type="noConversion"/>
  </si>
  <si>
    <t>B409</t>
    <phoneticPr fontId="22" type="noConversion"/>
  </si>
  <si>
    <t>B410</t>
    <phoneticPr fontId="22" type="noConversion"/>
  </si>
  <si>
    <t>B411</t>
    <phoneticPr fontId="22" type="noConversion"/>
  </si>
  <si>
    <t>B419</t>
    <phoneticPr fontId="22" type="noConversion"/>
  </si>
  <si>
    <t>B420</t>
    <phoneticPr fontId="22" type="noConversion"/>
  </si>
  <si>
    <t>B421</t>
    <phoneticPr fontId="22" type="noConversion"/>
  </si>
  <si>
    <t>B502</t>
    <phoneticPr fontId="22" type="noConversion"/>
  </si>
  <si>
    <t>B503</t>
    <phoneticPr fontId="22" type="noConversion"/>
  </si>
  <si>
    <t>B504</t>
    <phoneticPr fontId="22" type="noConversion"/>
  </si>
  <si>
    <t>B505</t>
    <phoneticPr fontId="22" type="noConversion"/>
  </si>
  <si>
    <t>B506</t>
    <phoneticPr fontId="22" type="noConversion"/>
  </si>
  <si>
    <t>B507</t>
    <phoneticPr fontId="22" type="noConversion"/>
  </si>
  <si>
    <t>B508</t>
    <phoneticPr fontId="22" type="noConversion"/>
  </si>
  <si>
    <t>B509</t>
    <phoneticPr fontId="22" type="noConversion"/>
  </si>
  <si>
    <t>B510</t>
    <phoneticPr fontId="22" type="noConversion"/>
  </si>
  <si>
    <t>B516</t>
    <phoneticPr fontId="22" type="noConversion"/>
  </si>
  <si>
    <t>B517</t>
    <phoneticPr fontId="22" type="noConversion"/>
  </si>
  <si>
    <t>B524</t>
    <phoneticPr fontId="22" type="noConversion"/>
  </si>
  <si>
    <t>B615</t>
    <phoneticPr fontId="22" type="noConversion"/>
  </si>
  <si>
    <t>B616</t>
    <phoneticPr fontId="22" type="noConversion"/>
  </si>
  <si>
    <t>B617</t>
    <phoneticPr fontId="22" type="noConversion"/>
  </si>
  <si>
    <t>B618</t>
    <phoneticPr fontId="22" type="noConversion"/>
  </si>
  <si>
    <t>B619</t>
    <phoneticPr fontId="22" type="noConversion"/>
  </si>
  <si>
    <t>B620</t>
    <phoneticPr fontId="22" type="noConversion"/>
  </si>
  <si>
    <t>B621</t>
    <phoneticPr fontId="22" type="noConversion"/>
  </si>
  <si>
    <t>B622</t>
    <phoneticPr fontId="22" type="noConversion"/>
  </si>
  <si>
    <t>B623</t>
    <phoneticPr fontId="22" type="noConversion"/>
  </si>
  <si>
    <t>B624</t>
    <phoneticPr fontId="22" type="noConversion"/>
  </si>
  <si>
    <t>B625</t>
    <phoneticPr fontId="22" type="noConversion"/>
  </si>
  <si>
    <t>C104</t>
    <phoneticPr fontId="22" type="noConversion"/>
  </si>
  <si>
    <t>C105</t>
    <phoneticPr fontId="22" type="noConversion"/>
  </si>
  <si>
    <t>C107</t>
    <phoneticPr fontId="22" type="noConversion"/>
  </si>
  <si>
    <t>C108</t>
    <phoneticPr fontId="22" type="noConversion"/>
  </si>
  <si>
    <t>C109</t>
    <phoneticPr fontId="22" type="noConversion"/>
  </si>
  <si>
    <t>C110</t>
    <phoneticPr fontId="22" type="noConversion"/>
  </si>
  <si>
    <t>C202</t>
    <phoneticPr fontId="22" type="noConversion"/>
  </si>
  <si>
    <t>C203</t>
    <phoneticPr fontId="22" type="noConversion"/>
  </si>
  <si>
    <t>C204</t>
    <phoneticPr fontId="22" type="noConversion"/>
  </si>
  <si>
    <t>C205</t>
    <phoneticPr fontId="22" type="noConversion"/>
  </si>
  <si>
    <t>C206</t>
    <phoneticPr fontId="22" type="noConversion"/>
  </si>
  <si>
    <t>C207</t>
    <phoneticPr fontId="22" type="noConversion"/>
  </si>
  <si>
    <t>C208</t>
    <phoneticPr fontId="22" type="noConversion"/>
  </si>
  <si>
    <t>C304</t>
    <phoneticPr fontId="22" type="noConversion"/>
  </si>
  <si>
    <t>C307</t>
    <phoneticPr fontId="22" type="noConversion"/>
  </si>
  <si>
    <t>C308</t>
    <phoneticPr fontId="22" type="noConversion"/>
  </si>
  <si>
    <t>C309</t>
    <phoneticPr fontId="22" type="noConversion"/>
  </si>
  <si>
    <t>C310</t>
    <phoneticPr fontId="22" type="noConversion"/>
  </si>
  <si>
    <t>C402</t>
    <phoneticPr fontId="22" type="noConversion"/>
  </si>
  <si>
    <t>C403</t>
    <phoneticPr fontId="22" type="noConversion"/>
  </si>
  <si>
    <t>C404</t>
    <phoneticPr fontId="22" type="noConversion"/>
  </si>
  <si>
    <t>C405</t>
    <phoneticPr fontId="22" type="noConversion"/>
  </si>
  <si>
    <t>C406</t>
    <phoneticPr fontId="22" type="noConversion"/>
  </si>
  <si>
    <t>C407</t>
    <phoneticPr fontId="22" type="noConversion"/>
  </si>
  <si>
    <t>C408</t>
    <phoneticPr fontId="22" type="noConversion"/>
  </si>
  <si>
    <t>C409</t>
    <phoneticPr fontId="22" type="noConversion"/>
  </si>
  <si>
    <t>C502</t>
    <phoneticPr fontId="22" type="noConversion"/>
  </si>
  <si>
    <t>C503</t>
    <phoneticPr fontId="22" type="noConversion"/>
  </si>
  <si>
    <t>C504</t>
    <phoneticPr fontId="22" type="noConversion"/>
  </si>
  <si>
    <t>C505</t>
    <phoneticPr fontId="22" type="noConversion"/>
  </si>
  <si>
    <t>C506</t>
    <phoneticPr fontId="22" type="noConversion"/>
  </si>
  <si>
    <t>C507</t>
    <phoneticPr fontId="22" type="noConversion"/>
  </si>
  <si>
    <t>C508</t>
    <phoneticPr fontId="22" type="noConversion"/>
  </si>
  <si>
    <t>C509</t>
    <phoneticPr fontId="22" type="noConversion"/>
  </si>
  <si>
    <t>C510</t>
    <phoneticPr fontId="22" type="noConversion"/>
  </si>
  <si>
    <t>C602</t>
    <phoneticPr fontId="22" type="noConversion"/>
  </si>
  <si>
    <t>C603</t>
    <phoneticPr fontId="22" type="noConversion"/>
  </si>
  <si>
    <t>C604</t>
    <phoneticPr fontId="22" type="noConversion"/>
  </si>
  <si>
    <t>C605</t>
    <phoneticPr fontId="22" type="noConversion"/>
  </si>
  <si>
    <t>C606</t>
    <phoneticPr fontId="22" type="noConversion"/>
  </si>
  <si>
    <t>C607</t>
    <phoneticPr fontId="22" type="noConversion"/>
  </si>
  <si>
    <t>C608</t>
    <phoneticPr fontId="22" type="noConversion"/>
  </si>
  <si>
    <t>C609</t>
    <phoneticPr fontId="22" type="noConversion"/>
  </si>
  <si>
    <t>C610</t>
    <phoneticPr fontId="22" type="noConversion"/>
  </si>
  <si>
    <t>C702</t>
    <phoneticPr fontId="22" type="noConversion"/>
  </si>
  <si>
    <t>C703</t>
    <phoneticPr fontId="22" type="noConversion"/>
  </si>
  <si>
    <t>C704</t>
    <phoneticPr fontId="22" type="noConversion"/>
  </si>
  <si>
    <t>C705</t>
    <phoneticPr fontId="22" type="noConversion"/>
  </si>
  <si>
    <t>C706</t>
    <phoneticPr fontId="22" type="noConversion"/>
  </si>
  <si>
    <t>C707</t>
    <phoneticPr fontId="22" type="noConversion"/>
  </si>
  <si>
    <t>C708</t>
    <phoneticPr fontId="22" type="noConversion"/>
  </si>
  <si>
    <t>C709</t>
    <phoneticPr fontId="22" type="noConversion"/>
  </si>
  <si>
    <t>C710</t>
    <phoneticPr fontId="22" type="noConversion"/>
  </si>
  <si>
    <t>C802</t>
    <phoneticPr fontId="22" type="noConversion"/>
  </si>
  <si>
    <t>C803</t>
    <phoneticPr fontId="22" type="noConversion"/>
  </si>
  <si>
    <t>C804</t>
    <phoneticPr fontId="22" type="noConversion"/>
  </si>
  <si>
    <t>C805</t>
    <phoneticPr fontId="22" type="noConversion"/>
  </si>
  <si>
    <t>C806</t>
    <phoneticPr fontId="22" type="noConversion"/>
  </si>
  <si>
    <t>C807</t>
    <phoneticPr fontId="22" type="noConversion"/>
  </si>
  <si>
    <t>C808</t>
    <phoneticPr fontId="22" type="noConversion"/>
  </si>
  <si>
    <t>C902</t>
    <phoneticPr fontId="22" type="noConversion"/>
  </si>
  <si>
    <t>C903</t>
    <phoneticPr fontId="22" type="noConversion"/>
  </si>
  <si>
    <t>C904</t>
    <phoneticPr fontId="22" type="noConversion"/>
  </si>
  <si>
    <t>C907</t>
    <phoneticPr fontId="22" type="noConversion"/>
  </si>
  <si>
    <t>C908</t>
    <phoneticPr fontId="22" type="noConversion"/>
  </si>
  <si>
    <t>C909</t>
    <phoneticPr fontId="22" type="noConversion"/>
  </si>
  <si>
    <t>C910</t>
    <phoneticPr fontId="22" type="noConversion"/>
  </si>
  <si>
    <t>C1003</t>
    <phoneticPr fontId="22" type="noConversion"/>
  </si>
  <si>
    <t>C1004</t>
    <phoneticPr fontId="22" type="noConversion"/>
  </si>
  <si>
    <t>C1005</t>
    <phoneticPr fontId="22" type="noConversion"/>
  </si>
  <si>
    <t>C1006</t>
    <phoneticPr fontId="22" type="noConversion"/>
  </si>
  <si>
    <t>C1007</t>
    <phoneticPr fontId="22" type="noConversion"/>
  </si>
  <si>
    <t>C1008</t>
    <phoneticPr fontId="22" type="noConversion"/>
  </si>
  <si>
    <t>C1009</t>
    <phoneticPr fontId="22" type="noConversion"/>
  </si>
  <si>
    <t>C1101</t>
    <phoneticPr fontId="22" type="noConversion"/>
  </si>
  <si>
    <t>C1102</t>
    <phoneticPr fontId="22" type="noConversion"/>
  </si>
  <si>
    <t>C1103</t>
    <phoneticPr fontId="22" type="noConversion"/>
  </si>
  <si>
    <t>C1104</t>
    <phoneticPr fontId="22" type="noConversion"/>
  </si>
  <si>
    <t>C1105</t>
    <phoneticPr fontId="22" type="noConversion"/>
  </si>
  <si>
    <t>C1106</t>
    <phoneticPr fontId="22" type="noConversion"/>
  </si>
  <si>
    <t>C1107</t>
    <phoneticPr fontId="22" type="noConversion"/>
  </si>
  <si>
    <t>C1108</t>
    <phoneticPr fontId="22" type="noConversion"/>
  </si>
  <si>
    <t>C1109</t>
    <phoneticPr fontId="22" type="noConversion"/>
  </si>
  <si>
    <t>SJT 정류기1</t>
    <phoneticPr fontId="22" type="noConversion"/>
  </si>
  <si>
    <t>SJT 정류기2</t>
    <phoneticPr fontId="22" type="noConversion"/>
  </si>
  <si>
    <t>TEST_BED</t>
  </si>
  <si>
    <t>538B_NOKIA1830</t>
  </si>
  <si>
    <t>537B_NOKIA1830</t>
  </si>
  <si>
    <t>536B_NOKIA1830</t>
  </si>
  <si>
    <t>536B_NOKIA1830, PSS-8</t>
    <phoneticPr fontId="22" type="noConversion"/>
  </si>
  <si>
    <t>440B_CN6500</t>
  </si>
  <si>
    <t>439B_CN6500</t>
  </si>
  <si>
    <t>437B(上)_코위버P7200</t>
    <phoneticPr fontId="22" type="noConversion"/>
  </si>
  <si>
    <t>437B(下)_텔레필드_FM700</t>
    <phoneticPr fontId="22" type="noConversion"/>
  </si>
  <si>
    <t>436B_코위버P7200</t>
  </si>
  <si>
    <t>Sejong Telecom Inc.</t>
    <phoneticPr fontId="22" type="noConversion"/>
  </si>
  <si>
    <t>339B_CN4200</t>
  </si>
  <si>
    <t>336B_CN4200</t>
  </si>
  <si>
    <t>335B_CN4200</t>
  </si>
  <si>
    <t>334B_CN4200</t>
  </si>
  <si>
    <t>244B_코위버CWDM</t>
  </si>
  <si>
    <t>243B_코위버CWDM</t>
  </si>
  <si>
    <t>240B_코위버CWDM</t>
  </si>
  <si>
    <t>239B_OSN7500</t>
  </si>
  <si>
    <t>238B_동원DWDM</t>
  </si>
  <si>
    <t>237B_CN4200</t>
  </si>
  <si>
    <t>236B_CN4200</t>
  </si>
  <si>
    <t>532B_코위버1664</t>
  </si>
  <si>
    <t>531B_코위버1664</t>
  </si>
  <si>
    <t>530B_코위버1664</t>
  </si>
  <si>
    <t>Sejong Telecom Inc.('23.10.12 투입)</t>
    <phoneticPr fontId="22" type="noConversion"/>
  </si>
  <si>
    <t>527B_코위버1664</t>
  </si>
  <si>
    <t>526B_코위버1664</t>
  </si>
  <si>
    <t>525B_코위버1664</t>
  </si>
  <si>
    <t>524B_코위버1664</t>
  </si>
  <si>
    <t>523B_코위버3264</t>
  </si>
  <si>
    <t>514B_LGU+장비</t>
  </si>
  <si>
    <t>513B_SKB장비</t>
  </si>
  <si>
    <t>Digital Edge</t>
    <phoneticPr fontId="22" type="noConversion"/>
  </si>
  <si>
    <t>511B_LGU+장비</t>
  </si>
  <si>
    <t>427B_ZTE POTN</t>
  </si>
  <si>
    <t>426B_ZTE POTN</t>
  </si>
  <si>
    <t>425B_ZTE POTN</t>
  </si>
  <si>
    <t>424B_ZTE385</t>
  </si>
  <si>
    <t>423B_코위버1664</t>
  </si>
  <si>
    <t>420B_DOTS</t>
  </si>
  <si>
    <t>418B_SKB장비</t>
  </si>
  <si>
    <t>416B_Patch</t>
  </si>
  <si>
    <t>415B_Patch</t>
  </si>
  <si>
    <t>414B_드림라인</t>
  </si>
  <si>
    <t>코위버 ROADM</t>
    <phoneticPr fontId="22" type="noConversion"/>
  </si>
  <si>
    <t>329B_ZTE385</t>
  </si>
  <si>
    <t>328B_ZTE385</t>
  </si>
  <si>
    <t>327B_ZTE385</t>
  </si>
  <si>
    <t>326B_코위버1664</t>
  </si>
  <si>
    <t>325B_코위버CWDM</t>
  </si>
  <si>
    <t>　</t>
  </si>
  <si>
    <t>231B_ZTE385</t>
  </si>
  <si>
    <t>230B_ZTE385</t>
  </si>
  <si>
    <t>229B_ZTE385</t>
  </si>
  <si>
    <t>228B_ZTE385</t>
  </si>
  <si>
    <t>227B_ZTE385</t>
  </si>
  <si>
    <t>226B_코위버155M</t>
  </si>
  <si>
    <t>225B_코위버622M</t>
  </si>
  <si>
    <t>224B_우리넷</t>
  </si>
  <si>
    <t>223B_코위버155M</t>
  </si>
  <si>
    <t>219B_코위버PTN</t>
  </si>
  <si>
    <t>DEKR, Network Rack#2</t>
  </si>
  <si>
    <t>DEKR, Network Rack#1</t>
    <phoneticPr fontId="22" type="noConversion"/>
  </si>
  <si>
    <t>212B_코위버155M</t>
  </si>
  <si>
    <t>121B_ZTE325</t>
  </si>
  <si>
    <t>120B_ZTE325</t>
  </si>
  <si>
    <t>119B_우리넷</t>
  </si>
  <si>
    <t>118B_ZTE385</t>
  </si>
  <si>
    <t>117B_ZTE385</t>
  </si>
  <si>
    <t>116B_ZTE385</t>
  </si>
  <si>
    <t>115B_ZTE325</t>
  </si>
  <si>
    <t>114B_ZTE325</t>
  </si>
  <si>
    <t>113B_ZTE325</t>
  </si>
  <si>
    <t>112B_ZTE325</t>
  </si>
  <si>
    <t>111B_ZTE325</t>
  </si>
  <si>
    <t>506B_KT장비</t>
  </si>
  <si>
    <t>504B_KT장비</t>
  </si>
  <si>
    <t>503B_KT장비</t>
  </si>
  <si>
    <t>502B_KT장비</t>
  </si>
  <si>
    <t>501B_LGU+장비</t>
  </si>
  <si>
    <t>LGU+PDP</t>
    <phoneticPr fontId="22" type="noConversion"/>
  </si>
  <si>
    <t>306B_SKB장비</t>
  </si>
  <si>
    <t>305B_LGU+장비</t>
  </si>
  <si>
    <t>304B_KT장비</t>
  </si>
  <si>
    <t>303B_NDCS</t>
  </si>
  <si>
    <t>302B_SKB</t>
    <phoneticPr fontId="22" type="noConversion"/>
  </si>
  <si>
    <t>Shinhan financial Investment</t>
    <phoneticPr fontId="22" type="noConversion"/>
  </si>
  <si>
    <t>Quad Miner</t>
    <phoneticPr fontId="22" type="noConversion"/>
  </si>
  <si>
    <t>7F-G07 랙</t>
    <phoneticPr fontId="22" type="noConversion"/>
  </si>
  <si>
    <t>7F-G02 랙</t>
    <phoneticPr fontId="22" type="noConversion"/>
  </si>
  <si>
    <t>7F-G01 랙</t>
    <phoneticPr fontId="22" type="noConversion"/>
  </si>
  <si>
    <t>CARANG</t>
  </si>
  <si>
    <t>Delphicom Co., Ltd.</t>
  </si>
  <si>
    <t>Feather-IT</t>
    <phoneticPr fontId="22" type="noConversion"/>
  </si>
  <si>
    <t>7F-F03 랙</t>
  </si>
  <si>
    <t>7F-F02 랙</t>
  </si>
  <si>
    <t>7F-F01 랙</t>
  </si>
  <si>
    <t>eBID</t>
    <phoneticPr fontId="22" type="noConversion"/>
  </si>
  <si>
    <t>Exanet</t>
  </si>
  <si>
    <t>Net People Co., Ltd.</t>
  </si>
  <si>
    <t>7F-E01 랙</t>
  </si>
  <si>
    <t>Needs Telecom</t>
    <phoneticPr fontId="22" type="noConversion"/>
  </si>
  <si>
    <t>NTT KOREA Co., Ltd.</t>
    <phoneticPr fontId="22" type="noConversion"/>
  </si>
  <si>
    <t>UNSYS Co., Ltd.</t>
    <phoneticPr fontId="22" type="noConversion"/>
  </si>
  <si>
    <t>IT Train</t>
    <phoneticPr fontId="22" type="noConversion"/>
  </si>
  <si>
    <t>7F-C04 랙</t>
    <phoneticPr fontId="22" type="noConversion"/>
  </si>
  <si>
    <t>7F-C03 랙</t>
    <phoneticPr fontId="22" type="noConversion"/>
  </si>
  <si>
    <t>7F-B04 랙</t>
    <phoneticPr fontId="22" type="noConversion"/>
  </si>
  <si>
    <t>7F-B03 랙</t>
    <phoneticPr fontId="22" type="noConversion"/>
  </si>
  <si>
    <t>7F-B02 랙</t>
    <phoneticPr fontId="22" type="noConversion"/>
  </si>
  <si>
    <t>7F-B01 랙</t>
    <phoneticPr fontId="22" type="noConversion"/>
  </si>
  <si>
    <t>LG Hello Vision Co., Ltd.</t>
    <phoneticPr fontId="22" type="noConversion"/>
  </si>
  <si>
    <t>신규BMS(20F TPS실) Rack</t>
  </si>
  <si>
    <t>신규BMS(7F TPS실) Rack</t>
  </si>
  <si>
    <t>8층 Office 분전반(창고)</t>
  </si>
  <si>
    <t>538 BAY</t>
  </si>
  <si>
    <t>537 BAY</t>
  </si>
  <si>
    <t>536 BAY</t>
  </si>
  <si>
    <t>535 BAY</t>
    <phoneticPr fontId="22" type="noConversion"/>
  </si>
  <si>
    <t>443 BAY</t>
  </si>
  <si>
    <t>442 BAY</t>
  </si>
  <si>
    <t>441 BAY</t>
  </si>
  <si>
    <t>440 BAY</t>
  </si>
  <si>
    <t>439 BAY</t>
  </si>
  <si>
    <t>437 BAY</t>
  </si>
  <si>
    <t>436 BAY</t>
  </si>
  <si>
    <t>343 BAY</t>
  </si>
  <si>
    <t>342 BAY</t>
  </si>
  <si>
    <t>341 BAY</t>
  </si>
  <si>
    <t>340 BAY</t>
  </si>
  <si>
    <t>339 BAY</t>
  </si>
  <si>
    <t>338 BAY</t>
  </si>
  <si>
    <t>337 BAY</t>
  </si>
  <si>
    <t>336 BAY</t>
  </si>
  <si>
    <t>335 BAY</t>
  </si>
  <si>
    <t>334 BAY</t>
  </si>
  <si>
    <t>244 BAY</t>
  </si>
  <si>
    <t>243 BAY</t>
  </si>
  <si>
    <t>242 BAY</t>
  </si>
  <si>
    <t>241 BAY</t>
  </si>
  <si>
    <t>240 BAY</t>
  </si>
  <si>
    <t>239 BAY</t>
  </si>
  <si>
    <t>238 BAY</t>
  </si>
  <si>
    <t>237 BAY</t>
  </si>
  <si>
    <t>236 BAY</t>
  </si>
  <si>
    <t>532 BAY</t>
  </si>
  <si>
    <t>531 BAY</t>
  </si>
  <si>
    <t>530 BAY</t>
  </si>
  <si>
    <t>527 BAY</t>
  </si>
  <si>
    <t>526 BAY</t>
  </si>
  <si>
    <t>525 BAY</t>
  </si>
  <si>
    <t>524 BAY</t>
  </si>
  <si>
    <t>523 BAY</t>
  </si>
  <si>
    <t>514 BAY</t>
  </si>
  <si>
    <t>513 BAY</t>
  </si>
  <si>
    <t>512 BAY</t>
  </si>
  <si>
    <t>511 BAY</t>
  </si>
  <si>
    <t>427 BAY</t>
  </si>
  <si>
    <t>426 BAY</t>
  </si>
  <si>
    <t>425 BAY</t>
  </si>
  <si>
    <t>424 BAY</t>
  </si>
  <si>
    <t>423 BAY</t>
  </si>
  <si>
    <t>420 BAY</t>
  </si>
  <si>
    <t>419 BAY</t>
  </si>
  <si>
    <t>418 BAY</t>
  </si>
  <si>
    <t>416 BAY</t>
  </si>
  <si>
    <t>415 BAY</t>
  </si>
  <si>
    <t>414 BAY</t>
  </si>
  <si>
    <t>413 BAY</t>
  </si>
  <si>
    <t>331 BAY</t>
  </si>
  <si>
    <t>330 BAY</t>
  </si>
  <si>
    <t>329 BAY</t>
  </si>
  <si>
    <t>328 BAY</t>
  </si>
  <si>
    <t>327 BAY</t>
  </si>
  <si>
    <t>326 BAY</t>
  </si>
  <si>
    <t>325 BAY</t>
  </si>
  <si>
    <t>324 BAY</t>
  </si>
  <si>
    <t>323 BAY</t>
  </si>
  <si>
    <t>322 BAY</t>
  </si>
  <si>
    <t>318 BAY</t>
  </si>
  <si>
    <t>317 BAY</t>
  </si>
  <si>
    <t>316 BAY</t>
  </si>
  <si>
    <t>315 BAY</t>
  </si>
  <si>
    <t>314 BAY</t>
  </si>
  <si>
    <t>313 BAY</t>
  </si>
  <si>
    <t>312 BAY</t>
  </si>
  <si>
    <t>311 BAY</t>
  </si>
  <si>
    <t>231 BAY</t>
  </si>
  <si>
    <t>230 BAY</t>
  </si>
  <si>
    <t>229 BAY</t>
  </si>
  <si>
    <t>228 BAY</t>
  </si>
  <si>
    <t>227 BAY</t>
  </si>
  <si>
    <t>226 BAY</t>
  </si>
  <si>
    <t>225 BAY</t>
  </si>
  <si>
    <t>224 BAY</t>
  </si>
  <si>
    <t>223 BAY</t>
  </si>
  <si>
    <t>219 BAY</t>
  </si>
  <si>
    <t>218 BAY</t>
  </si>
  <si>
    <t>217 BAY</t>
  </si>
  <si>
    <t>216 BAY</t>
  </si>
  <si>
    <t>215 BAY</t>
  </si>
  <si>
    <t>214 BAY</t>
  </si>
  <si>
    <t>213 BAY</t>
  </si>
  <si>
    <t>212 BAY</t>
  </si>
  <si>
    <t>121 BAY</t>
  </si>
  <si>
    <t>120 BAY</t>
  </si>
  <si>
    <t>119 BAY</t>
  </si>
  <si>
    <t>118 BAY</t>
  </si>
  <si>
    <t>117 BAY</t>
  </si>
  <si>
    <t>116 BAY</t>
  </si>
  <si>
    <t>115 BAY</t>
  </si>
  <si>
    <t>114 BAY</t>
  </si>
  <si>
    <t>113 BAY</t>
  </si>
  <si>
    <t>112 BAY</t>
  </si>
  <si>
    <t>111 BAY</t>
  </si>
  <si>
    <t>508 BAY</t>
  </si>
  <si>
    <t>507 BAY</t>
  </si>
  <si>
    <t>506 BAY</t>
  </si>
  <si>
    <t>505 BAY</t>
  </si>
  <si>
    <t>504 BAY</t>
  </si>
  <si>
    <t>503 BAY</t>
  </si>
  <si>
    <t>502 BAY</t>
  </si>
  <si>
    <t>501 BAY</t>
  </si>
  <si>
    <t>410 BAY</t>
  </si>
  <si>
    <t>409 BAY</t>
  </si>
  <si>
    <t>408 BAY</t>
  </si>
  <si>
    <t>407 BAY</t>
  </si>
  <si>
    <t>406 BAY</t>
  </si>
  <si>
    <t>405 BAY</t>
  </si>
  <si>
    <t>404 BAY</t>
  </si>
  <si>
    <t>403 BAY</t>
  </si>
  <si>
    <t>307 BAY</t>
  </si>
  <si>
    <t>306 BAY</t>
  </si>
  <si>
    <t>305 BAY</t>
  </si>
  <si>
    <t>304 BAY</t>
  </si>
  <si>
    <t>303 BAY</t>
  </si>
  <si>
    <t>302 BAY</t>
  </si>
  <si>
    <t>301 BAY</t>
  </si>
  <si>
    <t>210 BAY</t>
  </si>
  <si>
    <t>209 BAY</t>
  </si>
  <si>
    <t>208 BAY</t>
  </si>
  <si>
    <t>207 BAY</t>
  </si>
  <si>
    <t>206 BAY</t>
  </si>
  <si>
    <t>205 BAY</t>
  </si>
  <si>
    <t>204 BAY</t>
  </si>
  <si>
    <t>203 BAY</t>
  </si>
  <si>
    <t>202 BAY</t>
  </si>
  <si>
    <t>G10</t>
  </si>
  <si>
    <t>G09</t>
  </si>
  <si>
    <t>G08</t>
  </si>
  <si>
    <t>G07</t>
  </si>
  <si>
    <t>G06</t>
  </si>
  <si>
    <t>G05</t>
  </si>
  <si>
    <t>G04</t>
  </si>
  <si>
    <t>G03</t>
  </si>
  <si>
    <t>G02</t>
  </si>
  <si>
    <t>G01</t>
  </si>
  <si>
    <t>F09</t>
  </si>
  <si>
    <t>F08</t>
  </si>
  <si>
    <t>F07</t>
  </si>
  <si>
    <t>F06</t>
  </si>
  <si>
    <t>F05</t>
  </si>
  <si>
    <t>F04</t>
  </si>
  <si>
    <t>F03</t>
  </si>
  <si>
    <t>F02</t>
  </si>
  <si>
    <t>F01</t>
  </si>
  <si>
    <t>E09</t>
  </si>
  <si>
    <t>E08</t>
  </si>
  <si>
    <t>E07</t>
  </si>
  <si>
    <t>E06</t>
  </si>
  <si>
    <t>E05</t>
  </si>
  <si>
    <t>E04</t>
  </si>
  <si>
    <t>E03</t>
  </si>
  <si>
    <t>E02</t>
  </si>
  <si>
    <t>E01</t>
  </si>
  <si>
    <t>D07</t>
    <phoneticPr fontId="22" type="noConversion"/>
  </si>
  <si>
    <t>D06</t>
    <phoneticPr fontId="22" type="noConversion"/>
  </si>
  <si>
    <t>D05</t>
    <phoneticPr fontId="22" type="noConversion"/>
  </si>
  <si>
    <t>D04</t>
    <phoneticPr fontId="22" type="noConversion"/>
  </si>
  <si>
    <t>D03</t>
    <phoneticPr fontId="22" type="noConversion"/>
  </si>
  <si>
    <t>D02</t>
    <phoneticPr fontId="22" type="noConversion"/>
  </si>
  <si>
    <t>D01</t>
    <phoneticPr fontId="22" type="noConversion"/>
  </si>
  <si>
    <t>QDF</t>
    <phoneticPr fontId="22" type="noConversion"/>
  </si>
  <si>
    <t>C08</t>
    <phoneticPr fontId="22" type="noConversion"/>
  </si>
  <si>
    <t>C07</t>
  </si>
  <si>
    <t>C06</t>
    <phoneticPr fontId="22" type="noConversion"/>
  </si>
  <si>
    <t>C04</t>
    <phoneticPr fontId="22" type="noConversion"/>
  </si>
  <si>
    <t>C03</t>
    <phoneticPr fontId="22" type="noConversion"/>
  </si>
  <si>
    <t>C02</t>
  </si>
  <si>
    <t>C01</t>
  </si>
  <si>
    <t>B08</t>
    <phoneticPr fontId="22" type="noConversion"/>
  </si>
  <si>
    <t>B07</t>
    <phoneticPr fontId="22" type="noConversion"/>
  </si>
  <si>
    <t>B06</t>
    <phoneticPr fontId="22" type="noConversion"/>
  </si>
  <si>
    <t>B05</t>
    <phoneticPr fontId="22" type="noConversion"/>
  </si>
  <si>
    <t>B04</t>
    <phoneticPr fontId="22" type="noConversion"/>
  </si>
  <si>
    <t>B03</t>
    <phoneticPr fontId="22" type="noConversion"/>
  </si>
  <si>
    <t>B02</t>
    <phoneticPr fontId="22" type="noConversion"/>
  </si>
  <si>
    <t>B01</t>
    <phoneticPr fontId="22" type="noConversion"/>
  </si>
  <si>
    <t>A08</t>
    <phoneticPr fontId="22" type="noConversion"/>
  </si>
  <si>
    <t>A07</t>
    <phoneticPr fontId="22" type="noConversion"/>
  </si>
  <si>
    <t>A06</t>
    <phoneticPr fontId="22" type="noConversion"/>
  </si>
  <si>
    <t>A05</t>
    <phoneticPr fontId="22" type="noConversion"/>
  </si>
  <si>
    <t>A04</t>
    <phoneticPr fontId="22" type="noConversion"/>
  </si>
  <si>
    <t>A03</t>
    <phoneticPr fontId="22" type="noConversion"/>
  </si>
  <si>
    <t>A02</t>
    <phoneticPr fontId="22" type="noConversion"/>
  </si>
  <si>
    <t>A01</t>
    <phoneticPr fontId="22" type="noConversion"/>
  </si>
  <si>
    <t>=E5:E233</t>
    <phoneticPr fontId="1" type="noConversion"/>
  </si>
  <si>
    <t>고객사명 검색:</t>
    <phoneticPr fontId="1" type="noConversion"/>
  </si>
  <si>
    <t>Description</t>
    <phoneticPr fontId="1" type="noConversion"/>
  </si>
  <si>
    <t>열 구분
(부스바명)</t>
  </si>
  <si>
    <t>DEKR No.</t>
  </si>
  <si>
    <t>랙 No.</t>
  </si>
  <si>
    <t>고객명</t>
  </si>
  <si>
    <t>월간 사용전력량[kWh]</t>
  </si>
  <si>
    <t>비 고</t>
  </si>
  <si>
    <t>계약전력량</t>
  </si>
  <si>
    <t>남은 전력량</t>
  </si>
  <si>
    <t/>
  </si>
  <si>
    <t xml:space="preserve"> </t>
  </si>
  <si>
    <t>5층</t>
    <phoneticPr fontId="1" type="noConversion"/>
  </si>
  <si>
    <t>6층</t>
    <phoneticPr fontId="1" type="noConversion"/>
  </si>
  <si>
    <t>7층</t>
    <phoneticPr fontId="1" type="noConversion"/>
  </si>
  <si>
    <t>G1101</t>
  </si>
  <si>
    <t>G1201</t>
  </si>
  <si>
    <t>G1302</t>
  </si>
  <si>
    <t>G1301</t>
  </si>
  <si>
    <t>G1303</t>
  </si>
  <si>
    <t>G2201</t>
  </si>
  <si>
    <t>G2203</t>
  </si>
  <si>
    <t>G2205</t>
  </si>
  <si>
    <t>G2202</t>
  </si>
  <si>
    <t>G2206</t>
  </si>
  <si>
    <t>G2301</t>
  </si>
  <si>
    <t>G2302</t>
  </si>
  <si>
    <t>G2303</t>
  </si>
  <si>
    <t>G2304</t>
  </si>
  <si>
    <t>G2305</t>
  </si>
  <si>
    <t>G2306</t>
  </si>
  <si>
    <t>G3201</t>
  </si>
  <si>
    <t>G3202</t>
  </si>
  <si>
    <t>C101</t>
  </si>
  <si>
    <t>C201</t>
  </si>
  <si>
    <t>C301</t>
  </si>
  <si>
    <t>C401</t>
  </si>
  <si>
    <t>C501</t>
  </si>
  <si>
    <t>C601</t>
  </si>
  <si>
    <t>C701</t>
  </si>
  <si>
    <t>C801</t>
  </si>
  <si>
    <t>C901</t>
  </si>
  <si>
    <t>C1001</t>
  </si>
  <si>
    <t>=E5:E1064</t>
    <phoneticPr fontId="1" type="noConversion"/>
  </si>
  <si>
    <t>총 계약전력량</t>
    <phoneticPr fontId="1" type="noConversion"/>
  </si>
  <si>
    <t>총 남은 전력량</t>
    <phoneticPr fontId="1" type="noConversion"/>
  </si>
  <si>
    <t>필터범위: =A3:H1064</t>
    <phoneticPr fontId="1" type="noConversion"/>
  </si>
  <si>
    <t>기준열: D3</t>
    <phoneticPr fontId="1" type="noConversion"/>
  </si>
  <si>
    <t>Sejong Telecom Inc.</t>
    <phoneticPr fontId="1" type="noConversion"/>
  </si>
  <si>
    <t>PowerUsageTotal</t>
    <phoneticPr fontId="1" type="noConversion"/>
  </si>
  <si>
    <t>SubscribedPower</t>
    <phoneticPr fontId="1" type="noConversion"/>
  </si>
  <si>
    <t>RemainingPower</t>
    <phoneticPr fontId="1" type="noConversion"/>
  </si>
  <si>
    <t>총 시간당 사용전력량</t>
    <phoneticPr fontId="1" type="noConversion"/>
  </si>
  <si>
    <t>Total
HoursSpent</t>
    <phoneticPr fontId="1" type="noConversion"/>
  </si>
  <si>
    <t>Settle Bank Co., Ltd.</t>
    <phoneticPr fontId="1" type="noConversion"/>
  </si>
  <si>
    <t>Date : 2023-12-01 ~ 2023-12-31</t>
  </si>
  <si>
    <t>Settle Bank</t>
  </si>
  <si>
    <t>계약용량</t>
    <phoneticPr fontId="1" type="noConversion"/>
  </si>
  <si>
    <t>최대피크값</t>
    <phoneticPr fontId="1" type="noConversion"/>
  </si>
  <si>
    <t>사용량</t>
    <phoneticPr fontId="1" type="noConversion"/>
  </si>
  <si>
    <t>남은용량</t>
    <phoneticPr fontId="1" type="noConversion"/>
  </si>
  <si>
    <t>전력초과여부</t>
    <phoneticPr fontId="1" type="noConversion"/>
  </si>
  <si>
    <t>총 계약용량</t>
    <phoneticPr fontId="1" type="noConversion"/>
  </si>
  <si>
    <t>총 시간당 전력량</t>
    <phoneticPr fontId="1" type="noConversion"/>
  </si>
  <si>
    <t>고객사명</t>
    <phoneticPr fontId="1" type="noConversion"/>
  </si>
  <si>
    <t>Sejong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</si>
</sst>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_(* #,##0.00_);_(* \(#,##0.00\);_(* &quot;-&quot;??_);_(@_)"/>
    <numFmt numFmtId="177" formatCode="_(* #,##0_);_(* \(#,##0\);_(* &quot;-&quot;_);_(@_)"/>
    <numFmt numFmtId="178" formatCode="0_);[Red]\(0\)"/>
    <numFmt numFmtId="179" formatCode="yyyy/mm/dd\ hh:mm:ss"/>
    <numFmt numFmtId="180" formatCode="_-* #,##0.00&quot; ℃&quot;"/>
    <numFmt numFmtId="181" formatCode="_-* #,##0.00&quot; %&quot;"/>
    <numFmt numFmtId="182" formatCode="_(* #,##0.00&quot; %&quot;"/>
    <numFmt numFmtId="183" formatCode="_-* #,##0.0&quot; ㎾h&quot;"/>
    <numFmt numFmtId="184" formatCode="0.0_);[Red]\(0.0\)"/>
    <numFmt numFmtId="185" formatCode="#,##0.0&quot; ㎾&quot;"/>
    <numFmt numFmtId="186" formatCode="#,##0.00&quot; ㎾&quot;"/>
    <numFmt numFmtId="187" formatCode="_-* #,##0.00&quot; ㎾&quot;"/>
    <numFmt numFmtId="188" formatCode="_-* #,##0.00&quot; ㎾h&quot;"/>
  </numFmts>
  <fonts count="5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rgb="FFF2F2F2"/>
      <name val="Noto Sans"/>
      <family val="2"/>
    </font>
    <font>
      <b/>
      <sz val="11"/>
      <color theme="0"/>
      <name val="맑은 고딕"/>
      <family val="2"/>
      <scheme val="minor"/>
    </font>
    <font>
      <sz val="11"/>
      <color rgb="FF3333FF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7"/>
      <color rgb="FF010028"/>
      <name val="Noto Sans"/>
      <family val="2"/>
    </font>
    <font>
      <b/>
      <sz val="7"/>
      <color rgb="FF010028"/>
      <name val="Noto Sans"/>
      <family val="2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sz val="11"/>
      <color rgb="FFFF0000"/>
      <name val="돋움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rgb="FF0000CC"/>
      <name val="돋움"/>
      <family val="3"/>
      <charset val="129"/>
    </font>
    <font>
      <sz val="9"/>
      <name val="돋움"/>
      <family val="3"/>
      <charset val="129"/>
    </font>
    <font>
      <b/>
      <sz val="9"/>
      <name val="돋움"/>
      <family val="3"/>
      <charset val="129"/>
    </font>
    <font>
      <b/>
      <sz val="9"/>
      <color rgb="FF0000CC"/>
      <name val="돋움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1"/>
      <color rgb="FF0000CC"/>
      <name val="맑은 고딕"/>
      <family val="2"/>
      <charset val="129"/>
      <scheme val="minor"/>
    </font>
    <font>
      <sz val="11"/>
      <color rgb="FF0000CC"/>
      <name val="돋움"/>
      <family val="3"/>
      <charset val="129"/>
    </font>
    <font>
      <sz val="11"/>
      <name val="맑은 고딕"/>
      <family val="3"/>
      <charset val="129"/>
    </font>
    <font>
      <sz val="11"/>
      <color rgb="FF3333FF"/>
      <name val="맑은 고딕"/>
      <family val="3"/>
      <charset val="129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3"/>
      <charset val="129"/>
    </font>
    <font>
      <sz val="10"/>
      <name val="맑은 고딕"/>
      <family val="3"/>
      <charset val="129"/>
    </font>
    <font>
      <sz val="10"/>
      <color rgb="FF0000CC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sz val="11"/>
      <name val="돋움"/>
      <family val="3"/>
      <charset val="129"/>
    </font>
    <font>
      <sz val="10"/>
      <name val="굴림"/>
      <family val="3"/>
      <charset val="129"/>
    </font>
    <font>
      <sz val="11"/>
      <color indexed="8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45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 style="thin">
        <color rgb="FF000000"/>
      </diagonal>
    </border>
    <border>
      <left style="medium">
        <color rgb="FF042AA6"/>
      </left>
      <right style="medium">
        <color rgb="FF042AA6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theme="4"/>
      </right>
      <top/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ck">
        <color rgb="FF0000CC"/>
      </left>
      <right style="thick">
        <color rgb="FF0000CC"/>
      </right>
      <top style="medium">
        <color indexed="64"/>
      </top>
      <bottom style="thin">
        <color indexed="64"/>
      </bottom>
      <diagonal/>
    </border>
    <border>
      <left style="thick">
        <color rgb="FF0000CC"/>
      </left>
      <right style="thick">
        <color rgb="FF0000CC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>
      <alignment vertical="center"/>
    </xf>
    <xf numFmtId="0" fontId="6" fillId="0" borderId="0"/>
    <xf numFmtId="177" fontId="12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177" fontId="45" fillId="0" borderId="0" applyFont="0" applyFill="0" applyBorder="0" applyAlignment="0" applyProtection="0">
      <alignment vertical="center"/>
    </xf>
    <xf numFmtId="9" fontId="45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0" fontId="45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0" fontId="45" fillId="0" borderId="0"/>
    <xf numFmtId="0" fontId="46" fillId="0" borderId="0"/>
    <xf numFmtId="177" fontId="46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177" fontId="47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45" fillId="0" borderId="0" applyFon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6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178" fontId="7" fillId="5" borderId="0" xfId="1" applyNumberFormat="1" applyFont="1" applyFill="1" applyAlignment="1">
      <alignment horizontal="center"/>
    </xf>
    <xf numFmtId="178" fontId="0" fillId="5" borderId="0" xfId="0" applyNumberFormat="1" applyFill="1" applyAlignment="1">
      <alignment horizontal="center" vertical="center"/>
    </xf>
    <xf numFmtId="178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9" fillId="0" borderId="4" xfId="0" applyFont="1" applyBorder="1" applyAlignment="1">
      <alignment horizontal="center" vertical="center" wrapText="1"/>
    </xf>
    <xf numFmtId="0" fontId="7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179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49" fontId="7" fillId="0" borderId="0" xfId="1" applyNumberFormat="1" applyFont="1" applyFill="1" applyAlignment="1">
      <alignment horizontal="center"/>
    </xf>
    <xf numFmtId="22" fontId="0" fillId="0" borderId="0" xfId="0" applyNumberFormat="1" applyFill="1">
      <alignment vertical="center"/>
    </xf>
    <xf numFmtId="22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11" fillId="0" borderId="0" xfId="0" applyFont="1">
      <alignment vertical="center"/>
    </xf>
    <xf numFmtId="22" fontId="7" fillId="4" borderId="0" xfId="1" applyNumberFormat="1" applyFont="1" applyFill="1" applyAlignment="1">
      <alignment horizontal="center"/>
    </xf>
    <xf numFmtId="0" fontId="3" fillId="0" borderId="4" xfId="0" applyFont="1" applyBorder="1" applyAlignment="1">
      <alignment horizontal="left" vertical="center" wrapText="1"/>
    </xf>
    <xf numFmtId="22" fontId="3" fillId="0" borderId="4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180" fontId="15" fillId="0" borderId="12" xfId="2" applyNumberFormat="1" applyFont="1" applyFill="1" applyBorder="1">
      <alignment vertical="center"/>
    </xf>
    <xf numFmtId="180" fontId="15" fillId="0" borderId="12" xfId="2" applyNumberFormat="1" applyFont="1" applyFill="1" applyBorder="1" applyAlignment="1">
      <alignment vertical="center" wrapText="1"/>
    </xf>
    <xf numFmtId="180" fontId="0" fillId="0" borderId="11" xfId="2" applyNumberFormat="1" applyFont="1" applyFill="1" applyBorder="1" applyAlignment="1">
      <alignment horizontal="center" vertical="center" wrapText="1"/>
    </xf>
    <xf numFmtId="180" fontId="15" fillId="0" borderId="11" xfId="2" applyNumberFormat="1" applyFont="1" applyFill="1" applyBorder="1" applyAlignment="1">
      <alignment horizontal="center" vertical="center" wrapText="1"/>
    </xf>
    <xf numFmtId="180" fontId="0" fillId="0" borderId="11" xfId="2" applyNumberFormat="1" applyFont="1" applyBorder="1" applyAlignment="1">
      <alignment horizontal="center" vertical="center" wrapText="1"/>
    </xf>
    <xf numFmtId="181" fontId="15" fillId="0" borderId="12" xfId="2" applyNumberFormat="1" applyFont="1" applyFill="1" applyBorder="1">
      <alignment vertical="center"/>
    </xf>
    <xf numFmtId="181" fontId="15" fillId="0" borderId="12" xfId="2" applyNumberFormat="1" applyFont="1" applyFill="1" applyBorder="1" applyAlignment="1">
      <alignment vertical="center" wrapText="1"/>
    </xf>
    <xf numFmtId="181" fontId="0" fillId="0" borderId="14" xfId="2" applyNumberFormat="1" applyFont="1" applyFill="1" applyBorder="1" applyAlignment="1">
      <alignment horizontal="center" vertical="center" wrapText="1"/>
    </xf>
    <xf numFmtId="181" fontId="0" fillId="0" borderId="15" xfId="2" applyNumberFormat="1" applyFont="1" applyFill="1" applyBorder="1" applyAlignment="1">
      <alignment horizontal="center" vertical="center" wrapText="1"/>
    </xf>
    <xf numFmtId="181" fontId="0" fillId="0" borderId="11" xfId="2" applyNumberFormat="1" applyFont="1" applyFill="1" applyBorder="1" applyAlignment="1">
      <alignment horizontal="center" vertical="center" wrapText="1"/>
    </xf>
    <xf numFmtId="181" fontId="15" fillId="0" borderId="11" xfId="2" applyNumberFormat="1" applyFont="1" applyFill="1" applyBorder="1" applyAlignment="1">
      <alignment horizontal="center" vertical="center" wrapText="1"/>
    </xf>
    <xf numFmtId="181" fontId="0" fillId="0" borderId="11" xfId="2" applyNumberFormat="1" applyFont="1" applyBorder="1" applyAlignment="1">
      <alignment horizontal="center" vertical="center" wrapText="1"/>
    </xf>
    <xf numFmtId="181" fontId="0" fillId="0" borderId="0" xfId="2" applyNumberFormat="1" applyFont="1" applyFill="1" applyBorder="1" applyAlignment="1">
      <alignment horizontal="center" vertical="center" wrapText="1"/>
    </xf>
    <xf numFmtId="180" fontId="8" fillId="0" borderId="0" xfId="2" applyNumberFormat="1" applyFont="1" applyFill="1" applyBorder="1" applyAlignment="1">
      <alignment horizontal="center" vertical="center" wrapText="1"/>
    </xf>
    <xf numFmtId="180" fontId="0" fillId="0" borderId="0" xfId="0" applyNumberFormat="1">
      <alignment vertical="center"/>
    </xf>
    <xf numFmtId="180" fontId="15" fillId="0" borderId="12" xfId="3" applyNumberFormat="1" applyFont="1" applyFill="1" applyBorder="1">
      <alignment vertical="center"/>
    </xf>
    <xf numFmtId="180" fontId="15" fillId="0" borderId="12" xfId="3" applyNumberFormat="1" applyFont="1" applyFill="1" applyBorder="1" applyAlignment="1">
      <alignment vertical="center" wrapText="1"/>
    </xf>
    <xf numFmtId="180" fontId="0" fillId="0" borderId="14" xfId="3" applyNumberFormat="1" applyFont="1" applyFill="1" applyBorder="1" applyAlignment="1">
      <alignment horizontal="center" vertical="center" wrapText="1"/>
    </xf>
    <xf numFmtId="180" fontId="0" fillId="0" borderId="15" xfId="3" applyNumberFormat="1" applyFont="1" applyFill="1" applyBorder="1" applyAlignment="1">
      <alignment horizontal="center" vertical="center" wrapText="1"/>
    </xf>
    <xf numFmtId="180" fontId="0" fillId="0" borderId="11" xfId="3" applyNumberFormat="1" applyFont="1" applyFill="1" applyBorder="1" applyAlignment="1">
      <alignment horizontal="center" vertical="center" wrapText="1"/>
    </xf>
    <xf numFmtId="180" fontId="15" fillId="0" borderId="11" xfId="3" applyNumberFormat="1" applyFont="1" applyFill="1" applyBorder="1" applyAlignment="1">
      <alignment horizontal="center" vertical="center" wrapText="1"/>
    </xf>
    <xf numFmtId="180" fontId="0" fillId="0" borderId="11" xfId="3" applyNumberFormat="1" applyFont="1" applyBorder="1" applyAlignment="1">
      <alignment horizontal="center" vertical="center" wrapText="1"/>
    </xf>
    <xf numFmtId="0" fontId="14" fillId="8" borderId="11" xfId="0" applyFont="1" applyFill="1" applyBorder="1" applyAlignment="1">
      <alignment horizontal="center" vertical="center" wrapText="1"/>
    </xf>
    <xf numFmtId="9" fontId="14" fillId="8" borderId="11" xfId="0" quotePrefix="1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22" xfId="0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181" fontId="15" fillId="0" borderId="12" xfId="3" applyNumberFormat="1" applyFont="1" applyFill="1" applyBorder="1">
      <alignment vertical="center"/>
    </xf>
    <xf numFmtId="181" fontId="15" fillId="0" borderId="12" xfId="3" applyNumberFormat="1" applyFont="1" applyFill="1" applyBorder="1" applyAlignment="1">
      <alignment vertical="center" wrapText="1"/>
    </xf>
    <xf numFmtId="181" fontId="0" fillId="0" borderId="14" xfId="3" applyNumberFormat="1" applyFont="1" applyFill="1" applyBorder="1" applyAlignment="1">
      <alignment horizontal="center" vertical="center" wrapText="1"/>
    </xf>
    <xf numFmtId="181" fontId="0" fillId="0" borderId="15" xfId="3" applyNumberFormat="1" applyFont="1" applyFill="1" applyBorder="1" applyAlignment="1">
      <alignment horizontal="center" vertical="center" wrapText="1"/>
    </xf>
    <xf numFmtId="181" fontId="0" fillId="0" borderId="11" xfId="3" applyNumberFormat="1" applyFont="1" applyFill="1" applyBorder="1" applyAlignment="1">
      <alignment horizontal="center" vertical="center" wrapText="1"/>
    </xf>
    <xf numFmtId="181" fontId="15" fillId="0" borderId="11" xfId="3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/>
    </xf>
    <xf numFmtId="181" fontId="0" fillId="0" borderId="0" xfId="0" applyNumberFormat="1">
      <alignment vertical="center"/>
    </xf>
    <xf numFmtId="182" fontId="0" fillId="0" borderId="12" xfId="0" applyNumberFormat="1" applyBorder="1" applyAlignment="1"/>
    <xf numFmtId="181" fontId="0" fillId="0" borderId="11" xfId="3" applyNumberFormat="1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3" borderId="12" xfId="0" applyFill="1" applyBorder="1" applyAlignment="1">
      <alignment horizontal="center" vertical="center"/>
    </xf>
    <xf numFmtId="181" fontId="0" fillId="0" borderId="16" xfId="3" applyNumberFormat="1" applyFont="1" applyBorder="1" applyAlignment="1">
      <alignment horizontal="center" vertical="center" wrapText="1"/>
    </xf>
    <xf numFmtId="182" fontId="0" fillId="0" borderId="17" xfId="0" applyNumberFormat="1" applyBorder="1" applyAlignment="1"/>
    <xf numFmtId="0" fontId="0" fillId="0" borderId="24" xfId="0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 wrapText="1"/>
    </xf>
    <xf numFmtId="0" fontId="14" fillId="8" borderId="25" xfId="0" applyFont="1" applyFill="1" applyBorder="1" applyAlignment="1">
      <alignment horizontal="center" vertical="center" wrapText="1"/>
    </xf>
    <xf numFmtId="181" fontId="8" fillId="0" borderId="0" xfId="0" applyNumberFormat="1" applyFont="1">
      <alignment vertical="center"/>
    </xf>
    <xf numFmtId="0" fontId="2" fillId="7" borderId="2" xfId="0" applyFont="1" applyFill="1" applyBorder="1" applyAlignment="1">
      <alignment horizontal="center" vertical="center" wrapText="1"/>
    </xf>
    <xf numFmtId="0" fontId="0" fillId="0" borderId="28" xfId="0" applyBorder="1">
      <alignment vertical="center"/>
    </xf>
    <xf numFmtId="180" fontId="5" fillId="0" borderId="4" xfId="0" applyNumberFormat="1" applyFont="1" applyBorder="1" applyAlignment="1">
      <alignment horizontal="center" vertical="center" wrapText="1"/>
    </xf>
    <xf numFmtId="180" fontId="3" fillId="0" borderId="4" xfId="0" applyNumberFormat="1" applyFont="1" applyBorder="1" applyAlignment="1">
      <alignment horizontal="right" vertical="center" wrapText="1"/>
    </xf>
    <xf numFmtId="0" fontId="8" fillId="10" borderId="0" xfId="0" applyFont="1" applyFill="1" applyAlignment="1">
      <alignment horizontal="center"/>
    </xf>
    <xf numFmtId="181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right" vertical="center" wrapText="1"/>
    </xf>
    <xf numFmtId="180" fontId="0" fillId="0" borderId="14" xfId="2" applyNumberFormat="1" applyFont="1" applyFill="1" applyBorder="1" applyAlignment="1">
      <alignment horizontal="center" vertical="center" wrapText="1"/>
    </xf>
    <xf numFmtId="180" fontId="0" fillId="0" borderId="15" xfId="2" applyNumberFormat="1" applyFont="1" applyFill="1" applyBorder="1" applyAlignment="1">
      <alignment horizontal="center" vertical="center" wrapText="1"/>
    </xf>
    <xf numFmtId="180" fontId="8" fillId="10" borderId="0" xfId="0" applyNumberFormat="1" applyFont="1" applyFill="1">
      <alignment vertical="center"/>
    </xf>
    <xf numFmtId="181" fontId="8" fillId="10" borderId="0" xfId="0" applyNumberFormat="1" applyFont="1" applyFill="1">
      <alignment vertical="center"/>
    </xf>
    <xf numFmtId="0" fontId="8" fillId="0" borderId="0" xfId="0" applyFont="1" applyAlignment="1">
      <alignment horizontal="center"/>
    </xf>
    <xf numFmtId="181" fontId="17" fillId="14" borderId="0" xfId="0" applyNumberFormat="1" applyFont="1" applyFill="1" applyAlignment="1"/>
    <xf numFmtId="182" fontId="0" fillId="0" borderId="0" xfId="0" applyNumberFormat="1" applyAlignment="1">
      <alignment horizontal="center"/>
    </xf>
    <xf numFmtId="181" fontId="0" fillId="10" borderId="0" xfId="0" applyNumberFormat="1" applyFill="1">
      <alignment vertical="center"/>
    </xf>
    <xf numFmtId="180" fontId="8" fillId="10" borderId="0" xfId="0" applyNumberFormat="1" applyFont="1" applyFill="1" applyAlignment="1">
      <alignment horizontal="right" vertical="center"/>
    </xf>
    <xf numFmtId="181" fontId="8" fillId="10" borderId="0" xfId="0" applyNumberFormat="1" applyFont="1" applyFill="1" applyAlignment="1">
      <alignment horizontal="right" vertical="center"/>
    </xf>
    <xf numFmtId="181" fontId="18" fillId="12" borderId="0" xfId="0" applyNumberFormat="1" applyFont="1" applyFill="1" applyAlignment="1"/>
    <xf numFmtId="181" fontId="18" fillId="10" borderId="0" xfId="0" applyNumberFormat="1" applyFont="1" applyFill="1" applyAlignment="1"/>
    <xf numFmtId="0" fontId="2" fillId="7" borderId="29" xfId="0" applyFont="1" applyFill="1" applyBorder="1" applyAlignment="1">
      <alignment horizontal="center" vertical="center" wrapText="1"/>
    </xf>
    <xf numFmtId="0" fontId="2" fillId="7" borderId="29" xfId="0" applyFont="1" applyFill="1" applyBorder="1" applyAlignment="1">
      <alignment horizontal="center" vertical="center" textRotation="90" wrapText="1"/>
    </xf>
    <xf numFmtId="180" fontId="20" fillId="0" borderId="29" xfId="0" applyNumberFormat="1" applyFont="1" applyBorder="1" applyAlignment="1">
      <alignment horizontal="center" vertical="center" wrapText="1"/>
    </xf>
    <xf numFmtId="180" fontId="19" fillId="0" borderId="29" xfId="0" applyNumberFormat="1" applyFont="1" applyBorder="1" applyAlignment="1">
      <alignment horizontal="center" vertical="center" wrapText="1"/>
    </xf>
    <xf numFmtId="181" fontId="20" fillId="0" borderId="29" xfId="0" applyNumberFormat="1" applyFont="1" applyBorder="1" applyAlignment="1">
      <alignment horizontal="center" vertical="center" wrapText="1"/>
    </xf>
    <xf numFmtId="181" fontId="19" fillId="0" borderId="29" xfId="0" applyNumberFormat="1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8" fillId="10" borderId="0" xfId="0" applyFont="1" applyFill="1" applyAlignment="1">
      <alignment horizontal="left" vertical="center"/>
    </xf>
    <xf numFmtId="49" fontId="8" fillId="10" borderId="0" xfId="0" applyNumberFormat="1" applyFont="1" applyFill="1" applyAlignment="1">
      <alignment horizontal="left" vertical="center"/>
    </xf>
    <xf numFmtId="0" fontId="8" fillId="15" borderId="0" xfId="0" applyNumberFormat="1" applyFont="1" applyFill="1" applyAlignment="1">
      <alignment horizontal="center" vertical="center"/>
    </xf>
    <xf numFmtId="0" fontId="24" fillId="10" borderId="11" xfId="0" applyFont="1" applyFill="1" applyBorder="1" applyAlignment="1">
      <alignment horizontal="center" vertical="center" wrapText="1"/>
    </xf>
    <xf numFmtId="0" fontId="31" fillId="10" borderId="11" xfId="0" applyFont="1" applyFill="1" applyBorder="1" applyAlignment="1">
      <alignment horizontal="center" vertical="center" wrapText="1"/>
    </xf>
    <xf numFmtId="0" fontId="32" fillId="10" borderId="11" xfId="0" applyFont="1" applyFill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18" borderId="0" xfId="0" applyFont="1" applyFill="1" applyAlignment="1">
      <alignment horizontal="center" vertical="center"/>
    </xf>
    <xf numFmtId="0" fontId="0" fillId="10" borderId="11" xfId="0" quotePrefix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37" fillId="0" borderId="15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9" borderId="15" xfId="0" applyFill="1" applyBorder="1" applyAlignment="1">
      <alignment horizontal="center" vertical="center" wrapText="1"/>
    </xf>
    <xf numFmtId="184" fontId="12" fillId="0" borderId="11" xfId="4" applyNumberFormat="1" applyBorder="1" applyAlignment="1">
      <alignment horizontal="center" vertical="center" wrapText="1"/>
    </xf>
    <xf numFmtId="0" fontId="37" fillId="10" borderId="11" xfId="0" applyFont="1" applyFill="1" applyBorder="1" applyAlignment="1">
      <alignment horizontal="center" vertical="center" wrapText="1"/>
    </xf>
    <xf numFmtId="184" fontId="39" fillId="0" borderId="11" xfId="4" applyNumberFormat="1" applyFont="1" applyBorder="1" applyAlignment="1">
      <alignment horizontal="center" vertical="center" wrapText="1"/>
    </xf>
    <xf numFmtId="0" fontId="0" fillId="0" borderId="0" xfId="0" quotePrefix="1">
      <alignment vertical="center"/>
    </xf>
    <xf numFmtId="0" fontId="0" fillId="0" borderId="0" xfId="0" quotePrefix="1" applyAlignment="1">
      <alignment horizontal="left" vertical="center"/>
    </xf>
    <xf numFmtId="0" fontId="0" fillId="19" borderId="11" xfId="0" applyFill="1" applyBorder="1" applyAlignment="1">
      <alignment horizontal="center" vertical="center"/>
    </xf>
    <xf numFmtId="0" fontId="36" fillId="19" borderId="11" xfId="0" applyFont="1" applyFill="1" applyBorder="1" applyAlignment="1">
      <alignment horizontal="center" vertical="center"/>
    </xf>
    <xf numFmtId="0" fontId="0" fillId="20" borderId="11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184" fontId="12" fillId="10" borderId="11" xfId="4" applyNumberFormat="1" applyFill="1" applyBorder="1" applyAlignment="1">
      <alignment horizontal="center" vertical="center" wrapText="1"/>
    </xf>
    <xf numFmtId="184" fontId="39" fillId="0" borderId="11" xfId="4" applyNumberFormat="1" applyFont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41" fillId="0" borderId="15" xfId="0" applyFont="1" applyBorder="1" applyAlignment="1">
      <alignment horizontal="center" vertical="center"/>
    </xf>
    <xf numFmtId="0" fontId="42" fillId="0" borderId="15" xfId="0" applyFont="1" applyBorder="1" applyAlignment="1">
      <alignment horizontal="center" vertical="center"/>
    </xf>
    <xf numFmtId="0" fontId="43" fillId="10" borderId="11" xfId="0" applyFont="1" applyFill="1" applyBorder="1" applyAlignment="1">
      <alignment horizontal="center" vertical="center"/>
    </xf>
    <xf numFmtId="0" fontId="41" fillId="10" borderId="11" xfId="0" applyFont="1" applyFill="1" applyBorder="1" applyAlignment="1">
      <alignment horizontal="center" vertical="center" wrapText="1"/>
    </xf>
    <xf numFmtId="0" fontId="41" fillId="22" borderId="11" xfId="0" applyFont="1" applyFill="1" applyBorder="1" applyAlignment="1">
      <alignment horizontal="center" vertical="center"/>
    </xf>
    <xf numFmtId="0" fontId="41" fillId="20" borderId="11" xfId="0" applyFont="1" applyFill="1" applyBorder="1" applyAlignment="1">
      <alignment horizontal="center" vertical="center"/>
    </xf>
    <xf numFmtId="0" fontId="43" fillId="21" borderId="11" xfId="0" applyFont="1" applyFill="1" applyBorder="1" applyAlignment="1">
      <alignment horizontal="center" vertical="center"/>
    </xf>
    <xf numFmtId="183" fontId="0" fillId="0" borderId="0" xfId="0" applyNumberFormat="1">
      <alignment vertical="center"/>
    </xf>
    <xf numFmtId="0" fontId="8" fillId="24" borderId="0" xfId="0" applyNumberFormat="1" applyFont="1" applyFill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2" xfId="0" applyFont="1" applyBorder="1" applyAlignment="1">
      <alignment horizontal="center" vertical="center"/>
    </xf>
    <xf numFmtId="183" fontId="23" fillId="24" borderId="11" xfId="2" applyNumberFormat="1" applyFont="1" applyFill="1" applyBorder="1" applyAlignment="1">
      <alignment horizontal="right" vertical="center"/>
    </xf>
    <xf numFmtId="0" fontId="24" fillId="0" borderId="15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32" fillId="0" borderId="11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30" fillId="6" borderId="11" xfId="0" applyFon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37" fillId="6" borderId="11" xfId="0" applyFont="1" applyFill="1" applyBorder="1" applyAlignment="1">
      <alignment horizontal="center" vertical="center" wrapText="1"/>
    </xf>
    <xf numFmtId="0" fontId="0" fillId="6" borderId="11" xfId="0" applyFill="1" applyBorder="1">
      <alignment vertical="center"/>
    </xf>
    <xf numFmtId="183" fontId="23" fillId="6" borderId="11" xfId="2" applyNumberFormat="1" applyFont="1" applyFill="1" applyBorder="1" applyAlignment="1">
      <alignment horizontal="right" vertical="center"/>
    </xf>
    <xf numFmtId="0" fontId="0" fillId="0" borderId="11" xfId="0" applyBorder="1">
      <alignment vertical="center"/>
    </xf>
    <xf numFmtId="0" fontId="38" fillId="0" borderId="11" xfId="0" applyFont="1" applyBorder="1" applyAlignment="1">
      <alignment horizontal="center" vertical="center" wrapText="1"/>
    </xf>
    <xf numFmtId="0" fontId="30" fillId="0" borderId="15" xfId="0" applyFont="1" applyBorder="1" applyAlignment="1">
      <alignment horizontal="center" vertical="center"/>
    </xf>
    <xf numFmtId="184" fontId="12" fillId="13" borderId="11" xfId="4" applyNumberFormat="1" applyFill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 wrapText="1"/>
    </xf>
    <xf numFmtId="184" fontId="39" fillId="10" borderId="11" xfId="4" applyNumberFormat="1" applyFont="1" applyFill="1" applyBorder="1" applyAlignment="1">
      <alignment horizontal="center" vertical="center" wrapText="1"/>
    </xf>
    <xf numFmtId="184" fontId="39" fillId="10" borderId="11" xfId="4" applyNumberFormat="1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30" fillId="21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 wrapText="1"/>
    </xf>
    <xf numFmtId="0" fontId="30" fillId="0" borderId="11" xfId="0" applyFont="1" applyBorder="1" applyAlignment="1">
      <alignment horizontal="center" vertical="center" wrapText="1"/>
    </xf>
    <xf numFmtId="0" fontId="41" fillId="6" borderId="11" xfId="0" applyFont="1" applyFill="1" applyBorder="1" applyAlignment="1">
      <alignment horizontal="center" vertical="center" wrapText="1"/>
    </xf>
    <xf numFmtId="0" fontId="44" fillId="23" borderId="11" xfId="0" applyFont="1" applyFill="1" applyBorder="1" applyAlignment="1">
      <alignment horizontal="center" vertical="center"/>
    </xf>
    <xf numFmtId="0" fontId="41" fillId="7" borderId="11" xfId="0" applyFont="1" applyFill="1" applyBorder="1" applyAlignment="1">
      <alignment horizontal="center" vertical="center"/>
    </xf>
    <xf numFmtId="0" fontId="34" fillId="0" borderId="32" xfId="0" quotePrefix="1" applyFont="1" applyBorder="1" applyAlignment="1">
      <alignment horizontal="center" vertical="center"/>
    </xf>
    <xf numFmtId="183" fontId="23" fillId="16" borderId="33" xfId="2" applyNumberFormat="1" applyFont="1" applyFill="1" applyBorder="1">
      <alignment vertical="center"/>
    </xf>
    <xf numFmtId="183" fontId="23" fillId="16" borderId="33" xfId="2" applyNumberFormat="1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34" fillId="25" borderId="0" xfId="0" applyFont="1" applyFill="1" applyAlignment="1">
      <alignment horizontal="center" vertical="center"/>
    </xf>
    <xf numFmtId="0" fontId="34" fillId="25" borderId="0" xfId="0" quotePrefix="1" applyFont="1" applyFill="1" applyAlignment="1">
      <alignment horizontal="center" vertical="center"/>
    </xf>
    <xf numFmtId="183" fontId="21" fillId="0" borderId="21" xfId="2" applyNumberFormat="1" applyFont="1" applyFill="1" applyBorder="1" applyAlignment="1">
      <alignment horizontal="right" vertical="center"/>
    </xf>
    <xf numFmtId="0" fontId="0" fillId="10" borderId="23" xfId="0" quotePrefix="1" applyFill="1" applyBorder="1" applyAlignment="1">
      <alignment horizontal="center" vertical="center" wrapText="1"/>
    </xf>
    <xf numFmtId="0" fontId="31" fillId="10" borderId="23" xfId="0" applyFont="1" applyFill="1" applyBorder="1" applyAlignment="1">
      <alignment horizontal="center" vertical="center" wrapText="1"/>
    </xf>
    <xf numFmtId="183" fontId="23" fillId="16" borderId="34" xfId="2" applyNumberFormat="1" applyFont="1" applyFill="1" applyBorder="1">
      <alignment vertical="center"/>
    </xf>
    <xf numFmtId="183" fontId="23" fillId="24" borderId="23" xfId="2" applyNumberFormat="1" applyFont="1" applyFill="1" applyBorder="1" applyAlignment="1">
      <alignment horizontal="right" vertical="center"/>
    </xf>
    <xf numFmtId="183" fontId="23" fillId="16" borderId="23" xfId="2" applyNumberFormat="1" applyFont="1" applyFill="1" applyBorder="1" applyAlignment="1">
      <alignment horizontal="right" vertical="center"/>
    </xf>
    <xf numFmtId="0" fontId="21" fillId="13" borderId="35" xfId="0" applyFont="1" applyFill="1" applyBorder="1" applyAlignment="1">
      <alignment horizontal="center" vertical="center" wrapText="1"/>
    </xf>
    <xf numFmtId="0" fontId="21" fillId="17" borderId="36" xfId="0" applyFont="1" applyFill="1" applyBorder="1" applyAlignment="1">
      <alignment horizontal="center" vertical="center" wrapText="1"/>
    </xf>
    <xf numFmtId="0" fontId="21" fillId="4" borderId="36" xfId="0" applyFont="1" applyFill="1" applyBorder="1" applyAlignment="1">
      <alignment horizontal="center" vertical="center" wrapText="1"/>
    </xf>
    <xf numFmtId="183" fontId="21" fillId="16" borderId="36" xfId="8" applyNumberFormat="1" applyFont="1" applyFill="1" applyBorder="1" applyAlignment="1">
      <alignment horizontal="center" vertical="center" wrapText="1"/>
    </xf>
    <xf numFmtId="0" fontId="21" fillId="13" borderId="36" xfId="0" applyFont="1" applyFill="1" applyBorder="1" applyAlignment="1">
      <alignment horizontal="center" vertical="center" wrapText="1"/>
    </xf>
    <xf numFmtId="183" fontId="21" fillId="24" borderId="36" xfId="8" applyNumberFormat="1" applyFont="1" applyFill="1" applyBorder="1" applyAlignment="1">
      <alignment horizontal="center" vertical="center" wrapText="1"/>
    </xf>
    <xf numFmtId="0" fontId="8" fillId="18" borderId="37" xfId="0" applyFont="1" applyFill="1" applyBorder="1" applyAlignment="1">
      <alignment horizontal="center" vertical="center"/>
    </xf>
    <xf numFmtId="0" fontId="48" fillId="0" borderId="0" xfId="0" applyFont="1" applyFill="1" applyAlignment="1">
      <alignment horizontal="center" vertical="center"/>
    </xf>
    <xf numFmtId="0" fontId="48" fillId="0" borderId="0" xfId="0" quotePrefix="1" applyFont="1" applyFill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41" fillId="0" borderId="11" xfId="0" applyFont="1" applyBorder="1" applyAlignment="1">
      <alignment horizontal="center" vertical="center"/>
    </xf>
    <xf numFmtId="0" fontId="41" fillId="12" borderId="11" xfId="0" applyFont="1" applyFill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3" fillId="23" borderId="11" xfId="0" applyFont="1" applyFill="1" applyBorder="1" applyAlignment="1">
      <alignment horizontal="center" vertical="center"/>
    </xf>
    <xf numFmtId="0" fontId="42" fillId="21" borderId="11" xfId="0" applyFont="1" applyFill="1" applyBorder="1" applyAlignment="1">
      <alignment horizontal="center" vertical="center"/>
    </xf>
    <xf numFmtId="0" fontId="41" fillId="21" borderId="11" xfId="0" applyFont="1" applyFill="1" applyBorder="1" applyAlignment="1">
      <alignment horizontal="center" vertical="center"/>
    </xf>
    <xf numFmtId="0" fontId="41" fillId="0" borderId="1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/>
    </xf>
    <xf numFmtId="0" fontId="42" fillId="23" borderId="11" xfId="0" applyFont="1" applyFill="1" applyBorder="1" applyAlignment="1">
      <alignment horizontal="center" vertical="center"/>
    </xf>
    <xf numFmtId="0" fontId="41" fillId="23" borderId="11" xfId="0" applyFont="1" applyFill="1" applyBorder="1" applyAlignment="1">
      <alignment horizontal="center" vertical="center"/>
    </xf>
    <xf numFmtId="0" fontId="42" fillId="12" borderId="11" xfId="0" applyFont="1" applyFill="1" applyBorder="1" applyAlignment="1">
      <alignment horizontal="center" vertical="center"/>
    </xf>
    <xf numFmtId="0" fontId="41" fillId="10" borderId="11" xfId="0" applyFont="1" applyFill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 wrapText="1"/>
    </xf>
    <xf numFmtId="0" fontId="36" fillId="10" borderId="11" xfId="0" applyFont="1" applyFill="1" applyBorder="1" applyAlignment="1">
      <alignment horizontal="center" vertical="center"/>
    </xf>
    <xf numFmtId="0" fontId="35" fillId="0" borderId="11" xfId="4" applyFont="1" applyBorder="1" applyAlignment="1">
      <alignment horizontal="center" vertical="center"/>
    </xf>
    <xf numFmtId="0" fontId="30" fillId="12" borderId="11" xfId="0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8" fillId="0" borderId="0" xfId="0" applyFont="1">
      <alignment vertical="center"/>
    </xf>
    <xf numFmtId="176" fontId="21" fillId="0" borderId="23" xfId="0" applyNumberFormat="1" applyFont="1" applyBorder="1" applyAlignment="1">
      <alignment horizontal="right" vertical="center" wrapText="1"/>
    </xf>
    <xf numFmtId="183" fontId="21" fillId="26" borderId="21" xfId="2" applyNumberFormat="1" applyFont="1" applyFill="1" applyBorder="1" applyAlignment="1">
      <alignment horizontal="right" vertical="center"/>
    </xf>
    <xf numFmtId="185" fontId="21" fillId="26" borderId="21" xfId="2" applyNumberFormat="1" applyFont="1" applyFill="1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34" fillId="0" borderId="0" xfId="0" applyFont="1" applyFill="1" applyAlignment="1">
      <alignment horizontal="center" vertical="center"/>
    </xf>
    <xf numFmtId="0" fontId="8" fillId="26" borderId="21" xfId="0" applyFont="1" applyFill="1" applyBorder="1">
      <alignment vertical="center"/>
    </xf>
    <xf numFmtId="183" fontId="21" fillId="16" borderId="38" xfId="8" applyNumberFormat="1" applyFont="1" applyFill="1" applyBorder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2" fontId="0" fillId="0" borderId="0" xfId="0" applyNumberFormat="1">
      <alignment vertical="center"/>
    </xf>
    <xf numFmtId="2" fontId="8" fillId="26" borderId="21" xfId="0" applyNumberFormat="1" applyFont="1" applyFill="1" applyBorder="1">
      <alignment vertical="center"/>
    </xf>
    <xf numFmtId="186" fontId="9" fillId="0" borderId="4" xfId="0" applyNumberFormat="1" applyFont="1" applyBorder="1" applyAlignment="1">
      <alignment horizontal="left" vertical="center" wrapText="1"/>
    </xf>
    <xf numFmtId="0" fontId="34" fillId="12" borderId="39" xfId="0" applyFont="1" applyFill="1" applyBorder="1" applyAlignment="1">
      <alignment horizontal="center" vertical="center"/>
    </xf>
    <xf numFmtId="0" fontId="34" fillId="12" borderId="40" xfId="0" applyFont="1" applyFill="1" applyBorder="1" applyAlignment="1">
      <alignment horizontal="center" vertical="center"/>
    </xf>
    <xf numFmtId="0" fontId="34" fillId="12" borderId="40" xfId="0" quotePrefix="1" applyFont="1" applyFill="1" applyBorder="1" applyAlignment="1">
      <alignment horizontal="center" vertical="center"/>
    </xf>
    <xf numFmtId="0" fontId="34" fillId="12" borderId="41" xfId="0" quotePrefix="1" applyFont="1" applyFill="1" applyBorder="1" applyAlignment="1">
      <alignment horizontal="center" vertical="center"/>
    </xf>
    <xf numFmtId="188" fontId="49" fillId="10" borderId="43" xfId="2" applyNumberFormat="1" applyFont="1" applyFill="1" applyBorder="1" applyAlignment="1" applyProtection="1">
      <alignment horizontal="center" vertical="center"/>
    </xf>
    <xf numFmtId="187" fontId="49" fillId="0" borderId="43" xfId="2" applyNumberFormat="1" applyFont="1" applyFill="1" applyBorder="1" applyAlignment="1" applyProtection="1">
      <alignment horizontal="center" vertical="center"/>
    </xf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0" fillId="0" borderId="11" xfId="0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4" fillId="8" borderId="19" xfId="0" applyFont="1" applyFill="1" applyBorder="1" applyAlignment="1">
      <alignment horizontal="center" vertical="center" wrapText="1"/>
    </xf>
    <xf numFmtId="0" fontId="14" fillId="8" borderId="20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10" borderId="21" xfId="0" applyFill="1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16" fillId="8" borderId="11" xfId="0" applyFont="1" applyFill="1" applyBorder="1" applyAlignment="1">
      <alignment horizontal="center" vertical="center"/>
    </xf>
    <xf numFmtId="0" fontId="14" fillId="8" borderId="25" xfId="0" applyFont="1" applyFill="1" applyBorder="1" applyAlignment="1">
      <alignment horizontal="center" vertical="center" wrapText="1"/>
    </xf>
    <xf numFmtId="0" fontId="14" fillId="8" borderId="12" xfId="0" applyFont="1" applyFill="1" applyBorder="1" applyAlignment="1">
      <alignment horizontal="center" vertical="center" wrapText="1"/>
    </xf>
    <xf numFmtId="0" fontId="13" fillId="2" borderId="29" xfId="0" applyFont="1" applyFill="1" applyBorder="1" applyAlignment="1">
      <alignment horizontal="center" vertical="center" wrapText="1"/>
    </xf>
    <xf numFmtId="22" fontId="5" fillId="0" borderId="10" xfId="0" applyNumberFormat="1" applyFont="1" applyBorder="1" applyAlignment="1">
      <alignment horizontal="center" vertical="center" wrapText="1"/>
    </xf>
    <xf numFmtId="22" fontId="5" fillId="0" borderId="18" xfId="0" applyNumberFormat="1" applyFont="1" applyBorder="1" applyAlignment="1">
      <alignment horizontal="center" vertical="center" wrapText="1"/>
    </xf>
    <xf numFmtId="22" fontId="5" fillId="0" borderId="3" xfId="0" applyNumberFormat="1" applyFont="1" applyBorder="1" applyAlignment="1">
      <alignment horizontal="center" vertical="center" wrapText="1"/>
    </xf>
    <xf numFmtId="22" fontId="5" fillId="0" borderId="7" xfId="0" applyNumberFormat="1" applyFont="1" applyBorder="1" applyAlignment="1">
      <alignment horizontal="left" vertical="center" wrapText="1"/>
    </xf>
    <xf numFmtId="22" fontId="5" fillId="0" borderId="8" xfId="0" applyNumberFormat="1" applyFont="1" applyBorder="1" applyAlignment="1">
      <alignment horizontal="left" vertical="center" wrapText="1"/>
    </xf>
    <xf numFmtId="22" fontId="5" fillId="0" borderId="9" xfId="0" applyNumberFormat="1" applyFont="1" applyBorder="1" applyAlignment="1">
      <alignment horizontal="left" vertical="center" wrapText="1"/>
    </xf>
    <xf numFmtId="22" fontId="5" fillId="0" borderId="5" xfId="0" applyNumberFormat="1" applyFont="1" applyBorder="1" applyAlignment="1">
      <alignment horizontal="left" vertical="center" wrapText="1"/>
    </xf>
    <xf numFmtId="22" fontId="5" fillId="0" borderId="6" xfId="0" applyNumberFormat="1" applyFont="1" applyBorder="1" applyAlignment="1">
      <alignment horizontal="left" vertical="center" wrapText="1"/>
    </xf>
    <xf numFmtId="22" fontId="5" fillId="0" borderId="4" xfId="0" applyNumberFormat="1" applyFont="1" applyBorder="1" applyAlignment="1">
      <alignment horizontal="left" vertical="center" wrapText="1"/>
    </xf>
    <xf numFmtId="187" fontId="49" fillId="10" borderId="43" xfId="2" applyNumberFormat="1" applyFont="1" applyFill="1" applyBorder="1" applyAlignment="1" applyProtection="1">
      <alignment horizontal="center" vertical="center"/>
    </xf>
    <xf numFmtId="0" fontId="50" fillId="10" borderId="42" xfId="0" applyFont="1" applyFill="1" applyBorder="1" applyAlignment="1">
      <alignment horizontal="center" vertical="center"/>
    </xf>
    <xf numFmtId="0" fontId="24" fillId="0" borderId="44" xfId="0" applyFont="1" applyFill="1" applyBorder="1" applyAlignment="1">
      <alignment horizontal="center" vertical="center"/>
    </xf>
  </cellXfs>
  <cellStyles count="21">
    <cellStyle name="백분율 2" xfId="19" xr:uid="{9707597C-E7DA-42E2-95DB-E4F1F60B505D}"/>
    <cellStyle name="백분율 3" xfId="7" xr:uid="{D18E1370-786F-4504-B2D1-CA016DE84F9D}"/>
    <cellStyle name="백분율 7" xfId="20" xr:uid="{8598C6A7-F571-4D2E-807E-8FC2EEFB810C}"/>
    <cellStyle name="백분율 9" xfId="15" xr:uid="{679BADC2-A980-4509-BE2E-C3933F2E96E6}"/>
    <cellStyle name="쉼표 [0]" xfId="2" builtinId="6"/>
    <cellStyle name="쉼표 [0] 11" xfId="16" xr:uid="{AD4CA3EF-B304-440F-9274-F8DABBC378D2}"/>
    <cellStyle name="쉼표 [0] 2" xfId="3" xr:uid="{AB8328A8-8369-40C7-B151-BF0E06103612}"/>
    <cellStyle name="쉼표 [0] 2 2" xfId="9" xr:uid="{DCC4B3DA-9C13-4BCC-952E-6128CF1AD8FC}"/>
    <cellStyle name="쉼표 [0] 2 3" xfId="14" xr:uid="{5B695E68-03CA-4BE7-86CE-A301EE521521}"/>
    <cellStyle name="쉼표 [0] 3" xfId="5" xr:uid="{B94B028B-E4B0-4FF3-961A-B3FF10918608}"/>
    <cellStyle name="쉼표 [0] 3 2" xfId="11" xr:uid="{3A9A7F79-4A7B-490D-9C77-E32E93DB554B}"/>
    <cellStyle name="쉼표 [0] 3 3" xfId="18" xr:uid="{DB386207-8DB0-4A6F-A983-755B919E33FC}"/>
    <cellStyle name="쉼표 [0] 4" xfId="8" xr:uid="{79458CAD-442A-4560-828B-CCFA05A5F1B2}"/>
    <cellStyle name="쉼표 [0] 5" xfId="6" xr:uid="{AFA311BD-C4CA-40C1-BA82-AFEB09702F8E}"/>
    <cellStyle name="트윈리버(주)" xfId="12" xr:uid="{196D683C-09BD-4FAB-B887-5587EA4A6FCD}"/>
    <cellStyle name="표준" xfId="0" builtinId="0"/>
    <cellStyle name="표준 155" xfId="17" xr:uid="{CAF1A207-33D6-436D-9CD3-1EF6F6B3C647}"/>
    <cellStyle name="표준 2" xfId="1" xr:uid="{A8C323DC-9615-4B2F-A148-ED59CF98E267}"/>
    <cellStyle name="표준 2 2" xfId="13" xr:uid="{559C2C2A-B170-44C1-8BDA-0C37F25B361B}"/>
    <cellStyle name="표준 3" xfId="4" xr:uid="{FFD30C6F-E7ED-4A8B-9FDD-C787323C05FB}"/>
    <cellStyle name="표준 4" xfId="10" xr:uid="{FC7036DB-2D02-470F-8731-4C42C09B8266}"/>
  </cellStyles>
  <dxfs count="0"/>
  <tableStyles count="0" defaultTableStyle="TableStyleMedium2" defaultPivotStyle="PivotStyleLight16"/>
  <colors>
    <mruColors>
      <color rgb="FF042AA6"/>
      <color rgb="FFFFFF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D200"/>
  <sheetViews>
    <sheetView workbookViewId="0">
      <selection activeCell="N2" sqref="N2"/>
    </sheetView>
  </sheetViews>
  <sheetFormatPr defaultRowHeight="17.399999999999999" x14ac:dyDescent="0.4"/>
  <cols>
    <col min="2" max="2" width="9.6992187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6.59765625" bestFit="1" customWidth="1"/>
    <col min="12" max="12" width="13.19921875" bestFit="1" customWidth="1"/>
    <col min="13" max="13" width="22.296875" bestFit="1" customWidth="1"/>
    <col min="14" max="14" width="22.296875" customWidth="1"/>
    <col min="17" max="17" width="11.59765625" bestFit="1" customWidth="1"/>
    <col min="18" max="18" width="36.8984375" customWidth="1"/>
    <col min="19" max="19" width="40" customWidth="1"/>
    <col min="20" max="21" width="19" bestFit="1" customWidth="1"/>
    <col min="22" max="22" width="16.5" bestFit="1" customWidth="1"/>
    <col min="23" max="23" width="15.5" bestFit="1" customWidth="1"/>
    <col min="24" max="24" width="64.19921875" bestFit="1" customWidth="1"/>
    <col min="25" max="25" width="21" bestFit="1" customWidth="1"/>
    <col min="26" max="27" width="13.19921875" bestFit="1" customWidth="1"/>
    <col min="28" max="28" width="22.69921875" bestFit="1" customWidth="1"/>
    <col min="29" max="29" width="11.59765625" bestFit="1" customWidth="1"/>
  </cols>
  <sheetData>
    <row r="1" spans="1:30" x14ac:dyDescent="0.4">
      <c r="A1" s="11" t="s">
        <v>34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9</v>
      </c>
      <c r="I1" s="10" t="s">
        <v>10</v>
      </c>
      <c r="J1" s="10" t="s">
        <v>11</v>
      </c>
      <c r="K1" s="10" t="s">
        <v>14</v>
      </c>
      <c r="L1" s="10" t="s">
        <v>12</v>
      </c>
      <c r="M1" s="10" t="s">
        <v>7</v>
      </c>
      <c r="N1" s="10" t="s">
        <v>5</v>
      </c>
      <c r="P1" s="28" t="s">
        <v>38</v>
      </c>
      <c r="Q1" s="9" t="s">
        <v>33</v>
      </c>
      <c r="R1" s="9" t="s">
        <v>37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8</v>
      </c>
      <c r="X1" s="9" t="s">
        <v>9</v>
      </c>
      <c r="Y1" s="9" t="s">
        <v>10</v>
      </c>
      <c r="Z1" s="9" t="s">
        <v>11</v>
      </c>
      <c r="AA1" s="9" t="s">
        <v>14</v>
      </c>
      <c r="AB1" s="9" t="s">
        <v>12</v>
      </c>
      <c r="AC1" s="9" t="s">
        <v>7</v>
      </c>
      <c r="AD1" s="9" t="s">
        <v>5</v>
      </c>
    </row>
    <row r="2" spans="1:30" ht="34.799999999999997" x14ac:dyDescent="0.4">
      <c r="A2" s="12" t="str">
        <f>TEXT(N2,"MM")</f>
        <v>06</v>
      </c>
      <c r="B2" s="46" t="s">
        <v>39</v>
      </c>
      <c r="C2">
        <v>5730</v>
      </c>
      <c r="D2" t="s">
        <v>88</v>
      </c>
      <c r="G2" t="s">
        <v>89</v>
      </c>
      <c r="J2" t="s">
        <v>90</v>
      </c>
      <c r="L2" t="s">
        <v>80</v>
      </c>
      <c r="N2" s="1">
        <v>45078.478032407409</v>
      </c>
      <c r="P2" s="4"/>
      <c r="Q2" s="4" t="str" cm="1">
        <f t="array" ref="Q2:AD2">IF(_xlfn._xlws.FILTER($A$2:$N$200,($A$2:$A$200=P1),"결과값 없음")=0,"",_xlfn._xlws.FILTER($A$2:$N$200,($A$2:$A$200=P1),"결과값 없음"))</f>
        <v>06</v>
      </c>
      <c r="R2" s="4" t="str">
        <v>unchecked
​</v>
      </c>
      <c r="S2" s="4">
        <v>5730</v>
      </c>
      <c r="T2" s="4" t="str">
        <v>Replacement of aging network equipment (ANEXIA)</v>
      </c>
      <c r="U2" s="4" t="str">
        <v/>
      </c>
      <c r="V2" s="4" t="str">
        <v/>
      </c>
      <c r="W2" s="4" t="str">
        <v>P3</v>
      </c>
      <c r="X2" s="4" t="str">
        <v/>
      </c>
      <c r="Y2" s="4" t="str">
        <v/>
      </c>
      <c r="Z2" s="4" t="str">
        <v>Incident Management</v>
      </c>
      <c r="AA2" s="4" t="str">
        <v/>
      </c>
      <c r="AB2" s="27" t="str">
        <v>Closed</v>
      </c>
      <c r="AC2" t="str">
        <v/>
      </c>
      <c r="AD2">
        <v>45078.478032407409</v>
      </c>
    </row>
    <row r="3" spans="1:30" x14ac:dyDescent="0.4">
      <c r="A3" s="12" t="str">
        <f t="shared" ref="A3:A66" si="0">TEXT(N3,"MM")</f>
        <v>01</v>
      </c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30" x14ac:dyDescent="0.4">
      <c r="A4" s="12" t="str">
        <f t="shared" si="0"/>
        <v>01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30" x14ac:dyDescent="0.4">
      <c r="A5" s="12" t="str">
        <f t="shared" si="0"/>
        <v>01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30" x14ac:dyDescent="0.4">
      <c r="A6" s="12" t="str">
        <f t="shared" si="0"/>
        <v>01</v>
      </c>
    </row>
    <row r="7" spans="1:30" x14ac:dyDescent="0.4">
      <c r="A7" s="12" t="str">
        <f t="shared" si="0"/>
        <v>01</v>
      </c>
    </row>
    <row r="8" spans="1:30" x14ac:dyDescent="0.4">
      <c r="A8" s="12" t="str">
        <f t="shared" si="0"/>
        <v>01</v>
      </c>
    </row>
    <row r="9" spans="1:30" x14ac:dyDescent="0.4">
      <c r="A9" s="12" t="str">
        <f t="shared" si="0"/>
        <v>01</v>
      </c>
    </row>
    <row r="10" spans="1:30" x14ac:dyDescent="0.4">
      <c r="A10" s="12" t="str">
        <f t="shared" si="0"/>
        <v>01</v>
      </c>
    </row>
    <row r="11" spans="1:30" x14ac:dyDescent="0.4">
      <c r="A11" s="12" t="str">
        <f t="shared" si="0"/>
        <v>01</v>
      </c>
    </row>
    <row r="12" spans="1:30" x14ac:dyDescent="0.4">
      <c r="A12" s="12" t="str">
        <f t="shared" si="0"/>
        <v>01</v>
      </c>
    </row>
    <row r="13" spans="1:30" x14ac:dyDescent="0.4">
      <c r="A13" s="12" t="str">
        <f t="shared" si="0"/>
        <v>01</v>
      </c>
    </row>
    <row r="14" spans="1:30" x14ac:dyDescent="0.4">
      <c r="A14" s="12" t="str">
        <f t="shared" si="0"/>
        <v>01</v>
      </c>
    </row>
    <row r="15" spans="1:30" x14ac:dyDescent="0.4">
      <c r="A15" s="12" t="str">
        <f t="shared" si="0"/>
        <v>01</v>
      </c>
    </row>
    <row r="16" spans="1:30" x14ac:dyDescent="0.4">
      <c r="A16" s="12" t="str">
        <f t="shared" si="0"/>
        <v>01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TEXT(N67,"MM")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TEXT(N131,"MM")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00" si="3">TEXT(N195,"MM")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H15"/>
  <sheetViews>
    <sheetView workbookViewId="0">
      <selection activeCell="I1" sqref="I1"/>
    </sheetView>
  </sheetViews>
  <sheetFormatPr defaultRowHeight="17.399999999999999" x14ac:dyDescent="0.4"/>
  <cols>
    <col min="1" max="1" width="4.69921875" customWidth="1"/>
    <col min="2" max="2" width="9.69921875" customWidth="1"/>
    <col min="3" max="3" width="25.69921875" customWidth="1"/>
    <col min="4" max="5" width="11.69921875" customWidth="1"/>
    <col min="6" max="6" width="7.69921875" customWidth="1"/>
  </cols>
  <sheetData>
    <row r="1" spans="1:8" ht="36" x14ac:dyDescent="0.4">
      <c r="A1" s="22" t="s">
        <v>27</v>
      </c>
      <c r="B1" s="23" t="s">
        <v>29</v>
      </c>
      <c r="C1" s="22" t="s">
        <v>28</v>
      </c>
      <c r="D1" s="24" t="s">
        <v>35</v>
      </c>
      <c r="E1" s="23" t="s">
        <v>36</v>
      </c>
      <c r="F1" s="23" t="s">
        <v>30</v>
      </c>
      <c r="H1">
        <v>4</v>
      </c>
    </row>
    <row r="2" spans="1:8" s="42" customFormat="1" ht="25.05" customHeight="1" thickBot="1" x14ac:dyDescent="0.45">
      <c r="A2" s="25">
        <v>1</v>
      </c>
      <c r="B2" s="6">
        <f>IF(IncidentDownload!C2="","",IncidentDownload!C2)</f>
        <v>5730</v>
      </c>
      <c r="C2" s="21" t="str">
        <f>IF(IncidentDownload!T2="","",IncidentDownload!T2)</f>
        <v>Replacement of aging network equipment (ANEXIA)</v>
      </c>
      <c r="D2" s="45">
        <f>IF(IncidentDownload!N2="","",IncidentDownload!N2)</f>
        <v>45078.478032407409</v>
      </c>
      <c r="E2" s="35" t="str">
        <f>IF(IncidentDownload!V2="","",IncidentDownload!V2)</f>
        <v/>
      </c>
      <c r="F2" s="21"/>
      <c r="H2" s="42">
        <v>9</v>
      </c>
    </row>
    <row r="3" spans="1:8" s="42" customFormat="1" ht="25.05" customHeight="1" thickBot="1" x14ac:dyDescent="0.45">
      <c r="A3" s="25">
        <v>2</v>
      </c>
      <c r="B3" s="21" t="str">
        <f>IF(MID(IncidentDownload!S3,28,4)="","",MID(IncidentDownload!S3,28,4))</f>
        <v/>
      </c>
      <c r="C3" s="21" t="str">
        <f>IF(IncidentDownload!T3="","",IncidentDownload!T3)</f>
        <v/>
      </c>
      <c r="D3" s="35" t="str">
        <f>IF(IncidentDownload!U3="","",IncidentDownload!U3)</f>
        <v/>
      </c>
      <c r="E3" s="35" t="str">
        <f>IF(IncidentDownload!V3="","",IncidentDownload!V3)</f>
        <v/>
      </c>
      <c r="F3" s="21"/>
      <c r="H3" s="42">
        <v>25</v>
      </c>
    </row>
    <row r="4" spans="1:8" s="42" customFormat="1" ht="25.05" customHeight="1" thickBot="1" x14ac:dyDescent="0.45">
      <c r="A4" s="25">
        <v>3</v>
      </c>
      <c r="B4" s="21" t="str">
        <f>IF(MID(IncidentDownload!S4,28,4)="","",MID(IncidentDownload!S4,28,4))</f>
        <v/>
      </c>
      <c r="C4" s="21" t="str">
        <f>IF(IncidentDownload!T4="","",IncidentDownload!T4)</f>
        <v/>
      </c>
      <c r="D4" s="35" t="str">
        <f>IF(IncidentDownload!U4="","",IncidentDownload!U4)</f>
        <v/>
      </c>
      <c r="E4" s="35" t="str">
        <f>IF(IncidentDownload!V4="","",IncidentDownload!V4)</f>
        <v/>
      </c>
      <c r="F4" s="21"/>
      <c r="H4" s="42">
        <v>11</v>
      </c>
    </row>
    <row r="5" spans="1:8" s="42" customFormat="1" ht="25.05" customHeight="1" thickBot="1" x14ac:dyDescent="0.45">
      <c r="A5" s="25">
        <v>4</v>
      </c>
      <c r="B5" s="21" t="str">
        <f>IF(MID(IncidentDownload!S5,28,4)="","",MID(IncidentDownload!S5,28,4))</f>
        <v/>
      </c>
      <c r="C5" s="21" t="str">
        <f>IF(IncidentDownload!T5="","",IncidentDownload!T5)</f>
        <v/>
      </c>
      <c r="D5" s="35" t="str">
        <f>IF(IncidentDownload!U5="","",IncidentDownload!U5)</f>
        <v/>
      </c>
      <c r="E5" s="35" t="str">
        <f>IF(IncidentDownload!V5="","",IncidentDownload!V5)</f>
        <v/>
      </c>
      <c r="F5" s="21"/>
      <c r="H5" s="42">
        <v>11</v>
      </c>
    </row>
    <row r="6" spans="1:8" s="42" customFormat="1" ht="25.05" customHeight="1" thickBot="1" x14ac:dyDescent="0.45">
      <c r="A6" s="25">
        <v>5</v>
      </c>
      <c r="B6" s="21" t="str">
        <f>IF(MID(IncidentDownload!S6,28,4)="","",MID(IncidentDownload!S6,28,4))</f>
        <v/>
      </c>
      <c r="C6" s="21" t="str">
        <f>IF(IncidentDownload!T6="","",IncidentDownload!T6)</f>
        <v/>
      </c>
      <c r="D6" s="35" t="str">
        <f>IF(IncidentDownload!U6="","",IncidentDownload!U6)</f>
        <v/>
      </c>
      <c r="E6" s="35" t="str">
        <f>IF(IncidentDownload!V6="","",IncidentDownload!V6)</f>
        <v/>
      </c>
      <c r="F6" s="21"/>
      <c r="H6" s="42">
        <v>7</v>
      </c>
    </row>
    <row r="7" spans="1:8" ht="4.95" customHeight="1" x14ac:dyDescent="0.4">
      <c r="A7" s="261" t="s">
        <v>32</v>
      </c>
      <c r="B7" s="262"/>
      <c r="C7" s="262"/>
      <c r="D7" s="262"/>
      <c r="E7" s="262"/>
      <c r="F7" s="263"/>
    </row>
    <row r="8" spans="1:8" ht="4.95" customHeight="1" thickBot="1" x14ac:dyDescent="0.45">
      <c r="A8" s="264"/>
      <c r="B8" s="265"/>
      <c r="C8" s="265"/>
      <c r="D8" s="265"/>
      <c r="E8" s="265"/>
      <c r="F8" s="266"/>
    </row>
    <row r="15" spans="1:8" ht="25.05" customHeight="1" x14ac:dyDescent="0.4"/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Z1515"/>
  <sheetViews>
    <sheetView workbookViewId="0">
      <selection activeCell="J2" sqref="J2:J16"/>
    </sheetView>
  </sheetViews>
  <sheetFormatPr defaultRowHeight="17.399999999999999" x14ac:dyDescent="0.4"/>
  <cols>
    <col min="2" max="2" width="12.19921875" customWidth="1"/>
    <col min="4" max="4" width="46" bestFit="1" customWidth="1"/>
    <col min="5" max="6" width="19.19921875" bestFit="1" customWidth="1"/>
    <col min="7" max="7" width="9.19921875" bestFit="1" customWidth="1"/>
    <col min="8" max="8" width="22.5" customWidth="1"/>
    <col min="9" max="9" width="16.59765625" bestFit="1" customWidth="1"/>
    <col min="10" max="10" width="11.59765625" bestFit="1" customWidth="1"/>
    <col min="11" max="11" width="22.296875" bestFit="1" customWidth="1"/>
    <col min="12" max="12" width="22.296875" customWidth="1"/>
    <col min="15" max="15" width="11.59765625" style="4" bestFit="1" customWidth="1"/>
    <col min="16" max="16" width="38.796875" bestFit="1" customWidth="1"/>
    <col min="17" max="17" width="35.19921875" customWidth="1"/>
    <col min="18" max="18" width="37.8984375" style="27" bestFit="1" customWidth="1"/>
    <col min="19" max="19" width="20.09765625" style="27" bestFit="1" customWidth="1"/>
    <col min="20" max="20" width="19" style="38" bestFit="1" customWidth="1"/>
    <col min="21" max="21" width="14.796875" customWidth="1"/>
    <col min="22" max="22" width="21" bestFit="1" customWidth="1"/>
    <col min="23" max="23" width="22.296875" style="4" customWidth="1"/>
    <col min="24" max="24" width="22.69921875" style="27" bestFit="1" customWidth="1"/>
    <col min="25" max="25" width="14.09765625" bestFit="1" customWidth="1"/>
    <col min="26" max="26" width="16.59765625" style="1" bestFit="1" customWidth="1"/>
  </cols>
  <sheetData>
    <row r="1" spans="1:26" x14ac:dyDescent="0.4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10</v>
      </c>
      <c r="I1" s="10" t="s">
        <v>14</v>
      </c>
      <c r="J1" s="10" t="s">
        <v>12</v>
      </c>
      <c r="K1" s="10" t="s">
        <v>7</v>
      </c>
      <c r="L1" s="10" t="s">
        <v>5</v>
      </c>
      <c r="N1" s="16" t="str">
        <f>IncidentDownload!P1</f>
        <v>06</v>
      </c>
      <c r="O1" s="8" t="s">
        <v>33</v>
      </c>
      <c r="P1" s="9" t="s">
        <v>37</v>
      </c>
      <c r="Q1" s="9" t="s">
        <v>18</v>
      </c>
      <c r="R1" s="9" t="s">
        <v>19</v>
      </c>
      <c r="S1" s="9" t="s">
        <v>20</v>
      </c>
      <c r="T1" s="43" t="s">
        <v>21</v>
      </c>
      <c r="U1" s="9" t="s">
        <v>8</v>
      </c>
      <c r="V1" s="9" t="s">
        <v>10</v>
      </c>
      <c r="W1" s="9" t="s">
        <v>14</v>
      </c>
      <c r="X1" s="9" t="s">
        <v>12</v>
      </c>
      <c r="Y1" s="9" t="s">
        <v>7</v>
      </c>
      <c r="Z1" s="43" t="s">
        <v>5</v>
      </c>
    </row>
    <row r="2" spans="1:26" ht="34.799999999999997" x14ac:dyDescent="0.4">
      <c r="A2" s="12" t="str">
        <f>TEXT(L2,"MM")</f>
        <v>Completed</v>
      </c>
      <c r="B2" s="46" t="s">
        <v>39</v>
      </c>
      <c r="C2">
        <v>11147</v>
      </c>
      <c r="D2" t="s">
        <v>48</v>
      </c>
      <c r="E2" s="1">
        <v>45216.736805555556</v>
      </c>
      <c r="F2" s="1">
        <v>45216.77847222222</v>
      </c>
      <c r="G2" t="s">
        <v>41</v>
      </c>
      <c r="H2" t="s">
        <v>49</v>
      </c>
      <c r="J2" t="s">
        <v>50</v>
      </c>
      <c r="L2" t="s">
        <v>44</v>
      </c>
      <c r="M2" t="s">
        <v>51</v>
      </c>
      <c r="N2" s="1">
        <v>45216.738252314812</v>
      </c>
      <c r="O2" s="4" t="str" cm="1">
        <f t="array" ref="O2">IF(_xlfn._xlws.FILTER($A$2:$L$200,($A$2:$A$200=N1),"결과값 없음")=0,"",_xlfn._xlws.FILTER($A$2:$L$200,($A$2:$A$200=N1),"결과값 없음"))</f>
        <v>결과값 없음</v>
      </c>
      <c r="P2" s="4"/>
      <c r="Q2" s="4"/>
      <c r="U2" s="4"/>
      <c r="V2" s="4"/>
      <c r="W2" s="27"/>
    </row>
    <row r="3" spans="1:26" ht="34.799999999999997" x14ac:dyDescent="0.4">
      <c r="A3" s="12" t="str">
        <f t="shared" ref="A3:A66" si="0">TEXT(L3,"MM")</f>
        <v>Cancelled</v>
      </c>
      <c r="B3" s="46" t="s">
        <v>39</v>
      </c>
      <c r="C3">
        <v>11129</v>
      </c>
      <c r="D3" t="s">
        <v>48</v>
      </c>
      <c r="E3" s="1">
        <v>45216.666666666664</v>
      </c>
      <c r="F3" s="1">
        <v>45216.75</v>
      </c>
      <c r="G3" t="s">
        <v>41</v>
      </c>
      <c r="H3" t="s">
        <v>49</v>
      </c>
      <c r="J3" t="s">
        <v>50</v>
      </c>
      <c r="L3" t="s">
        <v>52</v>
      </c>
      <c r="M3" t="s">
        <v>53</v>
      </c>
      <c r="N3" s="1">
        <v>45216.546400462961</v>
      </c>
      <c r="P3" s="4"/>
      <c r="Q3" s="4"/>
      <c r="U3" s="4"/>
      <c r="V3" s="4"/>
      <c r="W3" s="27"/>
    </row>
    <row r="4" spans="1:26" ht="34.799999999999997" x14ac:dyDescent="0.4">
      <c r="A4" s="12" t="str">
        <f t="shared" si="0"/>
        <v>Completed</v>
      </c>
      <c r="B4" s="46" t="s">
        <v>39</v>
      </c>
      <c r="C4">
        <v>8681</v>
      </c>
      <c r="D4" t="s">
        <v>54</v>
      </c>
      <c r="E4" s="1">
        <v>45156.416666666664</v>
      </c>
      <c r="F4" s="1">
        <v>45156.583333333336</v>
      </c>
      <c r="G4" t="s">
        <v>41</v>
      </c>
      <c r="H4" t="s">
        <v>49</v>
      </c>
      <c r="J4" t="s">
        <v>50</v>
      </c>
      <c r="L4" t="s">
        <v>44</v>
      </c>
      <c r="M4" t="s">
        <v>53</v>
      </c>
      <c r="N4" s="1">
        <v>45155.701608796298</v>
      </c>
      <c r="P4" s="4"/>
      <c r="Q4" s="4"/>
      <c r="U4" s="4"/>
      <c r="V4" s="4"/>
      <c r="W4" s="27"/>
    </row>
    <row r="5" spans="1:26" ht="34.799999999999997" x14ac:dyDescent="0.4">
      <c r="A5" s="12" t="str">
        <f t="shared" si="0"/>
        <v>Completed</v>
      </c>
      <c r="B5" s="46" t="s">
        <v>39</v>
      </c>
      <c r="C5">
        <v>8612</v>
      </c>
      <c r="D5" t="s">
        <v>55</v>
      </c>
      <c r="E5" s="1">
        <v>45155.375</v>
      </c>
      <c r="F5" s="1">
        <v>45155.708333333336</v>
      </c>
      <c r="G5" t="s">
        <v>41</v>
      </c>
      <c r="H5" t="s">
        <v>56</v>
      </c>
      <c r="J5" t="s">
        <v>50</v>
      </c>
      <c r="L5" t="s">
        <v>44</v>
      </c>
      <c r="M5" t="s">
        <v>57</v>
      </c>
      <c r="N5" s="1">
        <v>45154.590069444443</v>
      </c>
      <c r="P5" s="4"/>
      <c r="Q5" s="4"/>
      <c r="U5" s="4"/>
      <c r="V5" s="4"/>
    </row>
    <row r="6" spans="1:26" ht="34.799999999999997" x14ac:dyDescent="0.4">
      <c r="A6" s="12" t="str">
        <f t="shared" si="0"/>
        <v>Completed</v>
      </c>
      <c r="B6" s="46" t="s">
        <v>39</v>
      </c>
      <c r="C6">
        <v>7605</v>
      </c>
      <c r="D6" t="s">
        <v>58</v>
      </c>
      <c r="E6" s="1">
        <v>45127.583333333336</v>
      </c>
      <c r="F6" s="1">
        <v>45127.618055555555</v>
      </c>
      <c r="G6" t="s">
        <v>41</v>
      </c>
      <c r="H6" t="s">
        <v>56</v>
      </c>
      <c r="J6" t="s">
        <v>50</v>
      </c>
      <c r="L6" t="s">
        <v>44</v>
      </c>
      <c r="M6" t="s">
        <v>59</v>
      </c>
      <c r="N6" s="1">
        <v>45126.494456018518</v>
      </c>
    </row>
    <row r="7" spans="1:26" ht="34.799999999999997" x14ac:dyDescent="0.4">
      <c r="A7" s="12" t="str">
        <f t="shared" si="0"/>
        <v>Completed</v>
      </c>
      <c r="B7" s="46" t="s">
        <v>39</v>
      </c>
      <c r="C7">
        <v>7594</v>
      </c>
      <c r="D7" t="s">
        <v>60</v>
      </c>
      <c r="E7" s="1">
        <v>45128.429166666669</v>
      </c>
      <c r="F7" s="1">
        <v>45128.45416666667</v>
      </c>
      <c r="G7" t="s">
        <v>41</v>
      </c>
      <c r="H7" t="s">
        <v>56</v>
      </c>
      <c r="J7" t="s">
        <v>50</v>
      </c>
      <c r="L7" t="s">
        <v>44</v>
      </c>
      <c r="M7" t="s">
        <v>61</v>
      </c>
      <c r="N7" s="1">
        <v>45126.392083333332</v>
      </c>
    </row>
    <row r="8" spans="1:26" ht="34.799999999999997" x14ac:dyDescent="0.4">
      <c r="A8" s="12" t="str">
        <f t="shared" si="0"/>
        <v>Cancelled</v>
      </c>
      <c r="B8" s="46" t="s">
        <v>39</v>
      </c>
      <c r="C8">
        <v>7272</v>
      </c>
      <c r="D8" t="s">
        <v>62</v>
      </c>
      <c r="E8" s="1">
        <v>45119.375</v>
      </c>
      <c r="F8" s="1">
        <v>45119.708333333336</v>
      </c>
      <c r="G8" t="s">
        <v>41</v>
      </c>
      <c r="H8" t="s">
        <v>56</v>
      </c>
      <c r="J8" t="s">
        <v>50</v>
      </c>
      <c r="L8" t="s">
        <v>52</v>
      </c>
      <c r="M8" t="s">
        <v>63</v>
      </c>
      <c r="N8" s="1">
        <v>45118.451319444444</v>
      </c>
    </row>
    <row r="9" spans="1:26" ht="34.799999999999997" x14ac:dyDescent="0.4">
      <c r="A9" s="12" t="str">
        <f t="shared" si="0"/>
        <v>Cancelled</v>
      </c>
      <c r="B9" s="46" t="s">
        <v>39</v>
      </c>
      <c r="C9">
        <v>7148</v>
      </c>
      <c r="D9" t="s">
        <v>64</v>
      </c>
      <c r="E9" s="1">
        <v>45118.375</v>
      </c>
      <c r="F9" s="1">
        <v>45118.75</v>
      </c>
      <c r="G9" t="s">
        <v>41</v>
      </c>
      <c r="H9" t="s">
        <v>56</v>
      </c>
      <c r="J9" t="s">
        <v>50</v>
      </c>
      <c r="L9" t="s">
        <v>52</v>
      </c>
      <c r="M9" t="s">
        <v>63</v>
      </c>
      <c r="N9" s="1">
        <v>45114.406967592593</v>
      </c>
    </row>
    <row r="10" spans="1:26" ht="34.799999999999997" x14ac:dyDescent="0.4">
      <c r="A10" s="12" t="str">
        <f t="shared" si="0"/>
        <v>Completed</v>
      </c>
      <c r="B10" s="46" t="s">
        <v>39</v>
      </c>
      <c r="C10">
        <v>6906</v>
      </c>
      <c r="D10" t="s">
        <v>65</v>
      </c>
      <c r="E10" s="1">
        <v>45110.645833333336</v>
      </c>
      <c r="F10" s="1">
        <v>45110.651388888888</v>
      </c>
      <c r="G10" t="s">
        <v>41</v>
      </c>
      <c r="H10" t="s">
        <v>49</v>
      </c>
      <c r="J10" t="s">
        <v>50</v>
      </c>
      <c r="L10" t="s">
        <v>44</v>
      </c>
      <c r="M10" t="s">
        <v>53</v>
      </c>
      <c r="N10" s="1">
        <v>45107.481203703705</v>
      </c>
    </row>
    <row r="11" spans="1:26" ht="34.799999999999997" x14ac:dyDescent="0.4">
      <c r="A11" s="12" t="str">
        <f t="shared" si="0"/>
        <v>Completed</v>
      </c>
      <c r="B11" s="46" t="s">
        <v>39</v>
      </c>
      <c r="C11">
        <v>6560</v>
      </c>
      <c r="D11" t="s">
        <v>66</v>
      </c>
      <c r="E11" s="1">
        <v>45105.548611111109</v>
      </c>
      <c r="F11" s="1">
        <v>45105.579861111109</v>
      </c>
      <c r="G11" t="s">
        <v>41</v>
      </c>
      <c r="H11" t="s">
        <v>56</v>
      </c>
      <c r="J11" t="s">
        <v>50</v>
      </c>
      <c r="L11" t="s">
        <v>44</v>
      </c>
      <c r="M11" t="s">
        <v>67</v>
      </c>
      <c r="N11" s="1">
        <v>45099.635439814818</v>
      </c>
    </row>
    <row r="12" spans="1:26" ht="34.799999999999997" x14ac:dyDescent="0.4">
      <c r="A12" s="12" t="str">
        <f t="shared" si="0"/>
        <v>Completed</v>
      </c>
      <c r="B12" s="46" t="s">
        <v>39</v>
      </c>
      <c r="C12">
        <v>6473</v>
      </c>
      <c r="D12" t="s">
        <v>68</v>
      </c>
      <c r="E12" s="1">
        <v>45106.5625</v>
      </c>
      <c r="F12" s="1">
        <v>45106.586111111108</v>
      </c>
      <c r="G12" t="s">
        <v>41</v>
      </c>
      <c r="H12" t="s">
        <v>56</v>
      </c>
      <c r="J12" t="s">
        <v>50</v>
      </c>
      <c r="L12" t="s">
        <v>44</v>
      </c>
      <c r="M12" t="s">
        <v>69</v>
      </c>
      <c r="N12" s="1">
        <v>45097.63212962963</v>
      </c>
    </row>
    <row r="13" spans="1:26" ht="34.799999999999997" x14ac:dyDescent="0.4">
      <c r="A13" s="12" t="str">
        <f t="shared" si="0"/>
        <v>Completed</v>
      </c>
      <c r="B13" s="46" t="s">
        <v>39</v>
      </c>
      <c r="C13">
        <v>5321</v>
      </c>
      <c r="D13" t="s">
        <v>70</v>
      </c>
      <c r="E13" s="1">
        <v>45071.701388888891</v>
      </c>
      <c r="F13" s="1">
        <v>45071.98333333333</v>
      </c>
      <c r="G13" t="s">
        <v>41</v>
      </c>
      <c r="H13" t="s">
        <v>56</v>
      </c>
      <c r="J13" t="s">
        <v>50</v>
      </c>
      <c r="L13" t="s">
        <v>44</v>
      </c>
      <c r="M13" t="s">
        <v>71</v>
      </c>
      <c r="N13" s="1">
        <v>45068.416863425926</v>
      </c>
    </row>
    <row r="14" spans="1:26" ht="34.799999999999997" x14ac:dyDescent="0.4">
      <c r="A14" s="12" t="str">
        <f t="shared" si="0"/>
        <v>Completed</v>
      </c>
      <c r="B14" s="46" t="s">
        <v>39</v>
      </c>
      <c r="C14">
        <v>4807</v>
      </c>
      <c r="D14" t="s">
        <v>72</v>
      </c>
      <c r="E14" s="1">
        <v>45055.625</v>
      </c>
      <c r="F14" s="1">
        <v>45055.635416666664</v>
      </c>
      <c r="G14" t="s">
        <v>41</v>
      </c>
      <c r="J14" t="s">
        <v>50</v>
      </c>
      <c r="L14" t="s">
        <v>44</v>
      </c>
      <c r="M14" t="s">
        <v>53</v>
      </c>
      <c r="N14" s="1">
        <v>45055.654699074075</v>
      </c>
    </row>
    <row r="15" spans="1:26" ht="34.799999999999997" x14ac:dyDescent="0.4">
      <c r="A15" s="12" t="str">
        <f t="shared" si="0"/>
        <v>Completed</v>
      </c>
      <c r="B15" s="46" t="s">
        <v>39</v>
      </c>
      <c r="C15">
        <v>4780</v>
      </c>
      <c r="D15" t="s">
        <v>73</v>
      </c>
      <c r="E15" s="1">
        <v>45057.375</v>
      </c>
      <c r="F15" s="1">
        <v>45057.427083333336</v>
      </c>
      <c r="G15" t="s">
        <v>41</v>
      </c>
      <c r="H15" t="s">
        <v>56</v>
      </c>
      <c r="J15" t="s">
        <v>50</v>
      </c>
      <c r="L15" t="s">
        <v>44</v>
      </c>
      <c r="M15" t="s">
        <v>74</v>
      </c>
      <c r="N15" s="1">
        <v>45055.474652777775</v>
      </c>
    </row>
    <row r="16" spans="1:26" ht="34.799999999999997" x14ac:dyDescent="0.4">
      <c r="A16" s="12" t="str">
        <f t="shared" si="0"/>
        <v>Completed</v>
      </c>
      <c r="B16" s="46" t="s">
        <v>39</v>
      </c>
      <c r="C16">
        <v>4712</v>
      </c>
      <c r="D16" t="s">
        <v>75</v>
      </c>
      <c r="E16" s="1">
        <v>45057.552777777775</v>
      </c>
      <c r="F16" s="1">
        <v>45057.574999999997</v>
      </c>
      <c r="G16" t="s">
        <v>41</v>
      </c>
      <c r="H16" t="s">
        <v>56</v>
      </c>
      <c r="J16" t="s">
        <v>50</v>
      </c>
      <c r="L16" t="s">
        <v>44</v>
      </c>
      <c r="M16" t="s">
        <v>76</v>
      </c>
      <c r="N16" s="1">
        <v>45054.576805555553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TEXT(L67,"MM")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TEXT(L131,"MM")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58" si="3">TEXT(L195,"MM")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  <row r="201" spans="1:1" x14ac:dyDescent="0.4">
      <c r="A201" s="12" t="str">
        <f t="shared" si="3"/>
        <v>01</v>
      </c>
    </row>
    <row r="202" spans="1:1" x14ac:dyDescent="0.4">
      <c r="A202" s="12" t="str">
        <f t="shared" si="3"/>
        <v>01</v>
      </c>
    </row>
    <row r="203" spans="1:1" x14ac:dyDescent="0.4">
      <c r="A203" s="12" t="str">
        <f t="shared" si="3"/>
        <v>01</v>
      </c>
    </row>
    <row r="204" spans="1:1" x14ac:dyDescent="0.4">
      <c r="A204" s="12" t="str">
        <f t="shared" si="3"/>
        <v>01</v>
      </c>
    </row>
    <row r="205" spans="1:1" x14ac:dyDescent="0.4">
      <c r="A205" s="12" t="str">
        <f t="shared" si="3"/>
        <v>01</v>
      </c>
    </row>
    <row r="206" spans="1:1" x14ac:dyDescent="0.4">
      <c r="A206" s="12" t="str">
        <f t="shared" si="3"/>
        <v>01</v>
      </c>
    </row>
    <row r="207" spans="1:1" x14ac:dyDescent="0.4">
      <c r="A207" s="12" t="str">
        <f t="shared" si="3"/>
        <v>01</v>
      </c>
    </row>
    <row r="208" spans="1:1" x14ac:dyDescent="0.4">
      <c r="A208" s="12" t="str">
        <f t="shared" si="3"/>
        <v>01</v>
      </c>
    </row>
    <row r="209" spans="1:1" x14ac:dyDescent="0.4">
      <c r="A209" s="12" t="str">
        <f t="shared" si="3"/>
        <v>01</v>
      </c>
    </row>
    <row r="210" spans="1:1" x14ac:dyDescent="0.4">
      <c r="A210" s="12" t="str">
        <f t="shared" si="3"/>
        <v>01</v>
      </c>
    </row>
    <row r="211" spans="1:1" x14ac:dyDescent="0.4">
      <c r="A211" s="12" t="str">
        <f t="shared" si="3"/>
        <v>01</v>
      </c>
    </row>
    <row r="212" spans="1:1" x14ac:dyDescent="0.4">
      <c r="A212" s="12" t="str">
        <f t="shared" si="3"/>
        <v>01</v>
      </c>
    </row>
    <row r="213" spans="1:1" x14ac:dyDescent="0.4">
      <c r="A213" s="12" t="str">
        <f t="shared" si="3"/>
        <v>01</v>
      </c>
    </row>
    <row r="214" spans="1:1" x14ac:dyDescent="0.4">
      <c r="A214" s="12" t="str">
        <f t="shared" si="3"/>
        <v>01</v>
      </c>
    </row>
    <row r="215" spans="1:1" x14ac:dyDescent="0.4">
      <c r="A215" s="12" t="str">
        <f t="shared" si="3"/>
        <v>01</v>
      </c>
    </row>
    <row r="216" spans="1:1" x14ac:dyDescent="0.4">
      <c r="A216" s="12" t="str">
        <f t="shared" si="3"/>
        <v>01</v>
      </c>
    </row>
    <row r="217" spans="1:1" x14ac:dyDescent="0.4">
      <c r="A217" s="12" t="str">
        <f t="shared" si="3"/>
        <v>01</v>
      </c>
    </row>
    <row r="218" spans="1:1" x14ac:dyDescent="0.4">
      <c r="A218" s="12" t="str">
        <f t="shared" si="3"/>
        <v>01</v>
      </c>
    </row>
    <row r="219" spans="1:1" x14ac:dyDescent="0.4">
      <c r="A219" s="12" t="str">
        <f t="shared" si="3"/>
        <v>01</v>
      </c>
    </row>
    <row r="220" spans="1:1" x14ac:dyDescent="0.4">
      <c r="A220" s="12" t="str">
        <f t="shared" si="3"/>
        <v>01</v>
      </c>
    </row>
    <row r="221" spans="1:1" x14ac:dyDescent="0.4">
      <c r="A221" s="12" t="str">
        <f t="shared" si="3"/>
        <v>01</v>
      </c>
    </row>
    <row r="222" spans="1:1" x14ac:dyDescent="0.4">
      <c r="A222" s="12" t="str">
        <f t="shared" si="3"/>
        <v>01</v>
      </c>
    </row>
    <row r="223" spans="1:1" x14ac:dyDescent="0.4">
      <c r="A223" s="12" t="str">
        <f t="shared" si="3"/>
        <v>01</v>
      </c>
    </row>
    <row r="224" spans="1:1" x14ac:dyDescent="0.4">
      <c r="A224" s="12" t="str">
        <f t="shared" si="3"/>
        <v>01</v>
      </c>
    </row>
    <row r="225" spans="1:1" x14ac:dyDescent="0.4">
      <c r="A225" s="12" t="str">
        <f t="shared" si="3"/>
        <v>01</v>
      </c>
    </row>
    <row r="226" spans="1:1" x14ac:dyDescent="0.4">
      <c r="A226" s="12" t="str">
        <f t="shared" si="3"/>
        <v>01</v>
      </c>
    </row>
    <row r="227" spans="1:1" x14ac:dyDescent="0.4">
      <c r="A227" s="12" t="str">
        <f t="shared" si="3"/>
        <v>01</v>
      </c>
    </row>
    <row r="228" spans="1:1" x14ac:dyDescent="0.4">
      <c r="A228" s="12" t="str">
        <f t="shared" si="3"/>
        <v>01</v>
      </c>
    </row>
    <row r="229" spans="1:1" x14ac:dyDescent="0.4">
      <c r="A229" s="12" t="str">
        <f t="shared" si="3"/>
        <v>01</v>
      </c>
    </row>
    <row r="230" spans="1:1" x14ac:dyDescent="0.4">
      <c r="A230" s="12" t="str">
        <f t="shared" si="3"/>
        <v>01</v>
      </c>
    </row>
    <row r="231" spans="1:1" x14ac:dyDescent="0.4">
      <c r="A231" s="12" t="str">
        <f t="shared" si="3"/>
        <v>01</v>
      </c>
    </row>
    <row r="232" spans="1:1" x14ac:dyDescent="0.4">
      <c r="A232" s="12" t="str">
        <f t="shared" si="3"/>
        <v>01</v>
      </c>
    </row>
    <row r="233" spans="1:1" x14ac:dyDescent="0.4">
      <c r="A233" s="12" t="str">
        <f t="shared" si="3"/>
        <v>01</v>
      </c>
    </row>
    <row r="234" spans="1:1" x14ac:dyDescent="0.4">
      <c r="A234" s="12" t="str">
        <f t="shared" si="3"/>
        <v>01</v>
      </c>
    </row>
    <row r="235" spans="1:1" x14ac:dyDescent="0.4">
      <c r="A235" s="12" t="str">
        <f t="shared" si="3"/>
        <v>01</v>
      </c>
    </row>
    <row r="236" spans="1:1" x14ac:dyDescent="0.4">
      <c r="A236" s="12" t="str">
        <f t="shared" si="3"/>
        <v>01</v>
      </c>
    </row>
    <row r="237" spans="1:1" x14ac:dyDescent="0.4">
      <c r="A237" s="12" t="str">
        <f t="shared" si="3"/>
        <v>01</v>
      </c>
    </row>
    <row r="238" spans="1:1" x14ac:dyDescent="0.4">
      <c r="A238" s="12" t="str">
        <f t="shared" si="3"/>
        <v>01</v>
      </c>
    </row>
    <row r="239" spans="1:1" x14ac:dyDescent="0.4">
      <c r="A239" s="12" t="str">
        <f t="shared" si="3"/>
        <v>01</v>
      </c>
    </row>
    <row r="240" spans="1:1" x14ac:dyDescent="0.4">
      <c r="A240" s="12" t="str">
        <f t="shared" si="3"/>
        <v>01</v>
      </c>
    </row>
    <row r="241" spans="1:1" x14ac:dyDescent="0.4">
      <c r="A241" s="12" t="str">
        <f t="shared" si="3"/>
        <v>01</v>
      </c>
    </row>
    <row r="242" spans="1:1" x14ac:dyDescent="0.4">
      <c r="A242" s="12" t="str">
        <f t="shared" si="3"/>
        <v>01</v>
      </c>
    </row>
    <row r="243" spans="1:1" x14ac:dyDescent="0.4">
      <c r="A243" s="12" t="str">
        <f t="shared" si="3"/>
        <v>01</v>
      </c>
    </row>
    <row r="244" spans="1:1" x14ac:dyDescent="0.4">
      <c r="A244" s="12" t="str">
        <f t="shared" si="3"/>
        <v>01</v>
      </c>
    </row>
    <row r="245" spans="1:1" x14ac:dyDescent="0.4">
      <c r="A245" s="12" t="str">
        <f t="shared" si="3"/>
        <v>01</v>
      </c>
    </row>
    <row r="246" spans="1:1" x14ac:dyDescent="0.4">
      <c r="A246" s="12" t="str">
        <f t="shared" si="3"/>
        <v>01</v>
      </c>
    </row>
    <row r="247" spans="1:1" x14ac:dyDescent="0.4">
      <c r="A247" s="12" t="str">
        <f t="shared" si="3"/>
        <v>01</v>
      </c>
    </row>
    <row r="248" spans="1:1" x14ac:dyDescent="0.4">
      <c r="A248" s="12" t="str">
        <f t="shared" si="3"/>
        <v>01</v>
      </c>
    </row>
    <row r="249" spans="1:1" x14ac:dyDescent="0.4">
      <c r="A249" s="12" t="str">
        <f t="shared" si="3"/>
        <v>01</v>
      </c>
    </row>
    <row r="250" spans="1:1" x14ac:dyDescent="0.4">
      <c r="A250" s="12" t="str">
        <f t="shared" si="3"/>
        <v>01</v>
      </c>
    </row>
    <row r="251" spans="1:1" x14ac:dyDescent="0.4">
      <c r="A251" s="12" t="str">
        <f t="shared" si="3"/>
        <v>01</v>
      </c>
    </row>
    <row r="252" spans="1:1" x14ac:dyDescent="0.4">
      <c r="A252" s="12" t="str">
        <f t="shared" si="3"/>
        <v>01</v>
      </c>
    </row>
    <row r="253" spans="1:1" x14ac:dyDescent="0.4">
      <c r="A253" s="12" t="str">
        <f t="shared" si="3"/>
        <v>01</v>
      </c>
    </row>
    <row r="254" spans="1:1" x14ac:dyDescent="0.4">
      <c r="A254" s="12" t="str">
        <f t="shared" si="3"/>
        <v>01</v>
      </c>
    </row>
    <row r="255" spans="1:1" x14ac:dyDescent="0.4">
      <c r="A255" s="12" t="str">
        <f t="shared" si="3"/>
        <v>01</v>
      </c>
    </row>
    <row r="256" spans="1:1" x14ac:dyDescent="0.4">
      <c r="A256" s="12" t="str">
        <f t="shared" si="3"/>
        <v>01</v>
      </c>
    </row>
    <row r="257" spans="1:1" x14ac:dyDescent="0.4">
      <c r="A257" s="12" t="str">
        <f t="shared" si="3"/>
        <v>01</v>
      </c>
    </row>
    <row r="258" spans="1:1" x14ac:dyDescent="0.4">
      <c r="A258" s="12" t="str">
        <f t="shared" si="3"/>
        <v>01</v>
      </c>
    </row>
    <row r="259" spans="1:1" x14ac:dyDescent="0.4">
      <c r="A259" s="12" t="str">
        <f t="shared" ref="A259:A322" si="4">TEXT(L259,"MM")</f>
        <v>01</v>
      </c>
    </row>
    <row r="260" spans="1:1" x14ac:dyDescent="0.4">
      <c r="A260" s="12" t="str">
        <f t="shared" si="4"/>
        <v>01</v>
      </c>
    </row>
    <row r="261" spans="1:1" x14ac:dyDescent="0.4">
      <c r="A261" s="12" t="str">
        <f t="shared" si="4"/>
        <v>01</v>
      </c>
    </row>
    <row r="262" spans="1:1" x14ac:dyDescent="0.4">
      <c r="A262" s="12" t="str">
        <f t="shared" si="4"/>
        <v>01</v>
      </c>
    </row>
    <row r="263" spans="1:1" x14ac:dyDescent="0.4">
      <c r="A263" s="12" t="str">
        <f t="shared" si="4"/>
        <v>01</v>
      </c>
    </row>
    <row r="264" spans="1:1" x14ac:dyDescent="0.4">
      <c r="A264" s="12" t="str">
        <f t="shared" si="4"/>
        <v>01</v>
      </c>
    </row>
    <row r="265" spans="1:1" x14ac:dyDescent="0.4">
      <c r="A265" s="12" t="str">
        <f t="shared" si="4"/>
        <v>01</v>
      </c>
    </row>
    <row r="266" spans="1:1" x14ac:dyDescent="0.4">
      <c r="A266" s="12" t="str">
        <f t="shared" si="4"/>
        <v>01</v>
      </c>
    </row>
    <row r="267" spans="1:1" x14ac:dyDescent="0.4">
      <c r="A267" s="12" t="str">
        <f t="shared" si="4"/>
        <v>01</v>
      </c>
    </row>
    <row r="268" spans="1:1" x14ac:dyDescent="0.4">
      <c r="A268" s="12" t="str">
        <f t="shared" si="4"/>
        <v>01</v>
      </c>
    </row>
    <row r="269" spans="1:1" x14ac:dyDescent="0.4">
      <c r="A269" s="12" t="str">
        <f t="shared" si="4"/>
        <v>01</v>
      </c>
    </row>
    <row r="270" spans="1:1" x14ac:dyDescent="0.4">
      <c r="A270" s="12" t="str">
        <f t="shared" si="4"/>
        <v>01</v>
      </c>
    </row>
    <row r="271" spans="1:1" x14ac:dyDescent="0.4">
      <c r="A271" s="12" t="str">
        <f t="shared" si="4"/>
        <v>01</v>
      </c>
    </row>
    <row r="272" spans="1:1" x14ac:dyDescent="0.4">
      <c r="A272" s="12" t="str">
        <f t="shared" si="4"/>
        <v>01</v>
      </c>
    </row>
    <row r="273" spans="1:1" x14ac:dyDescent="0.4">
      <c r="A273" s="12" t="str">
        <f t="shared" si="4"/>
        <v>01</v>
      </c>
    </row>
    <row r="274" spans="1:1" x14ac:dyDescent="0.4">
      <c r="A274" s="12" t="str">
        <f t="shared" si="4"/>
        <v>01</v>
      </c>
    </row>
    <row r="275" spans="1:1" x14ac:dyDescent="0.4">
      <c r="A275" s="12" t="str">
        <f t="shared" si="4"/>
        <v>01</v>
      </c>
    </row>
    <row r="276" spans="1:1" x14ac:dyDescent="0.4">
      <c r="A276" s="12" t="str">
        <f t="shared" si="4"/>
        <v>01</v>
      </c>
    </row>
    <row r="277" spans="1:1" x14ac:dyDescent="0.4">
      <c r="A277" s="12" t="str">
        <f t="shared" si="4"/>
        <v>01</v>
      </c>
    </row>
    <row r="278" spans="1:1" x14ac:dyDescent="0.4">
      <c r="A278" s="12" t="str">
        <f t="shared" si="4"/>
        <v>01</v>
      </c>
    </row>
    <row r="279" spans="1:1" x14ac:dyDescent="0.4">
      <c r="A279" s="12" t="str">
        <f t="shared" si="4"/>
        <v>01</v>
      </c>
    </row>
    <row r="280" spans="1:1" x14ac:dyDescent="0.4">
      <c r="A280" s="12" t="str">
        <f t="shared" si="4"/>
        <v>01</v>
      </c>
    </row>
    <row r="281" spans="1:1" x14ac:dyDescent="0.4">
      <c r="A281" s="12" t="str">
        <f t="shared" si="4"/>
        <v>01</v>
      </c>
    </row>
    <row r="282" spans="1:1" x14ac:dyDescent="0.4">
      <c r="A282" s="12" t="str">
        <f t="shared" si="4"/>
        <v>01</v>
      </c>
    </row>
    <row r="283" spans="1:1" x14ac:dyDescent="0.4">
      <c r="A283" s="12" t="str">
        <f t="shared" si="4"/>
        <v>01</v>
      </c>
    </row>
    <row r="284" spans="1:1" x14ac:dyDescent="0.4">
      <c r="A284" s="12" t="str">
        <f t="shared" si="4"/>
        <v>01</v>
      </c>
    </row>
    <row r="285" spans="1:1" x14ac:dyDescent="0.4">
      <c r="A285" s="12" t="str">
        <f t="shared" si="4"/>
        <v>01</v>
      </c>
    </row>
    <row r="286" spans="1:1" x14ac:dyDescent="0.4">
      <c r="A286" s="12" t="str">
        <f t="shared" si="4"/>
        <v>01</v>
      </c>
    </row>
    <row r="287" spans="1:1" x14ac:dyDescent="0.4">
      <c r="A287" s="12" t="str">
        <f t="shared" si="4"/>
        <v>01</v>
      </c>
    </row>
    <row r="288" spans="1:1" x14ac:dyDescent="0.4">
      <c r="A288" s="12" t="str">
        <f t="shared" si="4"/>
        <v>01</v>
      </c>
    </row>
    <row r="289" spans="1:1" x14ac:dyDescent="0.4">
      <c r="A289" s="12" t="str">
        <f t="shared" si="4"/>
        <v>01</v>
      </c>
    </row>
    <row r="290" spans="1:1" x14ac:dyDescent="0.4">
      <c r="A290" s="12" t="str">
        <f t="shared" si="4"/>
        <v>01</v>
      </c>
    </row>
    <row r="291" spans="1:1" x14ac:dyDescent="0.4">
      <c r="A291" s="12" t="str">
        <f t="shared" si="4"/>
        <v>01</v>
      </c>
    </row>
    <row r="292" spans="1:1" x14ac:dyDescent="0.4">
      <c r="A292" s="12" t="str">
        <f t="shared" si="4"/>
        <v>01</v>
      </c>
    </row>
    <row r="293" spans="1:1" x14ac:dyDescent="0.4">
      <c r="A293" s="12" t="str">
        <f t="shared" si="4"/>
        <v>01</v>
      </c>
    </row>
    <row r="294" spans="1:1" x14ac:dyDescent="0.4">
      <c r="A294" s="12" t="str">
        <f t="shared" si="4"/>
        <v>01</v>
      </c>
    </row>
    <row r="295" spans="1:1" x14ac:dyDescent="0.4">
      <c r="A295" s="12" t="str">
        <f t="shared" si="4"/>
        <v>01</v>
      </c>
    </row>
    <row r="296" spans="1:1" x14ac:dyDescent="0.4">
      <c r="A296" s="12" t="str">
        <f t="shared" si="4"/>
        <v>01</v>
      </c>
    </row>
    <row r="297" spans="1:1" x14ac:dyDescent="0.4">
      <c r="A297" s="12" t="str">
        <f t="shared" si="4"/>
        <v>01</v>
      </c>
    </row>
    <row r="298" spans="1:1" x14ac:dyDescent="0.4">
      <c r="A298" s="12" t="str">
        <f t="shared" si="4"/>
        <v>01</v>
      </c>
    </row>
    <row r="299" spans="1:1" x14ac:dyDescent="0.4">
      <c r="A299" s="12" t="str">
        <f t="shared" si="4"/>
        <v>01</v>
      </c>
    </row>
    <row r="300" spans="1:1" x14ac:dyDescent="0.4">
      <c r="A300" s="12" t="str">
        <f t="shared" si="4"/>
        <v>01</v>
      </c>
    </row>
    <row r="301" spans="1:1" x14ac:dyDescent="0.4">
      <c r="A301" s="12" t="str">
        <f t="shared" si="4"/>
        <v>01</v>
      </c>
    </row>
    <row r="302" spans="1:1" x14ac:dyDescent="0.4">
      <c r="A302" s="12" t="str">
        <f t="shared" si="4"/>
        <v>01</v>
      </c>
    </row>
    <row r="303" spans="1:1" x14ac:dyDescent="0.4">
      <c r="A303" s="12" t="str">
        <f t="shared" si="4"/>
        <v>01</v>
      </c>
    </row>
    <row r="304" spans="1:1" x14ac:dyDescent="0.4">
      <c r="A304" s="12" t="str">
        <f t="shared" si="4"/>
        <v>01</v>
      </c>
    </row>
    <row r="305" spans="1:1" x14ac:dyDescent="0.4">
      <c r="A305" s="12" t="str">
        <f t="shared" si="4"/>
        <v>01</v>
      </c>
    </row>
    <row r="306" spans="1:1" x14ac:dyDescent="0.4">
      <c r="A306" s="12" t="str">
        <f t="shared" si="4"/>
        <v>01</v>
      </c>
    </row>
    <row r="307" spans="1:1" x14ac:dyDescent="0.4">
      <c r="A307" s="12" t="str">
        <f t="shared" si="4"/>
        <v>01</v>
      </c>
    </row>
    <row r="308" spans="1:1" x14ac:dyDescent="0.4">
      <c r="A308" s="12" t="str">
        <f t="shared" si="4"/>
        <v>01</v>
      </c>
    </row>
    <row r="309" spans="1:1" x14ac:dyDescent="0.4">
      <c r="A309" s="12" t="str">
        <f t="shared" si="4"/>
        <v>01</v>
      </c>
    </row>
    <row r="310" spans="1:1" x14ac:dyDescent="0.4">
      <c r="A310" s="12" t="str">
        <f t="shared" si="4"/>
        <v>01</v>
      </c>
    </row>
    <row r="311" spans="1:1" x14ac:dyDescent="0.4">
      <c r="A311" s="12" t="str">
        <f t="shared" si="4"/>
        <v>01</v>
      </c>
    </row>
    <row r="312" spans="1:1" x14ac:dyDescent="0.4">
      <c r="A312" s="12" t="str">
        <f t="shared" si="4"/>
        <v>01</v>
      </c>
    </row>
    <row r="313" spans="1:1" x14ac:dyDescent="0.4">
      <c r="A313" s="12" t="str">
        <f t="shared" si="4"/>
        <v>01</v>
      </c>
    </row>
    <row r="314" spans="1:1" x14ac:dyDescent="0.4">
      <c r="A314" s="12" t="str">
        <f t="shared" si="4"/>
        <v>01</v>
      </c>
    </row>
    <row r="315" spans="1:1" x14ac:dyDescent="0.4">
      <c r="A315" s="12" t="str">
        <f t="shared" si="4"/>
        <v>01</v>
      </c>
    </row>
    <row r="316" spans="1:1" x14ac:dyDescent="0.4">
      <c r="A316" s="12" t="str">
        <f t="shared" si="4"/>
        <v>01</v>
      </c>
    </row>
    <row r="317" spans="1:1" x14ac:dyDescent="0.4">
      <c r="A317" s="12" t="str">
        <f t="shared" si="4"/>
        <v>01</v>
      </c>
    </row>
    <row r="318" spans="1:1" x14ac:dyDescent="0.4">
      <c r="A318" s="12" t="str">
        <f t="shared" si="4"/>
        <v>01</v>
      </c>
    </row>
    <row r="319" spans="1:1" x14ac:dyDescent="0.4">
      <c r="A319" s="12" t="str">
        <f t="shared" si="4"/>
        <v>01</v>
      </c>
    </row>
    <row r="320" spans="1:1" x14ac:dyDescent="0.4">
      <c r="A320" s="12" t="str">
        <f t="shared" si="4"/>
        <v>01</v>
      </c>
    </row>
    <row r="321" spans="1:1" x14ac:dyDescent="0.4">
      <c r="A321" s="12" t="str">
        <f t="shared" si="4"/>
        <v>01</v>
      </c>
    </row>
    <row r="322" spans="1:1" x14ac:dyDescent="0.4">
      <c r="A322" s="12" t="str">
        <f t="shared" si="4"/>
        <v>01</v>
      </c>
    </row>
    <row r="323" spans="1:1" x14ac:dyDescent="0.4">
      <c r="A323" s="12" t="str">
        <f t="shared" ref="A323:A386" si="5">TEXT(L323,"MM")</f>
        <v>01</v>
      </c>
    </row>
    <row r="324" spans="1:1" x14ac:dyDescent="0.4">
      <c r="A324" s="12" t="str">
        <f t="shared" si="5"/>
        <v>01</v>
      </c>
    </row>
    <row r="325" spans="1:1" x14ac:dyDescent="0.4">
      <c r="A325" s="12" t="str">
        <f t="shared" si="5"/>
        <v>01</v>
      </c>
    </row>
    <row r="326" spans="1:1" x14ac:dyDescent="0.4">
      <c r="A326" s="12" t="str">
        <f t="shared" si="5"/>
        <v>01</v>
      </c>
    </row>
    <row r="327" spans="1:1" x14ac:dyDescent="0.4">
      <c r="A327" s="12" t="str">
        <f t="shared" si="5"/>
        <v>01</v>
      </c>
    </row>
    <row r="328" spans="1:1" x14ac:dyDescent="0.4">
      <c r="A328" s="12" t="str">
        <f t="shared" si="5"/>
        <v>01</v>
      </c>
    </row>
    <row r="329" spans="1:1" x14ac:dyDescent="0.4">
      <c r="A329" s="12" t="str">
        <f t="shared" si="5"/>
        <v>01</v>
      </c>
    </row>
    <row r="330" spans="1:1" x14ac:dyDescent="0.4">
      <c r="A330" s="12" t="str">
        <f t="shared" si="5"/>
        <v>01</v>
      </c>
    </row>
    <row r="331" spans="1:1" x14ac:dyDescent="0.4">
      <c r="A331" s="12" t="str">
        <f t="shared" si="5"/>
        <v>01</v>
      </c>
    </row>
    <row r="332" spans="1:1" x14ac:dyDescent="0.4">
      <c r="A332" s="12" t="str">
        <f t="shared" si="5"/>
        <v>01</v>
      </c>
    </row>
    <row r="333" spans="1:1" x14ac:dyDescent="0.4">
      <c r="A333" s="12" t="str">
        <f t="shared" si="5"/>
        <v>01</v>
      </c>
    </row>
    <row r="334" spans="1:1" x14ac:dyDescent="0.4">
      <c r="A334" s="12" t="str">
        <f t="shared" si="5"/>
        <v>01</v>
      </c>
    </row>
    <row r="335" spans="1:1" x14ac:dyDescent="0.4">
      <c r="A335" s="12" t="str">
        <f t="shared" si="5"/>
        <v>01</v>
      </c>
    </row>
    <row r="336" spans="1:1" x14ac:dyDescent="0.4">
      <c r="A336" s="12" t="str">
        <f t="shared" si="5"/>
        <v>01</v>
      </c>
    </row>
    <row r="337" spans="1:1" x14ac:dyDescent="0.4">
      <c r="A337" s="12" t="str">
        <f t="shared" si="5"/>
        <v>01</v>
      </c>
    </row>
    <row r="338" spans="1:1" x14ac:dyDescent="0.4">
      <c r="A338" s="12" t="str">
        <f t="shared" si="5"/>
        <v>01</v>
      </c>
    </row>
    <row r="339" spans="1:1" x14ac:dyDescent="0.4">
      <c r="A339" s="12" t="str">
        <f t="shared" si="5"/>
        <v>01</v>
      </c>
    </row>
    <row r="340" spans="1:1" x14ac:dyDescent="0.4">
      <c r="A340" s="12" t="str">
        <f t="shared" si="5"/>
        <v>01</v>
      </c>
    </row>
    <row r="341" spans="1:1" x14ac:dyDescent="0.4">
      <c r="A341" s="12" t="str">
        <f t="shared" si="5"/>
        <v>01</v>
      </c>
    </row>
    <row r="342" spans="1:1" x14ac:dyDescent="0.4">
      <c r="A342" s="12" t="str">
        <f t="shared" si="5"/>
        <v>01</v>
      </c>
    </row>
    <row r="343" spans="1:1" x14ac:dyDescent="0.4">
      <c r="A343" s="12" t="str">
        <f t="shared" si="5"/>
        <v>01</v>
      </c>
    </row>
    <row r="344" spans="1:1" x14ac:dyDescent="0.4">
      <c r="A344" s="12" t="str">
        <f t="shared" si="5"/>
        <v>01</v>
      </c>
    </row>
    <row r="345" spans="1:1" x14ac:dyDescent="0.4">
      <c r="A345" s="12" t="str">
        <f t="shared" si="5"/>
        <v>01</v>
      </c>
    </row>
    <row r="346" spans="1:1" x14ac:dyDescent="0.4">
      <c r="A346" s="12" t="str">
        <f t="shared" si="5"/>
        <v>01</v>
      </c>
    </row>
    <row r="347" spans="1:1" x14ac:dyDescent="0.4">
      <c r="A347" s="12" t="str">
        <f t="shared" si="5"/>
        <v>01</v>
      </c>
    </row>
    <row r="348" spans="1:1" x14ac:dyDescent="0.4">
      <c r="A348" s="12" t="str">
        <f t="shared" si="5"/>
        <v>01</v>
      </c>
    </row>
    <row r="349" spans="1:1" x14ac:dyDescent="0.4">
      <c r="A349" s="12" t="str">
        <f t="shared" si="5"/>
        <v>01</v>
      </c>
    </row>
    <row r="350" spans="1:1" x14ac:dyDescent="0.4">
      <c r="A350" s="12" t="str">
        <f t="shared" si="5"/>
        <v>01</v>
      </c>
    </row>
    <row r="351" spans="1:1" x14ac:dyDescent="0.4">
      <c r="A351" s="12" t="str">
        <f t="shared" si="5"/>
        <v>01</v>
      </c>
    </row>
    <row r="352" spans="1:1" x14ac:dyDescent="0.4">
      <c r="A352" s="12" t="str">
        <f t="shared" si="5"/>
        <v>01</v>
      </c>
    </row>
    <row r="353" spans="1:1" x14ac:dyDescent="0.4">
      <c r="A353" s="12" t="str">
        <f t="shared" si="5"/>
        <v>01</v>
      </c>
    </row>
    <row r="354" spans="1:1" x14ac:dyDescent="0.4">
      <c r="A354" s="12" t="str">
        <f t="shared" si="5"/>
        <v>01</v>
      </c>
    </row>
    <row r="355" spans="1:1" x14ac:dyDescent="0.4">
      <c r="A355" s="12" t="str">
        <f t="shared" si="5"/>
        <v>01</v>
      </c>
    </row>
    <row r="356" spans="1:1" x14ac:dyDescent="0.4">
      <c r="A356" s="12" t="str">
        <f t="shared" si="5"/>
        <v>01</v>
      </c>
    </row>
    <row r="357" spans="1:1" x14ac:dyDescent="0.4">
      <c r="A357" s="12" t="str">
        <f t="shared" si="5"/>
        <v>01</v>
      </c>
    </row>
    <row r="358" spans="1:1" x14ac:dyDescent="0.4">
      <c r="A358" s="12" t="str">
        <f t="shared" si="5"/>
        <v>01</v>
      </c>
    </row>
    <row r="359" spans="1:1" x14ac:dyDescent="0.4">
      <c r="A359" s="12" t="str">
        <f t="shared" si="5"/>
        <v>01</v>
      </c>
    </row>
    <row r="360" spans="1:1" x14ac:dyDescent="0.4">
      <c r="A360" s="12" t="str">
        <f t="shared" si="5"/>
        <v>01</v>
      </c>
    </row>
    <row r="361" spans="1:1" x14ac:dyDescent="0.4">
      <c r="A361" s="12" t="str">
        <f t="shared" si="5"/>
        <v>01</v>
      </c>
    </row>
    <row r="362" spans="1:1" x14ac:dyDescent="0.4">
      <c r="A362" s="12" t="str">
        <f t="shared" si="5"/>
        <v>01</v>
      </c>
    </row>
    <row r="363" spans="1:1" x14ac:dyDescent="0.4">
      <c r="A363" s="12" t="str">
        <f t="shared" si="5"/>
        <v>01</v>
      </c>
    </row>
    <row r="364" spans="1:1" x14ac:dyDescent="0.4">
      <c r="A364" s="12" t="str">
        <f t="shared" si="5"/>
        <v>01</v>
      </c>
    </row>
    <row r="365" spans="1:1" x14ac:dyDescent="0.4">
      <c r="A365" s="12" t="str">
        <f t="shared" si="5"/>
        <v>01</v>
      </c>
    </row>
    <row r="366" spans="1:1" x14ac:dyDescent="0.4">
      <c r="A366" s="12" t="str">
        <f t="shared" si="5"/>
        <v>01</v>
      </c>
    </row>
    <row r="367" spans="1:1" x14ac:dyDescent="0.4">
      <c r="A367" s="12" t="str">
        <f t="shared" si="5"/>
        <v>01</v>
      </c>
    </row>
    <row r="368" spans="1:1" x14ac:dyDescent="0.4">
      <c r="A368" s="12" t="str">
        <f t="shared" si="5"/>
        <v>01</v>
      </c>
    </row>
    <row r="369" spans="1:1" x14ac:dyDescent="0.4">
      <c r="A369" s="12" t="str">
        <f t="shared" si="5"/>
        <v>01</v>
      </c>
    </row>
    <row r="370" spans="1:1" x14ac:dyDescent="0.4">
      <c r="A370" s="12" t="str">
        <f t="shared" si="5"/>
        <v>01</v>
      </c>
    </row>
    <row r="371" spans="1:1" x14ac:dyDescent="0.4">
      <c r="A371" s="12" t="str">
        <f t="shared" si="5"/>
        <v>01</v>
      </c>
    </row>
    <row r="372" spans="1:1" x14ac:dyDescent="0.4">
      <c r="A372" s="12" t="str">
        <f t="shared" si="5"/>
        <v>01</v>
      </c>
    </row>
    <row r="373" spans="1:1" x14ac:dyDescent="0.4">
      <c r="A373" s="12" t="str">
        <f t="shared" si="5"/>
        <v>01</v>
      </c>
    </row>
    <row r="374" spans="1:1" x14ac:dyDescent="0.4">
      <c r="A374" s="12" t="str">
        <f t="shared" si="5"/>
        <v>01</v>
      </c>
    </row>
    <row r="375" spans="1:1" x14ac:dyDescent="0.4">
      <c r="A375" s="12" t="str">
        <f t="shared" si="5"/>
        <v>01</v>
      </c>
    </row>
    <row r="376" spans="1:1" x14ac:dyDescent="0.4">
      <c r="A376" s="12" t="str">
        <f t="shared" si="5"/>
        <v>01</v>
      </c>
    </row>
    <row r="377" spans="1:1" x14ac:dyDescent="0.4">
      <c r="A377" s="12" t="str">
        <f t="shared" si="5"/>
        <v>01</v>
      </c>
    </row>
    <row r="378" spans="1:1" x14ac:dyDescent="0.4">
      <c r="A378" s="12" t="str">
        <f t="shared" si="5"/>
        <v>01</v>
      </c>
    </row>
    <row r="379" spans="1:1" x14ac:dyDescent="0.4">
      <c r="A379" s="12" t="str">
        <f t="shared" si="5"/>
        <v>01</v>
      </c>
    </row>
    <row r="380" spans="1:1" x14ac:dyDescent="0.4">
      <c r="A380" s="12" t="str">
        <f t="shared" si="5"/>
        <v>01</v>
      </c>
    </row>
    <row r="381" spans="1:1" x14ac:dyDescent="0.4">
      <c r="A381" s="12" t="str">
        <f t="shared" si="5"/>
        <v>01</v>
      </c>
    </row>
    <row r="382" spans="1:1" x14ac:dyDescent="0.4">
      <c r="A382" s="12" t="str">
        <f t="shared" si="5"/>
        <v>01</v>
      </c>
    </row>
    <row r="383" spans="1:1" x14ac:dyDescent="0.4">
      <c r="A383" s="12" t="str">
        <f t="shared" si="5"/>
        <v>01</v>
      </c>
    </row>
    <row r="384" spans="1:1" x14ac:dyDescent="0.4">
      <c r="A384" s="12" t="str">
        <f t="shared" si="5"/>
        <v>01</v>
      </c>
    </row>
    <row r="385" spans="1:1" x14ac:dyDescent="0.4">
      <c r="A385" s="12" t="str">
        <f t="shared" si="5"/>
        <v>01</v>
      </c>
    </row>
    <row r="386" spans="1:1" x14ac:dyDescent="0.4">
      <c r="A386" s="12" t="str">
        <f t="shared" si="5"/>
        <v>01</v>
      </c>
    </row>
    <row r="387" spans="1:1" x14ac:dyDescent="0.4">
      <c r="A387" s="12" t="str">
        <f t="shared" ref="A387:A450" si="6">TEXT(L387,"MM")</f>
        <v>01</v>
      </c>
    </row>
    <row r="388" spans="1:1" x14ac:dyDescent="0.4">
      <c r="A388" s="12" t="str">
        <f t="shared" si="6"/>
        <v>01</v>
      </c>
    </row>
    <row r="389" spans="1:1" x14ac:dyDescent="0.4">
      <c r="A389" s="12" t="str">
        <f t="shared" si="6"/>
        <v>01</v>
      </c>
    </row>
    <row r="390" spans="1:1" x14ac:dyDescent="0.4">
      <c r="A390" s="12" t="str">
        <f t="shared" si="6"/>
        <v>01</v>
      </c>
    </row>
    <row r="391" spans="1:1" x14ac:dyDescent="0.4">
      <c r="A391" s="12" t="str">
        <f t="shared" si="6"/>
        <v>01</v>
      </c>
    </row>
    <row r="392" spans="1:1" x14ac:dyDescent="0.4">
      <c r="A392" s="12" t="str">
        <f t="shared" si="6"/>
        <v>01</v>
      </c>
    </row>
    <row r="393" spans="1:1" x14ac:dyDescent="0.4">
      <c r="A393" s="12" t="str">
        <f t="shared" si="6"/>
        <v>01</v>
      </c>
    </row>
    <row r="394" spans="1:1" x14ac:dyDescent="0.4">
      <c r="A394" s="12" t="str">
        <f t="shared" si="6"/>
        <v>01</v>
      </c>
    </row>
    <row r="395" spans="1:1" x14ac:dyDescent="0.4">
      <c r="A395" s="12" t="str">
        <f t="shared" si="6"/>
        <v>01</v>
      </c>
    </row>
    <row r="396" spans="1:1" x14ac:dyDescent="0.4">
      <c r="A396" s="12" t="str">
        <f t="shared" si="6"/>
        <v>01</v>
      </c>
    </row>
    <row r="397" spans="1:1" x14ac:dyDescent="0.4">
      <c r="A397" s="12" t="str">
        <f t="shared" si="6"/>
        <v>01</v>
      </c>
    </row>
    <row r="398" spans="1:1" x14ac:dyDescent="0.4">
      <c r="A398" s="12" t="str">
        <f t="shared" si="6"/>
        <v>01</v>
      </c>
    </row>
    <row r="399" spans="1:1" x14ac:dyDescent="0.4">
      <c r="A399" s="12" t="str">
        <f t="shared" si="6"/>
        <v>01</v>
      </c>
    </row>
    <row r="400" spans="1:1" x14ac:dyDescent="0.4">
      <c r="A400" s="12" t="str">
        <f t="shared" si="6"/>
        <v>01</v>
      </c>
    </row>
    <row r="401" spans="1:1" x14ac:dyDescent="0.4">
      <c r="A401" s="12" t="str">
        <f t="shared" si="6"/>
        <v>01</v>
      </c>
    </row>
    <row r="402" spans="1:1" x14ac:dyDescent="0.4">
      <c r="A402" s="12" t="str">
        <f t="shared" si="6"/>
        <v>01</v>
      </c>
    </row>
    <row r="403" spans="1:1" x14ac:dyDescent="0.4">
      <c r="A403" s="12" t="str">
        <f t="shared" si="6"/>
        <v>01</v>
      </c>
    </row>
    <row r="404" spans="1:1" x14ac:dyDescent="0.4">
      <c r="A404" s="12" t="str">
        <f t="shared" si="6"/>
        <v>01</v>
      </c>
    </row>
    <row r="405" spans="1:1" x14ac:dyDescent="0.4">
      <c r="A405" s="12" t="str">
        <f t="shared" si="6"/>
        <v>01</v>
      </c>
    </row>
    <row r="406" spans="1:1" x14ac:dyDescent="0.4">
      <c r="A406" s="12" t="str">
        <f t="shared" si="6"/>
        <v>01</v>
      </c>
    </row>
    <row r="407" spans="1:1" x14ac:dyDescent="0.4">
      <c r="A407" s="12" t="str">
        <f t="shared" si="6"/>
        <v>01</v>
      </c>
    </row>
    <row r="408" spans="1:1" x14ac:dyDescent="0.4">
      <c r="A408" s="12" t="str">
        <f t="shared" si="6"/>
        <v>01</v>
      </c>
    </row>
    <row r="409" spans="1:1" x14ac:dyDescent="0.4">
      <c r="A409" s="12" t="str">
        <f t="shared" si="6"/>
        <v>01</v>
      </c>
    </row>
    <row r="410" spans="1:1" x14ac:dyDescent="0.4">
      <c r="A410" s="12" t="str">
        <f t="shared" si="6"/>
        <v>01</v>
      </c>
    </row>
    <row r="411" spans="1:1" x14ac:dyDescent="0.4">
      <c r="A411" s="12" t="str">
        <f t="shared" si="6"/>
        <v>01</v>
      </c>
    </row>
    <row r="412" spans="1:1" x14ac:dyDescent="0.4">
      <c r="A412" s="12" t="str">
        <f t="shared" si="6"/>
        <v>01</v>
      </c>
    </row>
    <row r="413" spans="1:1" x14ac:dyDescent="0.4">
      <c r="A413" s="12" t="str">
        <f t="shared" si="6"/>
        <v>01</v>
      </c>
    </row>
    <row r="414" spans="1:1" x14ac:dyDescent="0.4">
      <c r="A414" s="12" t="str">
        <f t="shared" si="6"/>
        <v>01</v>
      </c>
    </row>
    <row r="415" spans="1:1" x14ac:dyDescent="0.4">
      <c r="A415" s="12" t="str">
        <f t="shared" si="6"/>
        <v>01</v>
      </c>
    </row>
    <row r="416" spans="1:1" x14ac:dyDescent="0.4">
      <c r="A416" s="12" t="str">
        <f t="shared" si="6"/>
        <v>01</v>
      </c>
    </row>
    <row r="417" spans="1:1" x14ac:dyDescent="0.4">
      <c r="A417" s="12" t="str">
        <f t="shared" si="6"/>
        <v>01</v>
      </c>
    </row>
    <row r="418" spans="1:1" x14ac:dyDescent="0.4">
      <c r="A418" s="12" t="str">
        <f t="shared" si="6"/>
        <v>01</v>
      </c>
    </row>
    <row r="419" spans="1:1" x14ac:dyDescent="0.4">
      <c r="A419" s="12" t="str">
        <f t="shared" si="6"/>
        <v>01</v>
      </c>
    </row>
    <row r="420" spans="1:1" x14ac:dyDescent="0.4">
      <c r="A420" s="12" t="str">
        <f t="shared" si="6"/>
        <v>01</v>
      </c>
    </row>
    <row r="421" spans="1:1" x14ac:dyDescent="0.4">
      <c r="A421" s="12" t="str">
        <f t="shared" si="6"/>
        <v>01</v>
      </c>
    </row>
    <row r="422" spans="1:1" x14ac:dyDescent="0.4">
      <c r="A422" s="12" t="str">
        <f t="shared" si="6"/>
        <v>01</v>
      </c>
    </row>
    <row r="423" spans="1:1" x14ac:dyDescent="0.4">
      <c r="A423" s="12" t="str">
        <f t="shared" si="6"/>
        <v>01</v>
      </c>
    </row>
    <row r="424" spans="1:1" x14ac:dyDescent="0.4">
      <c r="A424" s="12" t="str">
        <f t="shared" si="6"/>
        <v>01</v>
      </c>
    </row>
    <row r="425" spans="1:1" x14ac:dyDescent="0.4">
      <c r="A425" s="12" t="str">
        <f t="shared" si="6"/>
        <v>01</v>
      </c>
    </row>
    <row r="426" spans="1:1" x14ac:dyDescent="0.4">
      <c r="A426" s="12" t="str">
        <f t="shared" si="6"/>
        <v>01</v>
      </c>
    </row>
    <row r="427" spans="1:1" x14ac:dyDescent="0.4">
      <c r="A427" s="12" t="str">
        <f t="shared" si="6"/>
        <v>01</v>
      </c>
    </row>
    <row r="428" spans="1:1" x14ac:dyDescent="0.4">
      <c r="A428" s="12" t="str">
        <f t="shared" si="6"/>
        <v>01</v>
      </c>
    </row>
    <row r="429" spans="1:1" x14ac:dyDescent="0.4">
      <c r="A429" s="12" t="str">
        <f t="shared" si="6"/>
        <v>01</v>
      </c>
    </row>
    <row r="430" spans="1:1" x14ac:dyDescent="0.4">
      <c r="A430" s="12" t="str">
        <f t="shared" si="6"/>
        <v>01</v>
      </c>
    </row>
    <row r="431" spans="1:1" x14ac:dyDescent="0.4">
      <c r="A431" s="12" t="str">
        <f t="shared" si="6"/>
        <v>01</v>
      </c>
    </row>
    <row r="432" spans="1:1" x14ac:dyDescent="0.4">
      <c r="A432" s="12" t="str">
        <f t="shared" si="6"/>
        <v>01</v>
      </c>
    </row>
    <row r="433" spans="1:1" x14ac:dyDescent="0.4">
      <c r="A433" s="12" t="str">
        <f t="shared" si="6"/>
        <v>01</v>
      </c>
    </row>
    <row r="434" spans="1:1" x14ac:dyDescent="0.4">
      <c r="A434" s="12" t="str">
        <f t="shared" si="6"/>
        <v>01</v>
      </c>
    </row>
    <row r="435" spans="1:1" x14ac:dyDescent="0.4">
      <c r="A435" s="12" t="str">
        <f t="shared" si="6"/>
        <v>01</v>
      </c>
    </row>
    <row r="436" spans="1:1" x14ac:dyDescent="0.4">
      <c r="A436" s="12" t="str">
        <f t="shared" si="6"/>
        <v>01</v>
      </c>
    </row>
    <row r="437" spans="1:1" x14ac:dyDescent="0.4">
      <c r="A437" s="12" t="str">
        <f t="shared" si="6"/>
        <v>01</v>
      </c>
    </row>
    <row r="438" spans="1:1" x14ac:dyDescent="0.4">
      <c r="A438" s="12" t="str">
        <f t="shared" si="6"/>
        <v>01</v>
      </c>
    </row>
    <row r="439" spans="1:1" x14ac:dyDescent="0.4">
      <c r="A439" s="12" t="str">
        <f t="shared" si="6"/>
        <v>01</v>
      </c>
    </row>
    <row r="440" spans="1:1" x14ac:dyDescent="0.4">
      <c r="A440" s="12" t="str">
        <f t="shared" si="6"/>
        <v>01</v>
      </c>
    </row>
    <row r="441" spans="1:1" x14ac:dyDescent="0.4">
      <c r="A441" s="12" t="str">
        <f t="shared" si="6"/>
        <v>01</v>
      </c>
    </row>
    <row r="442" spans="1:1" x14ac:dyDescent="0.4">
      <c r="A442" s="12" t="str">
        <f t="shared" si="6"/>
        <v>01</v>
      </c>
    </row>
    <row r="443" spans="1:1" x14ac:dyDescent="0.4">
      <c r="A443" s="12" t="str">
        <f t="shared" si="6"/>
        <v>01</v>
      </c>
    </row>
    <row r="444" spans="1:1" x14ac:dyDescent="0.4">
      <c r="A444" s="12" t="str">
        <f t="shared" si="6"/>
        <v>01</v>
      </c>
    </row>
    <row r="445" spans="1:1" x14ac:dyDescent="0.4">
      <c r="A445" s="12" t="str">
        <f t="shared" si="6"/>
        <v>01</v>
      </c>
    </row>
    <row r="446" spans="1:1" x14ac:dyDescent="0.4">
      <c r="A446" s="12" t="str">
        <f t="shared" si="6"/>
        <v>01</v>
      </c>
    </row>
    <row r="447" spans="1:1" x14ac:dyDescent="0.4">
      <c r="A447" s="12" t="str">
        <f t="shared" si="6"/>
        <v>01</v>
      </c>
    </row>
    <row r="448" spans="1:1" x14ac:dyDescent="0.4">
      <c r="A448" s="12" t="str">
        <f t="shared" si="6"/>
        <v>01</v>
      </c>
    </row>
    <row r="449" spans="1:1" x14ac:dyDescent="0.4">
      <c r="A449" s="12" t="str">
        <f t="shared" si="6"/>
        <v>01</v>
      </c>
    </row>
    <row r="450" spans="1:1" x14ac:dyDescent="0.4">
      <c r="A450" s="12" t="str">
        <f t="shared" si="6"/>
        <v>01</v>
      </c>
    </row>
    <row r="451" spans="1:1" x14ac:dyDescent="0.4">
      <c r="A451" s="12" t="str">
        <f t="shared" ref="A451:A514" si="7">TEXT(L451,"MM")</f>
        <v>01</v>
      </c>
    </row>
    <row r="452" spans="1:1" x14ac:dyDescent="0.4">
      <c r="A452" s="12" t="str">
        <f t="shared" si="7"/>
        <v>01</v>
      </c>
    </row>
    <row r="453" spans="1:1" x14ac:dyDescent="0.4">
      <c r="A453" s="12" t="str">
        <f t="shared" si="7"/>
        <v>01</v>
      </c>
    </row>
    <row r="454" spans="1:1" x14ac:dyDescent="0.4">
      <c r="A454" s="12" t="str">
        <f t="shared" si="7"/>
        <v>01</v>
      </c>
    </row>
    <row r="455" spans="1:1" x14ac:dyDescent="0.4">
      <c r="A455" s="12" t="str">
        <f t="shared" si="7"/>
        <v>01</v>
      </c>
    </row>
    <row r="456" spans="1:1" x14ac:dyDescent="0.4">
      <c r="A456" s="12" t="str">
        <f t="shared" si="7"/>
        <v>01</v>
      </c>
    </row>
    <row r="457" spans="1:1" x14ac:dyDescent="0.4">
      <c r="A457" s="12" t="str">
        <f t="shared" si="7"/>
        <v>01</v>
      </c>
    </row>
    <row r="458" spans="1:1" x14ac:dyDescent="0.4">
      <c r="A458" s="12" t="str">
        <f t="shared" si="7"/>
        <v>01</v>
      </c>
    </row>
    <row r="459" spans="1:1" x14ac:dyDescent="0.4">
      <c r="A459" s="12" t="str">
        <f t="shared" si="7"/>
        <v>01</v>
      </c>
    </row>
    <row r="460" spans="1:1" x14ac:dyDescent="0.4">
      <c r="A460" s="12" t="str">
        <f t="shared" si="7"/>
        <v>01</v>
      </c>
    </row>
    <row r="461" spans="1:1" x14ac:dyDescent="0.4">
      <c r="A461" s="12" t="str">
        <f t="shared" si="7"/>
        <v>01</v>
      </c>
    </row>
    <row r="462" spans="1:1" x14ac:dyDescent="0.4">
      <c r="A462" s="12" t="str">
        <f t="shared" si="7"/>
        <v>01</v>
      </c>
    </row>
    <row r="463" spans="1:1" x14ac:dyDescent="0.4">
      <c r="A463" s="12" t="str">
        <f t="shared" si="7"/>
        <v>01</v>
      </c>
    </row>
    <row r="464" spans="1:1" x14ac:dyDescent="0.4">
      <c r="A464" s="12" t="str">
        <f t="shared" si="7"/>
        <v>01</v>
      </c>
    </row>
    <row r="465" spans="1:1" x14ac:dyDescent="0.4">
      <c r="A465" s="12" t="str">
        <f t="shared" si="7"/>
        <v>01</v>
      </c>
    </row>
    <row r="466" spans="1:1" x14ac:dyDescent="0.4">
      <c r="A466" s="12" t="str">
        <f t="shared" si="7"/>
        <v>01</v>
      </c>
    </row>
    <row r="467" spans="1:1" x14ac:dyDescent="0.4">
      <c r="A467" s="12" t="str">
        <f t="shared" si="7"/>
        <v>01</v>
      </c>
    </row>
    <row r="468" spans="1:1" x14ac:dyDescent="0.4">
      <c r="A468" s="12" t="str">
        <f t="shared" si="7"/>
        <v>01</v>
      </c>
    </row>
    <row r="469" spans="1:1" x14ac:dyDescent="0.4">
      <c r="A469" s="12" t="str">
        <f t="shared" si="7"/>
        <v>01</v>
      </c>
    </row>
    <row r="470" spans="1:1" x14ac:dyDescent="0.4">
      <c r="A470" s="12" t="str">
        <f t="shared" si="7"/>
        <v>01</v>
      </c>
    </row>
    <row r="471" spans="1:1" x14ac:dyDescent="0.4">
      <c r="A471" s="12" t="str">
        <f t="shared" si="7"/>
        <v>01</v>
      </c>
    </row>
    <row r="472" spans="1:1" x14ac:dyDescent="0.4">
      <c r="A472" s="12" t="str">
        <f t="shared" si="7"/>
        <v>01</v>
      </c>
    </row>
    <row r="473" spans="1:1" x14ac:dyDescent="0.4">
      <c r="A473" s="12" t="str">
        <f t="shared" si="7"/>
        <v>01</v>
      </c>
    </row>
    <row r="474" spans="1:1" x14ac:dyDescent="0.4">
      <c r="A474" s="12" t="str">
        <f t="shared" si="7"/>
        <v>01</v>
      </c>
    </row>
    <row r="475" spans="1:1" x14ac:dyDescent="0.4">
      <c r="A475" s="12" t="str">
        <f t="shared" si="7"/>
        <v>01</v>
      </c>
    </row>
    <row r="476" spans="1:1" x14ac:dyDescent="0.4">
      <c r="A476" s="12" t="str">
        <f t="shared" si="7"/>
        <v>01</v>
      </c>
    </row>
    <row r="477" spans="1:1" x14ac:dyDescent="0.4">
      <c r="A477" s="12" t="str">
        <f t="shared" si="7"/>
        <v>01</v>
      </c>
    </row>
    <row r="478" spans="1:1" x14ac:dyDescent="0.4">
      <c r="A478" s="12" t="str">
        <f t="shared" si="7"/>
        <v>01</v>
      </c>
    </row>
    <row r="479" spans="1:1" x14ac:dyDescent="0.4">
      <c r="A479" s="12" t="str">
        <f t="shared" si="7"/>
        <v>01</v>
      </c>
    </row>
    <row r="480" spans="1:1" x14ac:dyDescent="0.4">
      <c r="A480" s="12" t="str">
        <f t="shared" si="7"/>
        <v>01</v>
      </c>
    </row>
    <row r="481" spans="1:1" x14ac:dyDescent="0.4">
      <c r="A481" s="12" t="str">
        <f t="shared" si="7"/>
        <v>01</v>
      </c>
    </row>
    <row r="482" spans="1:1" x14ac:dyDescent="0.4">
      <c r="A482" s="12" t="str">
        <f t="shared" si="7"/>
        <v>01</v>
      </c>
    </row>
    <row r="483" spans="1:1" x14ac:dyDescent="0.4">
      <c r="A483" s="12" t="str">
        <f t="shared" si="7"/>
        <v>01</v>
      </c>
    </row>
    <row r="484" spans="1:1" x14ac:dyDescent="0.4">
      <c r="A484" s="12" t="str">
        <f t="shared" si="7"/>
        <v>01</v>
      </c>
    </row>
    <row r="485" spans="1:1" x14ac:dyDescent="0.4">
      <c r="A485" s="12" t="str">
        <f t="shared" si="7"/>
        <v>01</v>
      </c>
    </row>
    <row r="486" spans="1:1" x14ac:dyDescent="0.4">
      <c r="A486" s="12" t="str">
        <f t="shared" si="7"/>
        <v>01</v>
      </c>
    </row>
    <row r="487" spans="1:1" x14ac:dyDescent="0.4">
      <c r="A487" s="12" t="str">
        <f t="shared" si="7"/>
        <v>01</v>
      </c>
    </row>
    <row r="488" spans="1:1" x14ac:dyDescent="0.4">
      <c r="A488" s="12" t="str">
        <f t="shared" si="7"/>
        <v>01</v>
      </c>
    </row>
    <row r="489" spans="1:1" x14ac:dyDescent="0.4">
      <c r="A489" s="12" t="str">
        <f t="shared" si="7"/>
        <v>01</v>
      </c>
    </row>
    <row r="490" spans="1:1" x14ac:dyDescent="0.4">
      <c r="A490" s="12" t="str">
        <f t="shared" si="7"/>
        <v>01</v>
      </c>
    </row>
    <row r="491" spans="1:1" x14ac:dyDescent="0.4">
      <c r="A491" s="12" t="str">
        <f t="shared" si="7"/>
        <v>01</v>
      </c>
    </row>
    <row r="492" spans="1:1" x14ac:dyDescent="0.4">
      <c r="A492" s="12" t="str">
        <f t="shared" si="7"/>
        <v>01</v>
      </c>
    </row>
    <row r="493" spans="1:1" x14ac:dyDescent="0.4">
      <c r="A493" s="12" t="str">
        <f t="shared" si="7"/>
        <v>01</v>
      </c>
    </row>
    <row r="494" spans="1:1" x14ac:dyDescent="0.4">
      <c r="A494" s="12" t="str">
        <f t="shared" si="7"/>
        <v>01</v>
      </c>
    </row>
    <row r="495" spans="1:1" x14ac:dyDescent="0.4">
      <c r="A495" s="12" t="str">
        <f t="shared" si="7"/>
        <v>01</v>
      </c>
    </row>
    <row r="496" spans="1:1" x14ac:dyDescent="0.4">
      <c r="A496" s="12" t="str">
        <f t="shared" si="7"/>
        <v>01</v>
      </c>
    </row>
    <row r="497" spans="1:1" x14ac:dyDescent="0.4">
      <c r="A497" s="12" t="str">
        <f t="shared" si="7"/>
        <v>01</v>
      </c>
    </row>
    <row r="498" spans="1:1" x14ac:dyDescent="0.4">
      <c r="A498" s="12" t="str">
        <f t="shared" si="7"/>
        <v>01</v>
      </c>
    </row>
    <row r="499" spans="1:1" x14ac:dyDescent="0.4">
      <c r="A499" s="12" t="str">
        <f t="shared" si="7"/>
        <v>01</v>
      </c>
    </row>
    <row r="500" spans="1:1" x14ac:dyDescent="0.4">
      <c r="A500" s="12" t="str">
        <f t="shared" si="7"/>
        <v>01</v>
      </c>
    </row>
    <row r="501" spans="1:1" x14ac:dyDescent="0.4">
      <c r="A501" s="12" t="str">
        <f t="shared" si="7"/>
        <v>01</v>
      </c>
    </row>
    <row r="502" spans="1:1" x14ac:dyDescent="0.4">
      <c r="A502" s="12" t="str">
        <f t="shared" si="7"/>
        <v>01</v>
      </c>
    </row>
    <row r="503" spans="1:1" x14ac:dyDescent="0.4">
      <c r="A503" s="12" t="str">
        <f t="shared" si="7"/>
        <v>01</v>
      </c>
    </row>
    <row r="504" spans="1:1" x14ac:dyDescent="0.4">
      <c r="A504" s="12" t="str">
        <f t="shared" si="7"/>
        <v>01</v>
      </c>
    </row>
    <row r="505" spans="1:1" x14ac:dyDescent="0.4">
      <c r="A505" s="12" t="str">
        <f t="shared" si="7"/>
        <v>01</v>
      </c>
    </row>
    <row r="506" spans="1:1" x14ac:dyDescent="0.4">
      <c r="A506" s="12" t="str">
        <f t="shared" si="7"/>
        <v>01</v>
      </c>
    </row>
    <row r="507" spans="1:1" x14ac:dyDescent="0.4">
      <c r="A507" s="12" t="str">
        <f t="shared" si="7"/>
        <v>01</v>
      </c>
    </row>
    <row r="508" spans="1:1" x14ac:dyDescent="0.4">
      <c r="A508" s="12" t="str">
        <f t="shared" si="7"/>
        <v>01</v>
      </c>
    </row>
    <row r="509" spans="1:1" x14ac:dyDescent="0.4">
      <c r="A509" s="12" t="str">
        <f t="shared" si="7"/>
        <v>01</v>
      </c>
    </row>
    <row r="510" spans="1:1" x14ac:dyDescent="0.4">
      <c r="A510" s="12" t="str">
        <f t="shared" si="7"/>
        <v>01</v>
      </c>
    </row>
    <row r="511" spans="1:1" x14ac:dyDescent="0.4">
      <c r="A511" s="12" t="str">
        <f t="shared" si="7"/>
        <v>01</v>
      </c>
    </row>
    <row r="512" spans="1:1" x14ac:dyDescent="0.4">
      <c r="A512" s="12" t="str">
        <f t="shared" si="7"/>
        <v>01</v>
      </c>
    </row>
    <row r="513" spans="1:1" x14ac:dyDescent="0.4">
      <c r="A513" s="12" t="str">
        <f t="shared" si="7"/>
        <v>01</v>
      </c>
    </row>
    <row r="514" spans="1:1" x14ac:dyDescent="0.4">
      <c r="A514" s="12" t="str">
        <f t="shared" si="7"/>
        <v>01</v>
      </c>
    </row>
    <row r="515" spans="1:1" x14ac:dyDescent="0.4">
      <c r="A515" s="12" t="str">
        <f t="shared" ref="A515:A578" si="8">TEXT(L515,"MM")</f>
        <v>01</v>
      </c>
    </row>
    <row r="516" spans="1:1" x14ac:dyDescent="0.4">
      <c r="A516" s="12" t="str">
        <f t="shared" si="8"/>
        <v>01</v>
      </c>
    </row>
    <row r="517" spans="1:1" x14ac:dyDescent="0.4">
      <c r="A517" s="12" t="str">
        <f t="shared" si="8"/>
        <v>01</v>
      </c>
    </row>
    <row r="518" spans="1:1" x14ac:dyDescent="0.4">
      <c r="A518" s="12" t="str">
        <f t="shared" si="8"/>
        <v>01</v>
      </c>
    </row>
    <row r="519" spans="1:1" x14ac:dyDescent="0.4">
      <c r="A519" s="12" t="str">
        <f t="shared" si="8"/>
        <v>01</v>
      </c>
    </row>
    <row r="520" spans="1:1" x14ac:dyDescent="0.4">
      <c r="A520" s="12" t="str">
        <f t="shared" si="8"/>
        <v>01</v>
      </c>
    </row>
    <row r="521" spans="1:1" x14ac:dyDescent="0.4">
      <c r="A521" s="12" t="str">
        <f t="shared" si="8"/>
        <v>01</v>
      </c>
    </row>
    <row r="522" spans="1:1" x14ac:dyDescent="0.4">
      <c r="A522" s="12" t="str">
        <f t="shared" si="8"/>
        <v>01</v>
      </c>
    </row>
    <row r="523" spans="1:1" x14ac:dyDescent="0.4">
      <c r="A523" s="12" t="str">
        <f t="shared" si="8"/>
        <v>01</v>
      </c>
    </row>
    <row r="524" spans="1:1" x14ac:dyDescent="0.4">
      <c r="A524" s="12" t="str">
        <f t="shared" si="8"/>
        <v>01</v>
      </c>
    </row>
    <row r="525" spans="1:1" x14ac:dyDescent="0.4">
      <c r="A525" s="12" t="str">
        <f t="shared" si="8"/>
        <v>01</v>
      </c>
    </row>
    <row r="526" spans="1:1" x14ac:dyDescent="0.4">
      <c r="A526" s="12" t="str">
        <f t="shared" si="8"/>
        <v>01</v>
      </c>
    </row>
    <row r="527" spans="1:1" x14ac:dyDescent="0.4">
      <c r="A527" s="12" t="str">
        <f t="shared" si="8"/>
        <v>01</v>
      </c>
    </row>
    <row r="528" spans="1:1" x14ac:dyDescent="0.4">
      <c r="A528" s="12" t="str">
        <f t="shared" si="8"/>
        <v>01</v>
      </c>
    </row>
    <row r="529" spans="1:1" x14ac:dyDescent="0.4">
      <c r="A529" s="12" t="str">
        <f t="shared" si="8"/>
        <v>01</v>
      </c>
    </row>
    <row r="530" spans="1:1" x14ac:dyDescent="0.4">
      <c r="A530" s="12" t="str">
        <f t="shared" si="8"/>
        <v>01</v>
      </c>
    </row>
    <row r="531" spans="1:1" x14ac:dyDescent="0.4">
      <c r="A531" s="12" t="str">
        <f t="shared" si="8"/>
        <v>01</v>
      </c>
    </row>
    <row r="532" spans="1:1" x14ac:dyDescent="0.4">
      <c r="A532" s="12" t="str">
        <f t="shared" si="8"/>
        <v>01</v>
      </c>
    </row>
    <row r="533" spans="1:1" x14ac:dyDescent="0.4">
      <c r="A533" s="12" t="str">
        <f t="shared" si="8"/>
        <v>01</v>
      </c>
    </row>
    <row r="534" spans="1:1" x14ac:dyDescent="0.4">
      <c r="A534" s="12" t="str">
        <f t="shared" si="8"/>
        <v>01</v>
      </c>
    </row>
    <row r="535" spans="1:1" x14ac:dyDescent="0.4">
      <c r="A535" s="12" t="str">
        <f t="shared" si="8"/>
        <v>01</v>
      </c>
    </row>
    <row r="536" spans="1:1" x14ac:dyDescent="0.4">
      <c r="A536" s="12" t="str">
        <f t="shared" si="8"/>
        <v>01</v>
      </c>
    </row>
    <row r="537" spans="1:1" x14ac:dyDescent="0.4">
      <c r="A537" s="12" t="str">
        <f t="shared" si="8"/>
        <v>01</v>
      </c>
    </row>
    <row r="538" spans="1:1" x14ac:dyDescent="0.4">
      <c r="A538" s="12" t="str">
        <f t="shared" si="8"/>
        <v>01</v>
      </c>
    </row>
    <row r="539" spans="1:1" x14ac:dyDescent="0.4">
      <c r="A539" s="12" t="str">
        <f t="shared" si="8"/>
        <v>01</v>
      </c>
    </row>
    <row r="540" spans="1:1" x14ac:dyDescent="0.4">
      <c r="A540" s="12" t="str">
        <f t="shared" si="8"/>
        <v>01</v>
      </c>
    </row>
    <row r="541" spans="1:1" x14ac:dyDescent="0.4">
      <c r="A541" s="12" t="str">
        <f t="shared" si="8"/>
        <v>01</v>
      </c>
    </row>
    <row r="542" spans="1:1" x14ac:dyDescent="0.4">
      <c r="A542" s="12" t="str">
        <f t="shared" si="8"/>
        <v>01</v>
      </c>
    </row>
    <row r="543" spans="1:1" x14ac:dyDescent="0.4">
      <c r="A543" s="12" t="str">
        <f t="shared" si="8"/>
        <v>01</v>
      </c>
    </row>
    <row r="544" spans="1:1" x14ac:dyDescent="0.4">
      <c r="A544" s="12" t="str">
        <f t="shared" si="8"/>
        <v>01</v>
      </c>
    </row>
    <row r="545" spans="1:1" x14ac:dyDescent="0.4">
      <c r="A545" s="12" t="str">
        <f t="shared" si="8"/>
        <v>01</v>
      </c>
    </row>
    <row r="546" spans="1:1" x14ac:dyDescent="0.4">
      <c r="A546" s="12" t="str">
        <f t="shared" si="8"/>
        <v>01</v>
      </c>
    </row>
    <row r="547" spans="1:1" x14ac:dyDescent="0.4">
      <c r="A547" s="12" t="str">
        <f t="shared" si="8"/>
        <v>01</v>
      </c>
    </row>
    <row r="548" spans="1:1" x14ac:dyDescent="0.4">
      <c r="A548" s="12" t="str">
        <f t="shared" si="8"/>
        <v>01</v>
      </c>
    </row>
    <row r="549" spans="1:1" x14ac:dyDescent="0.4">
      <c r="A549" s="12" t="str">
        <f t="shared" si="8"/>
        <v>01</v>
      </c>
    </row>
    <row r="550" spans="1:1" x14ac:dyDescent="0.4">
      <c r="A550" s="12" t="str">
        <f t="shared" si="8"/>
        <v>01</v>
      </c>
    </row>
    <row r="551" spans="1:1" x14ac:dyDescent="0.4">
      <c r="A551" s="12" t="str">
        <f t="shared" si="8"/>
        <v>01</v>
      </c>
    </row>
    <row r="552" spans="1:1" x14ac:dyDescent="0.4">
      <c r="A552" s="12" t="str">
        <f t="shared" si="8"/>
        <v>01</v>
      </c>
    </row>
    <row r="553" spans="1:1" x14ac:dyDescent="0.4">
      <c r="A553" s="12" t="str">
        <f t="shared" si="8"/>
        <v>01</v>
      </c>
    </row>
    <row r="554" spans="1:1" x14ac:dyDescent="0.4">
      <c r="A554" s="12" t="str">
        <f t="shared" si="8"/>
        <v>01</v>
      </c>
    </row>
    <row r="555" spans="1:1" x14ac:dyDescent="0.4">
      <c r="A555" s="12" t="str">
        <f t="shared" si="8"/>
        <v>01</v>
      </c>
    </row>
    <row r="556" spans="1:1" x14ac:dyDescent="0.4">
      <c r="A556" s="12" t="str">
        <f t="shared" si="8"/>
        <v>01</v>
      </c>
    </row>
    <row r="557" spans="1:1" x14ac:dyDescent="0.4">
      <c r="A557" s="12" t="str">
        <f t="shared" si="8"/>
        <v>01</v>
      </c>
    </row>
    <row r="558" spans="1:1" x14ac:dyDescent="0.4">
      <c r="A558" s="12" t="str">
        <f t="shared" si="8"/>
        <v>01</v>
      </c>
    </row>
    <row r="559" spans="1:1" x14ac:dyDescent="0.4">
      <c r="A559" s="12" t="str">
        <f t="shared" si="8"/>
        <v>01</v>
      </c>
    </row>
    <row r="560" spans="1:1" x14ac:dyDescent="0.4">
      <c r="A560" s="12" t="str">
        <f t="shared" si="8"/>
        <v>01</v>
      </c>
    </row>
    <row r="561" spans="1:1" x14ac:dyDescent="0.4">
      <c r="A561" s="12" t="str">
        <f t="shared" si="8"/>
        <v>01</v>
      </c>
    </row>
    <row r="562" spans="1:1" x14ac:dyDescent="0.4">
      <c r="A562" s="12" t="str">
        <f t="shared" si="8"/>
        <v>01</v>
      </c>
    </row>
    <row r="563" spans="1:1" x14ac:dyDescent="0.4">
      <c r="A563" s="12" t="str">
        <f t="shared" si="8"/>
        <v>01</v>
      </c>
    </row>
    <row r="564" spans="1:1" x14ac:dyDescent="0.4">
      <c r="A564" s="12" t="str">
        <f t="shared" si="8"/>
        <v>01</v>
      </c>
    </row>
    <row r="565" spans="1:1" x14ac:dyDescent="0.4">
      <c r="A565" s="12" t="str">
        <f t="shared" si="8"/>
        <v>01</v>
      </c>
    </row>
    <row r="566" spans="1:1" x14ac:dyDescent="0.4">
      <c r="A566" s="12" t="str">
        <f t="shared" si="8"/>
        <v>01</v>
      </c>
    </row>
    <row r="567" spans="1:1" x14ac:dyDescent="0.4">
      <c r="A567" s="12" t="str">
        <f t="shared" si="8"/>
        <v>01</v>
      </c>
    </row>
    <row r="568" spans="1:1" x14ac:dyDescent="0.4">
      <c r="A568" s="12" t="str">
        <f t="shared" si="8"/>
        <v>01</v>
      </c>
    </row>
    <row r="569" spans="1:1" x14ac:dyDescent="0.4">
      <c r="A569" s="12" t="str">
        <f t="shared" si="8"/>
        <v>01</v>
      </c>
    </row>
    <row r="570" spans="1:1" x14ac:dyDescent="0.4">
      <c r="A570" s="12" t="str">
        <f t="shared" si="8"/>
        <v>01</v>
      </c>
    </row>
    <row r="571" spans="1:1" x14ac:dyDescent="0.4">
      <c r="A571" s="12" t="str">
        <f t="shared" si="8"/>
        <v>01</v>
      </c>
    </row>
    <row r="572" spans="1:1" x14ac:dyDescent="0.4">
      <c r="A572" s="12" t="str">
        <f t="shared" si="8"/>
        <v>01</v>
      </c>
    </row>
    <row r="573" spans="1:1" x14ac:dyDescent="0.4">
      <c r="A573" s="12" t="str">
        <f t="shared" si="8"/>
        <v>01</v>
      </c>
    </row>
    <row r="574" spans="1:1" x14ac:dyDescent="0.4">
      <c r="A574" s="12" t="str">
        <f t="shared" si="8"/>
        <v>01</v>
      </c>
    </row>
    <row r="575" spans="1:1" x14ac:dyDescent="0.4">
      <c r="A575" s="12" t="str">
        <f t="shared" si="8"/>
        <v>01</v>
      </c>
    </row>
    <row r="576" spans="1:1" x14ac:dyDescent="0.4">
      <c r="A576" s="12" t="str">
        <f t="shared" si="8"/>
        <v>01</v>
      </c>
    </row>
    <row r="577" spans="1:1" x14ac:dyDescent="0.4">
      <c r="A577" s="12" t="str">
        <f t="shared" si="8"/>
        <v>01</v>
      </c>
    </row>
    <row r="578" spans="1:1" x14ac:dyDescent="0.4">
      <c r="A578" s="12" t="str">
        <f t="shared" si="8"/>
        <v>01</v>
      </c>
    </row>
    <row r="579" spans="1:1" x14ac:dyDescent="0.4">
      <c r="A579" s="12" t="str">
        <f t="shared" ref="A579:A642" si="9">TEXT(L579,"MM")</f>
        <v>01</v>
      </c>
    </row>
    <row r="580" spans="1:1" x14ac:dyDescent="0.4">
      <c r="A580" s="12" t="str">
        <f t="shared" si="9"/>
        <v>01</v>
      </c>
    </row>
    <row r="581" spans="1:1" x14ac:dyDescent="0.4">
      <c r="A581" s="12" t="str">
        <f t="shared" si="9"/>
        <v>01</v>
      </c>
    </row>
    <row r="582" spans="1:1" x14ac:dyDescent="0.4">
      <c r="A582" s="12" t="str">
        <f t="shared" si="9"/>
        <v>01</v>
      </c>
    </row>
    <row r="583" spans="1:1" x14ac:dyDescent="0.4">
      <c r="A583" s="12" t="str">
        <f t="shared" si="9"/>
        <v>01</v>
      </c>
    </row>
    <row r="584" spans="1:1" x14ac:dyDescent="0.4">
      <c r="A584" s="12" t="str">
        <f t="shared" si="9"/>
        <v>01</v>
      </c>
    </row>
    <row r="585" spans="1:1" x14ac:dyDescent="0.4">
      <c r="A585" s="12" t="str">
        <f t="shared" si="9"/>
        <v>01</v>
      </c>
    </row>
    <row r="586" spans="1:1" x14ac:dyDescent="0.4">
      <c r="A586" s="12" t="str">
        <f t="shared" si="9"/>
        <v>01</v>
      </c>
    </row>
    <row r="587" spans="1:1" x14ac:dyDescent="0.4">
      <c r="A587" s="12" t="str">
        <f t="shared" si="9"/>
        <v>01</v>
      </c>
    </row>
    <row r="588" spans="1:1" x14ac:dyDescent="0.4">
      <c r="A588" s="12" t="str">
        <f t="shared" si="9"/>
        <v>01</v>
      </c>
    </row>
    <row r="589" spans="1:1" x14ac:dyDescent="0.4">
      <c r="A589" s="12" t="str">
        <f t="shared" si="9"/>
        <v>01</v>
      </c>
    </row>
    <row r="590" spans="1:1" x14ac:dyDescent="0.4">
      <c r="A590" s="12" t="str">
        <f t="shared" si="9"/>
        <v>01</v>
      </c>
    </row>
    <row r="591" spans="1:1" x14ac:dyDescent="0.4">
      <c r="A591" s="12" t="str">
        <f t="shared" si="9"/>
        <v>01</v>
      </c>
    </row>
    <row r="592" spans="1:1" x14ac:dyDescent="0.4">
      <c r="A592" s="12" t="str">
        <f t="shared" si="9"/>
        <v>01</v>
      </c>
    </row>
    <row r="593" spans="1:1" x14ac:dyDescent="0.4">
      <c r="A593" s="12" t="str">
        <f t="shared" si="9"/>
        <v>01</v>
      </c>
    </row>
    <row r="594" spans="1:1" x14ac:dyDescent="0.4">
      <c r="A594" s="12" t="str">
        <f t="shared" si="9"/>
        <v>01</v>
      </c>
    </row>
    <row r="595" spans="1:1" x14ac:dyDescent="0.4">
      <c r="A595" s="12" t="str">
        <f t="shared" si="9"/>
        <v>01</v>
      </c>
    </row>
    <row r="596" spans="1:1" x14ac:dyDescent="0.4">
      <c r="A596" s="12" t="str">
        <f t="shared" si="9"/>
        <v>01</v>
      </c>
    </row>
    <row r="597" spans="1:1" x14ac:dyDescent="0.4">
      <c r="A597" s="12" t="str">
        <f t="shared" si="9"/>
        <v>01</v>
      </c>
    </row>
    <row r="598" spans="1:1" x14ac:dyDescent="0.4">
      <c r="A598" s="12" t="str">
        <f t="shared" si="9"/>
        <v>01</v>
      </c>
    </row>
    <row r="599" spans="1:1" x14ac:dyDescent="0.4">
      <c r="A599" s="12" t="str">
        <f t="shared" si="9"/>
        <v>01</v>
      </c>
    </row>
    <row r="600" spans="1:1" x14ac:dyDescent="0.4">
      <c r="A600" s="12" t="str">
        <f t="shared" si="9"/>
        <v>01</v>
      </c>
    </row>
    <row r="601" spans="1:1" x14ac:dyDescent="0.4">
      <c r="A601" s="12" t="str">
        <f t="shared" si="9"/>
        <v>01</v>
      </c>
    </row>
    <row r="602" spans="1:1" x14ac:dyDescent="0.4">
      <c r="A602" s="12" t="str">
        <f t="shared" si="9"/>
        <v>01</v>
      </c>
    </row>
    <row r="603" spans="1:1" x14ac:dyDescent="0.4">
      <c r="A603" s="12" t="str">
        <f t="shared" si="9"/>
        <v>01</v>
      </c>
    </row>
    <row r="604" spans="1:1" x14ac:dyDescent="0.4">
      <c r="A604" s="12" t="str">
        <f t="shared" si="9"/>
        <v>01</v>
      </c>
    </row>
    <row r="605" spans="1:1" x14ac:dyDescent="0.4">
      <c r="A605" s="12" t="str">
        <f t="shared" si="9"/>
        <v>01</v>
      </c>
    </row>
    <row r="606" spans="1:1" x14ac:dyDescent="0.4">
      <c r="A606" s="12" t="str">
        <f t="shared" si="9"/>
        <v>01</v>
      </c>
    </row>
    <row r="607" spans="1:1" x14ac:dyDescent="0.4">
      <c r="A607" s="12" t="str">
        <f t="shared" si="9"/>
        <v>01</v>
      </c>
    </row>
    <row r="608" spans="1:1" x14ac:dyDescent="0.4">
      <c r="A608" s="12" t="str">
        <f t="shared" si="9"/>
        <v>01</v>
      </c>
    </row>
    <row r="609" spans="1:1" x14ac:dyDescent="0.4">
      <c r="A609" s="12" t="str">
        <f t="shared" si="9"/>
        <v>01</v>
      </c>
    </row>
    <row r="610" spans="1:1" x14ac:dyDescent="0.4">
      <c r="A610" s="12" t="str">
        <f t="shared" si="9"/>
        <v>01</v>
      </c>
    </row>
    <row r="611" spans="1:1" x14ac:dyDescent="0.4">
      <c r="A611" s="12" t="str">
        <f t="shared" si="9"/>
        <v>01</v>
      </c>
    </row>
    <row r="612" spans="1:1" x14ac:dyDescent="0.4">
      <c r="A612" s="12" t="str">
        <f t="shared" si="9"/>
        <v>01</v>
      </c>
    </row>
    <row r="613" spans="1:1" x14ac:dyDescent="0.4">
      <c r="A613" s="12" t="str">
        <f t="shared" si="9"/>
        <v>01</v>
      </c>
    </row>
    <row r="614" spans="1:1" x14ac:dyDescent="0.4">
      <c r="A614" s="12" t="str">
        <f t="shared" si="9"/>
        <v>01</v>
      </c>
    </row>
    <row r="615" spans="1:1" x14ac:dyDescent="0.4">
      <c r="A615" s="12" t="str">
        <f t="shared" si="9"/>
        <v>01</v>
      </c>
    </row>
    <row r="616" spans="1:1" x14ac:dyDescent="0.4">
      <c r="A616" s="12" t="str">
        <f t="shared" si="9"/>
        <v>01</v>
      </c>
    </row>
    <row r="617" spans="1:1" x14ac:dyDescent="0.4">
      <c r="A617" s="12" t="str">
        <f t="shared" si="9"/>
        <v>01</v>
      </c>
    </row>
    <row r="618" spans="1:1" x14ac:dyDescent="0.4">
      <c r="A618" s="12" t="str">
        <f t="shared" si="9"/>
        <v>01</v>
      </c>
    </row>
    <row r="619" spans="1:1" x14ac:dyDescent="0.4">
      <c r="A619" s="12" t="str">
        <f t="shared" si="9"/>
        <v>01</v>
      </c>
    </row>
    <row r="620" spans="1:1" x14ac:dyDescent="0.4">
      <c r="A620" s="12" t="str">
        <f t="shared" si="9"/>
        <v>01</v>
      </c>
    </row>
    <row r="621" spans="1:1" x14ac:dyDescent="0.4">
      <c r="A621" s="12" t="str">
        <f t="shared" si="9"/>
        <v>01</v>
      </c>
    </row>
    <row r="622" spans="1:1" x14ac:dyDescent="0.4">
      <c r="A622" s="12" t="str">
        <f t="shared" si="9"/>
        <v>01</v>
      </c>
    </row>
    <row r="623" spans="1:1" x14ac:dyDescent="0.4">
      <c r="A623" s="12" t="str">
        <f t="shared" si="9"/>
        <v>01</v>
      </c>
    </row>
    <row r="624" spans="1:1" x14ac:dyDescent="0.4">
      <c r="A624" s="12" t="str">
        <f t="shared" si="9"/>
        <v>01</v>
      </c>
    </row>
    <row r="625" spans="1:1" x14ac:dyDescent="0.4">
      <c r="A625" s="12" t="str">
        <f t="shared" si="9"/>
        <v>01</v>
      </c>
    </row>
    <row r="626" spans="1:1" x14ac:dyDescent="0.4">
      <c r="A626" s="12" t="str">
        <f t="shared" si="9"/>
        <v>01</v>
      </c>
    </row>
    <row r="627" spans="1:1" x14ac:dyDescent="0.4">
      <c r="A627" s="12" t="str">
        <f t="shared" si="9"/>
        <v>01</v>
      </c>
    </row>
    <row r="628" spans="1:1" x14ac:dyDescent="0.4">
      <c r="A628" s="12" t="str">
        <f t="shared" si="9"/>
        <v>01</v>
      </c>
    </row>
    <row r="629" spans="1:1" x14ac:dyDescent="0.4">
      <c r="A629" s="12" t="str">
        <f t="shared" si="9"/>
        <v>01</v>
      </c>
    </row>
    <row r="630" spans="1:1" x14ac:dyDescent="0.4">
      <c r="A630" s="12" t="str">
        <f t="shared" si="9"/>
        <v>01</v>
      </c>
    </row>
    <row r="631" spans="1:1" x14ac:dyDescent="0.4">
      <c r="A631" s="12" t="str">
        <f t="shared" si="9"/>
        <v>01</v>
      </c>
    </row>
    <row r="632" spans="1:1" x14ac:dyDescent="0.4">
      <c r="A632" s="12" t="str">
        <f t="shared" si="9"/>
        <v>01</v>
      </c>
    </row>
    <row r="633" spans="1:1" x14ac:dyDescent="0.4">
      <c r="A633" s="12" t="str">
        <f t="shared" si="9"/>
        <v>01</v>
      </c>
    </row>
    <row r="634" spans="1:1" x14ac:dyDescent="0.4">
      <c r="A634" s="12" t="str">
        <f t="shared" si="9"/>
        <v>01</v>
      </c>
    </row>
    <row r="635" spans="1:1" x14ac:dyDescent="0.4">
      <c r="A635" s="12" t="str">
        <f t="shared" si="9"/>
        <v>01</v>
      </c>
    </row>
    <row r="636" spans="1:1" x14ac:dyDescent="0.4">
      <c r="A636" s="12" t="str">
        <f t="shared" si="9"/>
        <v>01</v>
      </c>
    </row>
    <row r="637" spans="1:1" x14ac:dyDescent="0.4">
      <c r="A637" s="12" t="str">
        <f t="shared" si="9"/>
        <v>01</v>
      </c>
    </row>
    <row r="638" spans="1:1" x14ac:dyDescent="0.4">
      <c r="A638" s="12" t="str">
        <f t="shared" si="9"/>
        <v>01</v>
      </c>
    </row>
    <row r="639" spans="1:1" x14ac:dyDescent="0.4">
      <c r="A639" s="12" t="str">
        <f t="shared" si="9"/>
        <v>01</v>
      </c>
    </row>
    <row r="640" spans="1:1" x14ac:dyDescent="0.4">
      <c r="A640" s="12" t="str">
        <f t="shared" si="9"/>
        <v>01</v>
      </c>
    </row>
    <row r="641" spans="1:1" x14ac:dyDescent="0.4">
      <c r="A641" s="12" t="str">
        <f t="shared" si="9"/>
        <v>01</v>
      </c>
    </row>
    <row r="642" spans="1:1" x14ac:dyDescent="0.4">
      <c r="A642" s="12" t="str">
        <f t="shared" si="9"/>
        <v>01</v>
      </c>
    </row>
    <row r="643" spans="1:1" x14ac:dyDescent="0.4">
      <c r="A643" s="12" t="str">
        <f t="shared" ref="A643:A706" si="10">TEXT(L643,"MM")</f>
        <v>01</v>
      </c>
    </row>
    <row r="644" spans="1:1" x14ac:dyDescent="0.4">
      <c r="A644" s="12" t="str">
        <f t="shared" si="10"/>
        <v>01</v>
      </c>
    </row>
    <row r="645" spans="1:1" x14ac:dyDescent="0.4">
      <c r="A645" s="12" t="str">
        <f t="shared" si="10"/>
        <v>01</v>
      </c>
    </row>
    <row r="646" spans="1:1" x14ac:dyDescent="0.4">
      <c r="A646" s="12" t="str">
        <f t="shared" si="10"/>
        <v>01</v>
      </c>
    </row>
    <row r="647" spans="1:1" x14ac:dyDescent="0.4">
      <c r="A647" s="12" t="str">
        <f t="shared" si="10"/>
        <v>01</v>
      </c>
    </row>
    <row r="648" spans="1:1" x14ac:dyDescent="0.4">
      <c r="A648" s="12" t="str">
        <f t="shared" si="10"/>
        <v>01</v>
      </c>
    </row>
    <row r="649" spans="1:1" x14ac:dyDescent="0.4">
      <c r="A649" s="12" t="str">
        <f t="shared" si="10"/>
        <v>01</v>
      </c>
    </row>
    <row r="650" spans="1:1" x14ac:dyDescent="0.4">
      <c r="A650" s="12" t="str">
        <f t="shared" si="10"/>
        <v>01</v>
      </c>
    </row>
    <row r="651" spans="1:1" x14ac:dyDescent="0.4">
      <c r="A651" s="12" t="str">
        <f t="shared" si="10"/>
        <v>01</v>
      </c>
    </row>
    <row r="652" spans="1:1" x14ac:dyDescent="0.4">
      <c r="A652" s="12" t="str">
        <f t="shared" si="10"/>
        <v>01</v>
      </c>
    </row>
    <row r="653" spans="1:1" x14ac:dyDescent="0.4">
      <c r="A653" s="12" t="str">
        <f t="shared" si="10"/>
        <v>01</v>
      </c>
    </row>
    <row r="654" spans="1:1" x14ac:dyDescent="0.4">
      <c r="A654" s="12" t="str">
        <f t="shared" si="10"/>
        <v>01</v>
      </c>
    </row>
    <row r="655" spans="1:1" x14ac:dyDescent="0.4">
      <c r="A655" s="12" t="str">
        <f t="shared" si="10"/>
        <v>01</v>
      </c>
    </row>
    <row r="656" spans="1:1" x14ac:dyDescent="0.4">
      <c r="A656" s="12" t="str">
        <f t="shared" si="10"/>
        <v>01</v>
      </c>
    </row>
    <row r="657" spans="1:1" x14ac:dyDescent="0.4">
      <c r="A657" s="12" t="str">
        <f t="shared" si="10"/>
        <v>01</v>
      </c>
    </row>
    <row r="658" spans="1:1" x14ac:dyDescent="0.4">
      <c r="A658" s="12" t="str">
        <f t="shared" si="10"/>
        <v>01</v>
      </c>
    </row>
    <row r="659" spans="1:1" x14ac:dyDescent="0.4">
      <c r="A659" s="12" t="str">
        <f t="shared" si="10"/>
        <v>01</v>
      </c>
    </row>
    <row r="660" spans="1:1" x14ac:dyDescent="0.4">
      <c r="A660" s="12" t="str">
        <f t="shared" si="10"/>
        <v>01</v>
      </c>
    </row>
    <row r="661" spans="1:1" x14ac:dyDescent="0.4">
      <c r="A661" s="12" t="str">
        <f t="shared" si="10"/>
        <v>01</v>
      </c>
    </row>
    <row r="662" spans="1:1" x14ac:dyDescent="0.4">
      <c r="A662" s="12" t="str">
        <f t="shared" si="10"/>
        <v>01</v>
      </c>
    </row>
    <row r="663" spans="1:1" x14ac:dyDescent="0.4">
      <c r="A663" s="12" t="str">
        <f t="shared" si="10"/>
        <v>01</v>
      </c>
    </row>
    <row r="664" spans="1:1" x14ac:dyDescent="0.4">
      <c r="A664" s="12" t="str">
        <f t="shared" si="10"/>
        <v>01</v>
      </c>
    </row>
    <row r="665" spans="1:1" x14ac:dyDescent="0.4">
      <c r="A665" s="12" t="str">
        <f t="shared" si="10"/>
        <v>01</v>
      </c>
    </row>
    <row r="666" spans="1:1" x14ac:dyDescent="0.4">
      <c r="A666" s="12" t="str">
        <f t="shared" si="10"/>
        <v>01</v>
      </c>
    </row>
    <row r="667" spans="1:1" x14ac:dyDescent="0.4">
      <c r="A667" s="12" t="str">
        <f t="shared" si="10"/>
        <v>01</v>
      </c>
    </row>
    <row r="668" spans="1:1" x14ac:dyDescent="0.4">
      <c r="A668" s="12" t="str">
        <f t="shared" si="10"/>
        <v>01</v>
      </c>
    </row>
    <row r="669" spans="1:1" x14ac:dyDescent="0.4">
      <c r="A669" s="12" t="str">
        <f t="shared" si="10"/>
        <v>01</v>
      </c>
    </row>
    <row r="670" spans="1:1" x14ac:dyDescent="0.4">
      <c r="A670" s="12" t="str">
        <f t="shared" si="10"/>
        <v>01</v>
      </c>
    </row>
    <row r="671" spans="1:1" x14ac:dyDescent="0.4">
      <c r="A671" s="12" t="str">
        <f t="shared" si="10"/>
        <v>01</v>
      </c>
    </row>
    <row r="672" spans="1:1" x14ac:dyDescent="0.4">
      <c r="A672" s="12" t="str">
        <f t="shared" si="10"/>
        <v>01</v>
      </c>
    </row>
    <row r="673" spans="1:1" x14ac:dyDescent="0.4">
      <c r="A673" s="12" t="str">
        <f t="shared" si="10"/>
        <v>01</v>
      </c>
    </row>
    <row r="674" spans="1:1" x14ac:dyDescent="0.4">
      <c r="A674" s="12" t="str">
        <f t="shared" si="10"/>
        <v>01</v>
      </c>
    </row>
    <row r="675" spans="1:1" x14ac:dyDescent="0.4">
      <c r="A675" s="12" t="str">
        <f t="shared" si="10"/>
        <v>01</v>
      </c>
    </row>
    <row r="676" spans="1:1" x14ac:dyDescent="0.4">
      <c r="A676" s="12" t="str">
        <f t="shared" si="10"/>
        <v>01</v>
      </c>
    </row>
    <row r="677" spans="1:1" x14ac:dyDescent="0.4">
      <c r="A677" s="12" t="str">
        <f t="shared" si="10"/>
        <v>01</v>
      </c>
    </row>
    <row r="678" spans="1:1" x14ac:dyDescent="0.4">
      <c r="A678" s="12" t="str">
        <f t="shared" si="10"/>
        <v>01</v>
      </c>
    </row>
    <row r="679" spans="1:1" x14ac:dyDescent="0.4">
      <c r="A679" s="12" t="str">
        <f t="shared" si="10"/>
        <v>01</v>
      </c>
    </row>
    <row r="680" spans="1:1" x14ac:dyDescent="0.4">
      <c r="A680" s="12" t="str">
        <f t="shared" si="10"/>
        <v>01</v>
      </c>
    </row>
    <row r="681" spans="1:1" x14ac:dyDescent="0.4">
      <c r="A681" s="12" t="str">
        <f t="shared" si="10"/>
        <v>01</v>
      </c>
    </row>
    <row r="682" spans="1:1" x14ac:dyDescent="0.4">
      <c r="A682" s="12" t="str">
        <f t="shared" si="10"/>
        <v>01</v>
      </c>
    </row>
    <row r="683" spans="1:1" x14ac:dyDescent="0.4">
      <c r="A683" s="12" t="str">
        <f t="shared" si="10"/>
        <v>01</v>
      </c>
    </row>
    <row r="684" spans="1:1" x14ac:dyDescent="0.4">
      <c r="A684" s="12" t="str">
        <f t="shared" si="10"/>
        <v>01</v>
      </c>
    </row>
    <row r="685" spans="1:1" x14ac:dyDescent="0.4">
      <c r="A685" s="12" t="str">
        <f t="shared" si="10"/>
        <v>01</v>
      </c>
    </row>
    <row r="686" spans="1:1" x14ac:dyDescent="0.4">
      <c r="A686" s="12" t="str">
        <f t="shared" si="10"/>
        <v>01</v>
      </c>
    </row>
    <row r="687" spans="1:1" x14ac:dyDescent="0.4">
      <c r="A687" s="12" t="str">
        <f t="shared" si="10"/>
        <v>01</v>
      </c>
    </row>
    <row r="688" spans="1:1" x14ac:dyDescent="0.4">
      <c r="A688" s="12" t="str">
        <f t="shared" si="10"/>
        <v>01</v>
      </c>
    </row>
    <row r="689" spans="1:1" x14ac:dyDescent="0.4">
      <c r="A689" s="12" t="str">
        <f t="shared" si="10"/>
        <v>01</v>
      </c>
    </row>
    <row r="690" spans="1:1" x14ac:dyDescent="0.4">
      <c r="A690" s="12" t="str">
        <f t="shared" si="10"/>
        <v>01</v>
      </c>
    </row>
    <row r="691" spans="1:1" x14ac:dyDescent="0.4">
      <c r="A691" s="12" t="str">
        <f t="shared" si="10"/>
        <v>01</v>
      </c>
    </row>
    <row r="692" spans="1:1" x14ac:dyDescent="0.4">
      <c r="A692" s="12" t="str">
        <f t="shared" si="10"/>
        <v>01</v>
      </c>
    </row>
    <row r="693" spans="1:1" x14ac:dyDescent="0.4">
      <c r="A693" s="12" t="str">
        <f t="shared" si="10"/>
        <v>01</v>
      </c>
    </row>
    <row r="694" spans="1:1" x14ac:dyDescent="0.4">
      <c r="A694" s="12" t="str">
        <f t="shared" si="10"/>
        <v>01</v>
      </c>
    </row>
    <row r="695" spans="1:1" x14ac:dyDescent="0.4">
      <c r="A695" s="12" t="str">
        <f t="shared" si="10"/>
        <v>01</v>
      </c>
    </row>
    <row r="696" spans="1:1" x14ac:dyDescent="0.4">
      <c r="A696" s="12" t="str">
        <f t="shared" si="10"/>
        <v>01</v>
      </c>
    </row>
    <row r="697" spans="1:1" x14ac:dyDescent="0.4">
      <c r="A697" s="12" t="str">
        <f t="shared" si="10"/>
        <v>01</v>
      </c>
    </row>
    <row r="698" spans="1:1" x14ac:dyDescent="0.4">
      <c r="A698" s="12" t="str">
        <f t="shared" si="10"/>
        <v>01</v>
      </c>
    </row>
    <row r="699" spans="1:1" x14ac:dyDescent="0.4">
      <c r="A699" s="12" t="str">
        <f t="shared" si="10"/>
        <v>01</v>
      </c>
    </row>
    <row r="700" spans="1:1" x14ac:dyDescent="0.4">
      <c r="A700" s="12" t="str">
        <f t="shared" si="10"/>
        <v>01</v>
      </c>
    </row>
    <row r="701" spans="1:1" x14ac:dyDescent="0.4">
      <c r="A701" s="12" t="str">
        <f t="shared" si="10"/>
        <v>01</v>
      </c>
    </row>
    <row r="702" spans="1:1" x14ac:dyDescent="0.4">
      <c r="A702" s="12" t="str">
        <f t="shared" si="10"/>
        <v>01</v>
      </c>
    </row>
    <row r="703" spans="1:1" x14ac:dyDescent="0.4">
      <c r="A703" s="12" t="str">
        <f t="shared" si="10"/>
        <v>01</v>
      </c>
    </row>
    <row r="704" spans="1:1" x14ac:dyDescent="0.4">
      <c r="A704" s="12" t="str">
        <f t="shared" si="10"/>
        <v>01</v>
      </c>
    </row>
    <row r="705" spans="1:1" x14ac:dyDescent="0.4">
      <c r="A705" s="12" t="str">
        <f t="shared" si="10"/>
        <v>01</v>
      </c>
    </row>
    <row r="706" spans="1:1" x14ac:dyDescent="0.4">
      <c r="A706" s="12" t="str">
        <f t="shared" si="10"/>
        <v>01</v>
      </c>
    </row>
    <row r="707" spans="1:1" x14ac:dyDescent="0.4">
      <c r="A707" s="12" t="str">
        <f t="shared" ref="A707:A770" si="11">TEXT(L707,"MM")</f>
        <v>01</v>
      </c>
    </row>
    <row r="708" spans="1:1" x14ac:dyDescent="0.4">
      <c r="A708" s="12" t="str">
        <f t="shared" si="11"/>
        <v>01</v>
      </c>
    </row>
    <row r="709" spans="1:1" x14ac:dyDescent="0.4">
      <c r="A709" s="12" t="str">
        <f t="shared" si="11"/>
        <v>01</v>
      </c>
    </row>
    <row r="710" spans="1:1" x14ac:dyDescent="0.4">
      <c r="A710" s="12" t="str">
        <f t="shared" si="11"/>
        <v>01</v>
      </c>
    </row>
    <row r="711" spans="1:1" x14ac:dyDescent="0.4">
      <c r="A711" s="12" t="str">
        <f t="shared" si="11"/>
        <v>01</v>
      </c>
    </row>
    <row r="712" spans="1:1" x14ac:dyDescent="0.4">
      <c r="A712" s="12" t="str">
        <f t="shared" si="11"/>
        <v>01</v>
      </c>
    </row>
    <row r="713" spans="1:1" x14ac:dyDescent="0.4">
      <c r="A713" s="12" t="str">
        <f t="shared" si="11"/>
        <v>01</v>
      </c>
    </row>
    <row r="714" spans="1:1" x14ac:dyDescent="0.4">
      <c r="A714" s="12" t="str">
        <f t="shared" si="11"/>
        <v>01</v>
      </c>
    </row>
    <row r="715" spans="1:1" x14ac:dyDescent="0.4">
      <c r="A715" s="12" t="str">
        <f t="shared" si="11"/>
        <v>01</v>
      </c>
    </row>
    <row r="716" spans="1:1" x14ac:dyDescent="0.4">
      <c r="A716" s="12" t="str">
        <f t="shared" si="11"/>
        <v>01</v>
      </c>
    </row>
    <row r="717" spans="1:1" x14ac:dyDescent="0.4">
      <c r="A717" s="12" t="str">
        <f t="shared" si="11"/>
        <v>01</v>
      </c>
    </row>
    <row r="718" spans="1:1" x14ac:dyDescent="0.4">
      <c r="A718" s="12" t="str">
        <f t="shared" si="11"/>
        <v>01</v>
      </c>
    </row>
    <row r="719" spans="1:1" x14ac:dyDescent="0.4">
      <c r="A719" s="12" t="str">
        <f t="shared" si="11"/>
        <v>01</v>
      </c>
    </row>
    <row r="720" spans="1:1" x14ac:dyDescent="0.4">
      <c r="A720" s="12" t="str">
        <f t="shared" si="11"/>
        <v>01</v>
      </c>
    </row>
    <row r="721" spans="1:1" x14ac:dyDescent="0.4">
      <c r="A721" s="12" t="str">
        <f t="shared" si="11"/>
        <v>01</v>
      </c>
    </row>
    <row r="722" spans="1:1" x14ac:dyDescent="0.4">
      <c r="A722" s="12" t="str">
        <f t="shared" si="11"/>
        <v>01</v>
      </c>
    </row>
    <row r="723" spans="1:1" x14ac:dyDescent="0.4">
      <c r="A723" s="12" t="str">
        <f t="shared" si="11"/>
        <v>01</v>
      </c>
    </row>
    <row r="724" spans="1:1" x14ac:dyDescent="0.4">
      <c r="A724" s="12" t="str">
        <f t="shared" si="11"/>
        <v>01</v>
      </c>
    </row>
    <row r="725" spans="1:1" x14ac:dyDescent="0.4">
      <c r="A725" s="12" t="str">
        <f t="shared" si="11"/>
        <v>01</v>
      </c>
    </row>
    <row r="726" spans="1:1" x14ac:dyDescent="0.4">
      <c r="A726" s="12" t="str">
        <f t="shared" si="11"/>
        <v>01</v>
      </c>
    </row>
    <row r="727" spans="1:1" x14ac:dyDescent="0.4">
      <c r="A727" s="12" t="str">
        <f t="shared" si="11"/>
        <v>01</v>
      </c>
    </row>
    <row r="728" spans="1:1" x14ac:dyDescent="0.4">
      <c r="A728" s="12" t="str">
        <f t="shared" si="11"/>
        <v>01</v>
      </c>
    </row>
    <row r="729" spans="1:1" x14ac:dyDescent="0.4">
      <c r="A729" s="12" t="str">
        <f t="shared" si="11"/>
        <v>01</v>
      </c>
    </row>
    <row r="730" spans="1:1" x14ac:dyDescent="0.4">
      <c r="A730" s="12" t="str">
        <f t="shared" si="11"/>
        <v>01</v>
      </c>
    </row>
    <row r="731" spans="1:1" x14ac:dyDescent="0.4">
      <c r="A731" s="12" t="str">
        <f t="shared" si="11"/>
        <v>01</v>
      </c>
    </row>
    <row r="732" spans="1:1" x14ac:dyDescent="0.4">
      <c r="A732" s="12" t="str">
        <f t="shared" si="11"/>
        <v>01</v>
      </c>
    </row>
    <row r="733" spans="1:1" x14ac:dyDescent="0.4">
      <c r="A733" s="12" t="str">
        <f t="shared" si="11"/>
        <v>01</v>
      </c>
    </row>
    <row r="734" spans="1:1" x14ac:dyDescent="0.4">
      <c r="A734" s="12" t="str">
        <f t="shared" si="11"/>
        <v>01</v>
      </c>
    </row>
    <row r="735" spans="1:1" x14ac:dyDescent="0.4">
      <c r="A735" s="12" t="str">
        <f t="shared" si="11"/>
        <v>01</v>
      </c>
    </row>
    <row r="736" spans="1:1" x14ac:dyDescent="0.4">
      <c r="A736" s="12" t="str">
        <f t="shared" si="11"/>
        <v>01</v>
      </c>
    </row>
    <row r="737" spans="1:1" x14ac:dyDescent="0.4">
      <c r="A737" s="12" t="str">
        <f t="shared" si="11"/>
        <v>01</v>
      </c>
    </row>
    <row r="738" spans="1:1" x14ac:dyDescent="0.4">
      <c r="A738" s="12" t="str">
        <f t="shared" si="11"/>
        <v>01</v>
      </c>
    </row>
    <row r="739" spans="1:1" x14ac:dyDescent="0.4">
      <c r="A739" s="12" t="str">
        <f t="shared" si="11"/>
        <v>01</v>
      </c>
    </row>
    <row r="740" spans="1:1" x14ac:dyDescent="0.4">
      <c r="A740" s="12" t="str">
        <f t="shared" si="11"/>
        <v>01</v>
      </c>
    </row>
    <row r="741" spans="1:1" x14ac:dyDescent="0.4">
      <c r="A741" s="12" t="str">
        <f t="shared" si="11"/>
        <v>01</v>
      </c>
    </row>
    <row r="742" spans="1:1" x14ac:dyDescent="0.4">
      <c r="A742" s="12" t="str">
        <f t="shared" si="11"/>
        <v>01</v>
      </c>
    </row>
    <row r="743" spans="1:1" x14ac:dyDescent="0.4">
      <c r="A743" s="12" t="str">
        <f t="shared" si="11"/>
        <v>01</v>
      </c>
    </row>
    <row r="744" spans="1:1" x14ac:dyDescent="0.4">
      <c r="A744" s="12" t="str">
        <f t="shared" si="11"/>
        <v>01</v>
      </c>
    </row>
    <row r="745" spans="1:1" x14ac:dyDescent="0.4">
      <c r="A745" s="12" t="str">
        <f t="shared" si="11"/>
        <v>01</v>
      </c>
    </row>
    <row r="746" spans="1:1" x14ac:dyDescent="0.4">
      <c r="A746" s="12" t="str">
        <f t="shared" si="11"/>
        <v>01</v>
      </c>
    </row>
    <row r="747" spans="1:1" x14ac:dyDescent="0.4">
      <c r="A747" s="12" t="str">
        <f t="shared" si="11"/>
        <v>01</v>
      </c>
    </row>
    <row r="748" spans="1:1" x14ac:dyDescent="0.4">
      <c r="A748" s="12" t="str">
        <f t="shared" si="11"/>
        <v>01</v>
      </c>
    </row>
    <row r="749" spans="1:1" x14ac:dyDescent="0.4">
      <c r="A749" s="12" t="str">
        <f t="shared" si="11"/>
        <v>01</v>
      </c>
    </row>
    <row r="750" spans="1:1" x14ac:dyDescent="0.4">
      <c r="A750" s="12" t="str">
        <f t="shared" si="11"/>
        <v>01</v>
      </c>
    </row>
    <row r="751" spans="1:1" x14ac:dyDescent="0.4">
      <c r="A751" s="12" t="str">
        <f t="shared" si="11"/>
        <v>01</v>
      </c>
    </row>
    <row r="752" spans="1:1" x14ac:dyDescent="0.4">
      <c r="A752" s="12" t="str">
        <f t="shared" si="11"/>
        <v>01</v>
      </c>
    </row>
    <row r="753" spans="1:1" x14ac:dyDescent="0.4">
      <c r="A753" s="12" t="str">
        <f t="shared" si="11"/>
        <v>01</v>
      </c>
    </row>
    <row r="754" spans="1:1" x14ac:dyDescent="0.4">
      <c r="A754" s="12" t="str">
        <f t="shared" si="11"/>
        <v>01</v>
      </c>
    </row>
    <row r="755" spans="1:1" x14ac:dyDescent="0.4">
      <c r="A755" s="12" t="str">
        <f t="shared" si="11"/>
        <v>01</v>
      </c>
    </row>
    <row r="756" spans="1:1" x14ac:dyDescent="0.4">
      <c r="A756" s="12" t="str">
        <f t="shared" si="11"/>
        <v>01</v>
      </c>
    </row>
    <row r="757" spans="1:1" x14ac:dyDescent="0.4">
      <c r="A757" s="12" t="str">
        <f t="shared" si="11"/>
        <v>01</v>
      </c>
    </row>
    <row r="758" spans="1:1" x14ac:dyDescent="0.4">
      <c r="A758" s="12" t="str">
        <f t="shared" si="11"/>
        <v>01</v>
      </c>
    </row>
    <row r="759" spans="1:1" x14ac:dyDescent="0.4">
      <c r="A759" s="12" t="str">
        <f t="shared" si="11"/>
        <v>01</v>
      </c>
    </row>
    <row r="760" spans="1:1" x14ac:dyDescent="0.4">
      <c r="A760" s="12" t="str">
        <f t="shared" si="11"/>
        <v>01</v>
      </c>
    </row>
    <row r="761" spans="1:1" x14ac:dyDescent="0.4">
      <c r="A761" s="12" t="str">
        <f t="shared" si="11"/>
        <v>01</v>
      </c>
    </row>
    <row r="762" spans="1:1" x14ac:dyDescent="0.4">
      <c r="A762" s="12" t="str">
        <f t="shared" si="11"/>
        <v>01</v>
      </c>
    </row>
    <row r="763" spans="1:1" x14ac:dyDescent="0.4">
      <c r="A763" s="12" t="str">
        <f t="shared" si="11"/>
        <v>01</v>
      </c>
    </row>
    <row r="764" spans="1:1" x14ac:dyDescent="0.4">
      <c r="A764" s="12" t="str">
        <f t="shared" si="11"/>
        <v>01</v>
      </c>
    </row>
    <row r="765" spans="1:1" x14ac:dyDescent="0.4">
      <c r="A765" s="12" t="str">
        <f t="shared" si="11"/>
        <v>01</v>
      </c>
    </row>
    <row r="766" spans="1:1" x14ac:dyDescent="0.4">
      <c r="A766" s="12" t="str">
        <f t="shared" si="11"/>
        <v>01</v>
      </c>
    </row>
    <row r="767" spans="1:1" x14ac:dyDescent="0.4">
      <c r="A767" s="12" t="str">
        <f t="shared" si="11"/>
        <v>01</v>
      </c>
    </row>
    <row r="768" spans="1:1" x14ac:dyDescent="0.4">
      <c r="A768" s="12" t="str">
        <f t="shared" si="11"/>
        <v>01</v>
      </c>
    </row>
    <row r="769" spans="1:1" x14ac:dyDescent="0.4">
      <c r="A769" s="12" t="str">
        <f t="shared" si="11"/>
        <v>01</v>
      </c>
    </row>
    <row r="770" spans="1:1" x14ac:dyDescent="0.4">
      <c r="A770" s="12" t="str">
        <f t="shared" si="11"/>
        <v>01</v>
      </c>
    </row>
    <row r="771" spans="1:1" x14ac:dyDescent="0.4">
      <c r="A771" s="12" t="str">
        <f t="shared" ref="A771:A834" si="12">TEXT(L771,"MM")</f>
        <v>01</v>
      </c>
    </row>
    <row r="772" spans="1:1" x14ac:dyDescent="0.4">
      <c r="A772" s="12" t="str">
        <f t="shared" si="12"/>
        <v>01</v>
      </c>
    </row>
    <row r="773" spans="1:1" x14ac:dyDescent="0.4">
      <c r="A773" s="12" t="str">
        <f t="shared" si="12"/>
        <v>01</v>
      </c>
    </row>
    <row r="774" spans="1:1" x14ac:dyDescent="0.4">
      <c r="A774" s="12" t="str">
        <f t="shared" si="12"/>
        <v>01</v>
      </c>
    </row>
    <row r="775" spans="1:1" x14ac:dyDescent="0.4">
      <c r="A775" s="12" t="str">
        <f t="shared" si="12"/>
        <v>01</v>
      </c>
    </row>
    <row r="776" spans="1:1" x14ac:dyDescent="0.4">
      <c r="A776" s="12" t="str">
        <f t="shared" si="12"/>
        <v>01</v>
      </c>
    </row>
    <row r="777" spans="1:1" x14ac:dyDescent="0.4">
      <c r="A777" s="12" t="str">
        <f t="shared" si="12"/>
        <v>01</v>
      </c>
    </row>
    <row r="778" spans="1:1" x14ac:dyDescent="0.4">
      <c r="A778" s="12" t="str">
        <f t="shared" si="12"/>
        <v>01</v>
      </c>
    </row>
    <row r="779" spans="1:1" x14ac:dyDescent="0.4">
      <c r="A779" s="12" t="str">
        <f t="shared" si="12"/>
        <v>01</v>
      </c>
    </row>
    <row r="780" spans="1:1" x14ac:dyDescent="0.4">
      <c r="A780" s="12" t="str">
        <f t="shared" si="12"/>
        <v>01</v>
      </c>
    </row>
    <row r="781" spans="1:1" x14ac:dyDescent="0.4">
      <c r="A781" s="12" t="str">
        <f t="shared" si="12"/>
        <v>01</v>
      </c>
    </row>
    <row r="782" spans="1:1" x14ac:dyDescent="0.4">
      <c r="A782" s="12" t="str">
        <f t="shared" si="12"/>
        <v>01</v>
      </c>
    </row>
    <row r="783" spans="1:1" x14ac:dyDescent="0.4">
      <c r="A783" s="12" t="str">
        <f t="shared" si="12"/>
        <v>01</v>
      </c>
    </row>
    <row r="784" spans="1:1" x14ac:dyDescent="0.4">
      <c r="A784" s="12" t="str">
        <f t="shared" si="12"/>
        <v>01</v>
      </c>
    </row>
    <row r="785" spans="1:1" x14ac:dyDescent="0.4">
      <c r="A785" s="12" t="str">
        <f t="shared" si="12"/>
        <v>01</v>
      </c>
    </row>
    <row r="786" spans="1:1" x14ac:dyDescent="0.4">
      <c r="A786" s="12" t="str">
        <f t="shared" si="12"/>
        <v>01</v>
      </c>
    </row>
    <row r="787" spans="1:1" x14ac:dyDescent="0.4">
      <c r="A787" s="12" t="str">
        <f t="shared" si="12"/>
        <v>01</v>
      </c>
    </row>
    <row r="788" spans="1:1" x14ac:dyDescent="0.4">
      <c r="A788" s="12" t="str">
        <f t="shared" si="12"/>
        <v>01</v>
      </c>
    </row>
    <row r="789" spans="1:1" x14ac:dyDescent="0.4">
      <c r="A789" s="12" t="str">
        <f t="shared" si="12"/>
        <v>01</v>
      </c>
    </row>
    <row r="790" spans="1:1" x14ac:dyDescent="0.4">
      <c r="A790" s="12" t="str">
        <f t="shared" si="12"/>
        <v>01</v>
      </c>
    </row>
    <row r="791" spans="1:1" x14ac:dyDescent="0.4">
      <c r="A791" s="12" t="str">
        <f t="shared" si="12"/>
        <v>01</v>
      </c>
    </row>
    <row r="792" spans="1:1" x14ac:dyDescent="0.4">
      <c r="A792" s="12" t="str">
        <f t="shared" si="12"/>
        <v>01</v>
      </c>
    </row>
    <row r="793" spans="1:1" x14ac:dyDescent="0.4">
      <c r="A793" s="12" t="str">
        <f t="shared" si="12"/>
        <v>01</v>
      </c>
    </row>
    <row r="794" spans="1:1" x14ac:dyDescent="0.4">
      <c r="A794" s="12" t="str">
        <f t="shared" si="12"/>
        <v>01</v>
      </c>
    </row>
    <row r="795" spans="1:1" x14ac:dyDescent="0.4">
      <c r="A795" s="12" t="str">
        <f t="shared" si="12"/>
        <v>01</v>
      </c>
    </row>
    <row r="796" spans="1:1" x14ac:dyDescent="0.4">
      <c r="A796" s="12" t="str">
        <f t="shared" si="12"/>
        <v>01</v>
      </c>
    </row>
    <row r="797" spans="1:1" x14ac:dyDescent="0.4">
      <c r="A797" s="12" t="str">
        <f t="shared" si="12"/>
        <v>01</v>
      </c>
    </row>
    <row r="798" spans="1:1" x14ac:dyDescent="0.4">
      <c r="A798" s="12" t="str">
        <f t="shared" si="12"/>
        <v>01</v>
      </c>
    </row>
    <row r="799" spans="1:1" x14ac:dyDescent="0.4">
      <c r="A799" s="12" t="str">
        <f t="shared" si="12"/>
        <v>01</v>
      </c>
    </row>
    <row r="800" spans="1:1" x14ac:dyDescent="0.4">
      <c r="A800" s="12" t="str">
        <f t="shared" si="12"/>
        <v>01</v>
      </c>
    </row>
    <row r="801" spans="1:1" x14ac:dyDescent="0.4">
      <c r="A801" s="12" t="str">
        <f t="shared" si="12"/>
        <v>01</v>
      </c>
    </row>
    <row r="802" spans="1:1" x14ac:dyDescent="0.4">
      <c r="A802" s="12" t="str">
        <f t="shared" si="12"/>
        <v>01</v>
      </c>
    </row>
    <row r="803" spans="1:1" x14ac:dyDescent="0.4">
      <c r="A803" s="12" t="str">
        <f t="shared" si="12"/>
        <v>01</v>
      </c>
    </row>
    <row r="804" spans="1:1" x14ac:dyDescent="0.4">
      <c r="A804" s="12" t="str">
        <f t="shared" si="12"/>
        <v>01</v>
      </c>
    </row>
    <row r="805" spans="1:1" x14ac:dyDescent="0.4">
      <c r="A805" s="12" t="str">
        <f t="shared" si="12"/>
        <v>01</v>
      </c>
    </row>
    <row r="806" spans="1:1" x14ac:dyDescent="0.4">
      <c r="A806" s="12" t="str">
        <f t="shared" si="12"/>
        <v>01</v>
      </c>
    </row>
    <row r="807" spans="1:1" x14ac:dyDescent="0.4">
      <c r="A807" s="12" t="str">
        <f t="shared" si="12"/>
        <v>01</v>
      </c>
    </row>
    <row r="808" spans="1:1" x14ac:dyDescent="0.4">
      <c r="A808" s="12" t="str">
        <f t="shared" si="12"/>
        <v>01</v>
      </c>
    </row>
    <row r="809" spans="1:1" x14ac:dyDescent="0.4">
      <c r="A809" s="12" t="str">
        <f t="shared" si="12"/>
        <v>01</v>
      </c>
    </row>
    <row r="810" spans="1:1" x14ac:dyDescent="0.4">
      <c r="A810" s="12" t="str">
        <f t="shared" si="12"/>
        <v>01</v>
      </c>
    </row>
    <row r="811" spans="1:1" x14ac:dyDescent="0.4">
      <c r="A811" s="12" t="str">
        <f t="shared" si="12"/>
        <v>01</v>
      </c>
    </row>
    <row r="812" spans="1:1" x14ac:dyDescent="0.4">
      <c r="A812" s="12" t="str">
        <f t="shared" si="12"/>
        <v>01</v>
      </c>
    </row>
    <row r="813" spans="1:1" x14ac:dyDescent="0.4">
      <c r="A813" s="12" t="str">
        <f t="shared" si="12"/>
        <v>01</v>
      </c>
    </row>
    <row r="814" spans="1:1" x14ac:dyDescent="0.4">
      <c r="A814" s="12" t="str">
        <f t="shared" si="12"/>
        <v>01</v>
      </c>
    </row>
    <row r="815" spans="1:1" x14ac:dyDescent="0.4">
      <c r="A815" s="12" t="str">
        <f t="shared" si="12"/>
        <v>01</v>
      </c>
    </row>
    <row r="816" spans="1:1" x14ac:dyDescent="0.4">
      <c r="A816" s="12" t="str">
        <f t="shared" si="12"/>
        <v>01</v>
      </c>
    </row>
    <row r="817" spans="1:1" x14ac:dyDescent="0.4">
      <c r="A817" s="12" t="str">
        <f t="shared" si="12"/>
        <v>01</v>
      </c>
    </row>
    <row r="818" spans="1:1" x14ac:dyDescent="0.4">
      <c r="A818" s="12" t="str">
        <f t="shared" si="12"/>
        <v>01</v>
      </c>
    </row>
    <row r="819" spans="1:1" x14ac:dyDescent="0.4">
      <c r="A819" s="12" t="str">
        <f t="shared" si="12"/>
        <v>01</v>
      </c>
    </row>
    <row r="820" spans="1:1" x14ac:dyDescent="0.4">
      <c r="A820" s="12" t="str">
        <f t="shared" si="12"/>
        <v>01</v>
      </c>
    </row>
    <row r="821" spans="1:1" x14ac:dyDescent="0.4">
      <c r="A821" s="12" t="str">
        <f t="shared" si="12"/>
        <v>01</v>
      </c>
    </row>
    <row r="822" spans="1:1" x14ac:dyDescent="0.4">
      <c r="A822" s="12" t="str">
        <f t="shared" si="12"/>
        <v>01</v>
      </c>
    </row>
    <row r="823" spans="1:1" x14ac:dyDescent="0.4">
      <c r="A823" s="12" t="str">
        <f t="shared" si="12"/>
        <v>01</v>
      </c>
    </row>
    <row r="824" spans="1:1" x14ac:dyDescent="0.4">
      <c r="A824" s="12" t="str">
        <f t="shared" si="12"/>
        <v>01</v>
      </c>
    </row>
    <row r="825" spans="1:1" x14ac:dyDescent="0.4">
      <c r="A825" s="12" t="str">
        <f t="shared" si="12"/>
        <v>01</v>
      </c>
    </row>
    <row r="826" spans="1:1" x14ac:dyDescent="0.4">
      <c r="A826" s="12" t="str">
        <f t="shared" si="12"/>
        <v>01</v>
      </c>
    </row>
    <row r="827" spans="1:1" x14ac:dyDescent="0.4">
      <c r="A827" s="12" t="str">
        <f t="shared" si="12"/>
        <v>01</v>
      </c>
    </row>
    <row r="828" spans="1:1" x14ac:dyDescent="0.4">
      <c r="A828" s="12" t="str">
        <f t="shared" si="12"/>
        <v>01</v>
      </c>
    </row>
    <row r="829" spans="1:1" x14ac:dyDescent="0.4">
      <c r="A829" s="12" t="str">
        <f t="shared" si="12"/>
        <v>01</v>
      </c>
    </row>
    <row r="830" spans="1:1" x14ac:dyDescent="0.4">
      <c r="A830" s="12" t="str">
        <f t="shared" si="12"/>
        <v>01</v>
      </c>
    </row>
    <row r="831" spans="1:1" x14ac:dyDescent="0.4">
      <c r="A831" s="12" t="str">
        <f t="shared" si="12"/>
        <v>01</v>
      </c>
    </row>
    <row r="832" spans="1:1" x14ac:dyDescent="0.4">
      <c r="A832" s="12" t="str">
        <f t="shared" si="12"/>
        <v>01</v>
      </c>
    </row>
    <row r="833" spans="1:1" x14ac:dyDescent="0.4">
      <c r="A833" s="12" t="str">
        <f t="shared" si="12"/>
        <v>01</v>
      </c>
    </row>
    <row r="834" spans="1:1" x14ac:dyDescent="0.4">
      <c r="A834" s="12" t="str">
        <f t="shared" si="12"/>
        <v>01</v>
      </c>
    </row>
    <row r="835" spans="1:1" x14ac:dyDescent="0.4">
      <c r="A835" s="12" t="str">
        <f t="shared" ref="A835:A898" si="13">TEXT(L835,"MM")</f>
        <v>01</v>
      </c>
    </row>
    <row r="836" spans="1:1" x14ac:dyDescent="0.4">
      <c r="A836" s="12" t="str">
        <f t="shared" si="13"/>
        <v>01</v>
      </c>
    </row>
    <row r="837" spans="1:1" x14ac:dyDescent="0.4">
      <c r="A837" s="12" t="str">
        <f t="shared" si="13"/>
        <v>01</v>
      </c>
    </row>
    <row r="838" spans="1:1" x14ac:dyDescent="0.4">
      <c r="A838" s="12" t="str">
        <f t="shared" si="13"/>
        <v>01</v>
      </c>
    </row>
    <row r="839" spans="1:1" x14ac:dyDescent="0.4">
      <c r="A839" s="12" t="str">
        <f t="shared" si="13"/>
        <v>01</v>
      </c>
    </row>
    <row r="840" spans="1:1" x14ac:dyDescent="0.4">
      <c r="A840" s="12" t="str">
        <f t="shared" si="13"/>
        <v>01</v>
      </c>
    </row>
    <row r="841" spans="1:1" x14ac:dyDescent="0.4">
      <c r="A841" s="12" t="str">
        <f t="shared" si="13"/>
        <v>01</v>
      </c>
    </row>
    <row r="842" spans="1:1" x14ac:dyDescent="0.4">
      <c r="A842" s="12" t="str">
        <f t="shared" si="13"/>
        <v>01</v>
      </c>
    </row>
    <row r="843" spans="1:1" x14ac:dyDescent="0.4">
      <c r="A843" s="12" t="str">
        <f t="shared" si="13"/>
        <v>01</v>
      </c>
    </row>
    <row r="844" spans="1:1" x14ac:dyDescent="0.4">
      <c r="A844" s="12" t="str">
        <f t="shared" si="13"/>
        <v>01</v>
      </c>
    </row>
    <row r="845" spans="1:1" x14ac:dyDescent="0.4">
      <c r="A845" s="12" t="str">
        <f t="shared" si="13"/>
        <v>01</v>
      </c>
    </row>
    <row r="846" spans="1:1" x14ac:dyDescent="0.4">
      <c r="A846" s="12" t="str">
        <f t="shared" si="13"/>
        <v>01</v>
      </c>
    </row>
    <row r="847" spans="1:1" x14ac:dyDescent="0.4">
      <c r="A847" s="12" t="str">
        <f t="shared" si="13"/>
        <v>01</v>
      </c>
    </row>
    <row r="848" spans="1:1" x14ac:dyDescent="0.4">
      <c r="A848" s="12" t="str">
        <f t="shared" si="13"/>
        <v>01</v>
      </c>
    </row>
    <row r="849" spans="1:1" x14ac:dyDescent="0.4">
      <c r="A849" s="12" t="str">
        <f t="shared" si="13"/>
        <v>01</v>
      </c>
    </row>
    <row r="850" spans="1:1" x14ac:dyDescent="0.4">
      <c r="A850" s="12" t="str">
        <f t="shared" si="13"/>
        <v>01</v>
      </c>
    </row>
    <row r="851" spans="1:1" x14ac:dyDescent="0.4">
      <c r="A851" s="12" t="str">
        <f t="shared" si="13"/>
        <v>01</v>
      </c>
    </row>
    <row r="852" spans="1:1" x14ac:dyDescent="0.4">
      <c r="A852" s="12" t="str">
        <f t="shared" si="13"/>
        <v>01</v>
      </c>
    </row>
    <row r="853" spans="1:1" x14ac:dyDescent="0.4">
      <c r="A853" s="12" t="str">
        <f t="shared" si="13"/>
        <v>01</v>
      </c>
    </row>
    <row r="854" spans="1:1" x14ac:dyDescent="0.4">
      <c r="A854" s="12" t="str">
        <f t="shared" si="13"/>
        <v>01</v>
      </c>
    </row>
    <row r="855" spans="1:1" x14ac:dyDescent="0.4">
      <c r="A855" s="12" t="str">
        <f t="shared" si="13"/>
        <v>01</v>
      </c>
    </row>
    <row r="856" spans="1:1" x14ac:dyDescent="0.4">
      <c r="A856" s="12" t="str">
        <f t="shared" si="13"/>
        <v>01</v>
      </c>
    </row>
    <row r="857" spans="1:1" x14ac:dyDescent="0.4">
      <c r="A857" s="12" t="str">
        <f t="shared" si="13"/>
        <v>01</v>
      </c>
    </row>
    <row r="858" spans="1:1" x14ac:dyDescent="0.4">
      <c r="A858" s="12" t="str">
        <f t="shared" si="13"/>
        <v>01</v>
      </c>
    </row>
    <row r="859" spans="1:1" x14ac:dyDescent="0.4">
      <c r="A859" s="12" t="str">
        <f t="shared" si="13"/>
        <v>01</v>
      </c>
    </row>
    <row r="860" spans="1:1" x14ac:dyDescent="0.4">
      <c r="A860" s="12" t="str">
        <f t="shared" si="13"/>
        <v>01</v>
      </c>
    </row>
    <row r="861" spans="1:1" x14ac:dyDescent="0.4">
      <c r="A861" s="12" t="str">
        <f t="shared" si="13"/>
        <v>01</v>
      </c>
    </row>
    <row r="862" spans="1:1" x14ac:dyDescent="0.4">
      <c r="A862" s="12" t="str">
        <f t="shared" si="13"/>
        <v>01</v>
      </c>
    </row>
    <row r="863" spans="1:1" x14ac:dyDescent="0.4">
      <c r="A863" s="12" t="str">
        <f t="shared" si="13"/>
        <v>01</v>
      </c>
    </row>
    <row r="864" spans="1:1" x14ac:dyDescent="0.4">
      <c r="A864" s="12" t="str">
        <f t="shared" si="13"/>
        <v>01</v>
      </c>
    </row>
    <row r="865" spans="1:1" x14ac:dyDescent="0.4">
      <c r="A865" s="12" t="str">
        <f t="shared" si="13"/>
        <v>01</v>
      </c>
    </row>
    <row r="866" spans="1:1" x14ac:dyDescent="0.4">
      <c r="A866" s="12" t="str">
        <f t="shared" si="13"/>
        <v>01</v>
      </c>
    </row>
    <row r="867" spans="1:1" x14ac:dyDescent="0.4">
      <c r="A867" s="12" t="str">
        <f t="shared" si="13"/>
        <v>01</v>
      </c>
    </row>
    <row r="868" spans="1:1" x14ac:dyDescent="0.4">
      <c r="A868" s="12" t="str">
        <f t="shared" si="13"/>
        <v>01</v>
      </c>
    </row>
    <row r="869" spans="1:1" x14ac:dyDescent="0.4">
      <c r="A869" s="12" t="str">
        <f t="shared" si="13"/>
        <v>01</v>
      </c>
    </row>
    <row r="870" spans="1:1" x14ac:dyDescent="0.4">
      <c r="A870" s="12" t="str">
        <f t="shared" si="13"/>
        <v>01</v>
      </c>
    </row>
    <row r="871" spans="1:1" x14ac:dyDescent="0.4">
      <c r="A871" s="12" t="str">
        <f t="shared" si="13"/>
        <v>01</v>
      </c>
    </row>
    <row r="872" spans="1:1" x14ac:dyDescent="0.4">
      <c r="A872" s="12" t="str">
        <f t="shared" si="13"/>
        <v>01</v>
      </c>
    </row>
    <row r="873" spans="1:1" x14ac:dyDescent="0.4">
      <c r="A873" s="12" t="str">
        <f t="shared" si="13"/>
        <v>01</v>
      </c>
    </row>
    <row r="874" spans="1:1" x14ac:dyDescent="0.4">
      <c r="A874" s="12" t="str">
        <f t="shared" si="13"/>
        <v>01</v>
      </c>
    </row>
    <row r="875" spans="1:1" x14ac:dyDescent="0.4">
      <c r="A875" s="12" t="str">
        <f t="shared" si="13"/>
        <v>01</v>
      </c>
    </row>
    <row r="876" spans="1:1" x14ac:dyDescent="0.4">
      <c r="A876" s="12" t="str">
        <f t="shared" si="13"/>
        <v>01</v>
      </c>
    </row>
    <row r="877" spans="1:1" x14ac:dyDescent="0.4">
      <c r="A877" s="12" t="str">
        <f t="shared" si="13"/>
        <v>01</v>
      </c>
    </row>
    <row r="878" spans="1:1" x14ac:dyDescent="0.4">
      <c r="A878" s="12" t="str">
        <f t="shared" si="13"/>
        <v>01</v>
      </c>
    </row>
    <row r="879" spans="1:1" x14ac:dyDescent="0.4">
      <c r="A879" s="12" t="str">
        <f t="shared" si="13"/>
        <v>01</v>
      </c>
    </row>
    <row r="880" spans="1:1" x14ac:dyDescent="0.4">
      <c r="A880" s="12" t="str">
        <f t="shared" si="13"/>
        <v>01</v>
      </c>
    </row>
    <row r="881" spans="1:1" x14ac:dyDescent="0.4">
      <c r="A881" s="12" t="str">
        <f t="shared" si="13"/>
        <v>01</v>
      </c>
    </row>
    <row r="882" spans="1:1" x14ac:dyDescent="0.4">
      <c r="A882" s="12" t="str">
        <f t="shared" si="13"/>
        <v>01</v>
      </c>
    </row>
    <row r="883" spans="1:1" x14ac:dyDescent="0.4">
      <c r="A883" s="12" t="str">
        <f t="shared" si="13"/>
        <v>01</v>
      </c>
    </row>
    <row r="884" spans="1:1" x14ac:dyDescent="0.4">
      <c r="A884" s="12" t="str">
        <f t="shared" si="13"/>
        <v>01</v>
      </c>
    </row>
    <row r="885" spans="1:1" x14ac:dyDescent="0.4">
      <c r="A885" s="12" t="str">
        <f t="shared" si="13"/>
        <v>01</v>
      </c>
    </row>
    <row r="886" spans="1:1" x14ac:dyDescent="0.4">
      <c r="A886" s="12" t="str">
        <f t="shared" si="13"/>
        <v>01</v>
      </c>
    </row>
    <row r="887" spans="1:1" x14ac:dyDescent="0.4">
      <c r="A887" s="12" t="str">
        <f t="shared" si="13"/>
        <v>01</v>
      </c>
    </row>
    <row r="888" spans="1:1" x14ac:dyDescent="0.4">
      <c r="A888" s="12" t="str">
        <f t="shared" si="13"/>
        <v>01</v>
      </c>
    </row>
    <row r="889" spans="1:1" x14ac:dyDescent="0.4">
      <c r="A889" s="12" t="str">
        <f t="shared" si="13"/>
        <v>01</v>
      </c>
    </row>
    <row r="890" spans="1:1" x14ac:dyDescent="0.4">
      <c r="A890" s="12" t="str">
        <f t="shared" si="13"/>
        <v>01</v>
      </c>
    </row>
    <row r="891" spans="1:1" x14ac:dyDescent="0.4">
      <c r="A891" s="12" t="str">
        <f t="shared" si="13"/>
        <v>01</v>
      </c>
    </row>
    <row r="892" spans="1:1" x14ac:dyDescent="0.4">
      <c r="A892" s="12" t="str">
        <f t="shared" si="13"/>
        <v>01</v>
      </c>
    </row>
    <row r="893" spans="1:1" x14ac:dyDescent="0.4">
      <c r="A893" s="12" t="str">
        <f t="shared" si="13"/>
        <v>01</v>
      </c>
    </row>
    <row r="894" spans="1:1" x14ac:dyDescent="0.4">
      <c r="A894" s="12" t="str">
        <f t="shared" si="13"/>
        <v>01</v>
      </c>
    </row>
    <row r="895" spans="1:1" x14ac:dyDescent="0.4">
      <c r="A895" s="12" t="str">
        <f t="shared" si="13"/>
        <v>01</v>
      </c>
    </row>
    <row r="896" spans="1:1" x14ac:dyDescent="0.4">
      <c r="A896" s="12" t="str">
        <f t="shared" si="13"/>
        <v>01</v>
      </c>
    </row>
    <row r="897" spans="1:1" x14ac:dyDescent="0.4">
      <c r="A897" s="12" t="str">
        <f t="shared" si="13"/>
        <v>01</v>
      </c>
    </row>
    <row r="898" spans="1:1" x14ac:dyDescent="0.4">
      <c r="A898" s="12" t="str">
        <f t="shared" si="13"/>
        <v>01</v>
      </c>
    </row>
    <row r="899" spans="1:1" x14ac:dyDescent="0.4">
      <c r="A899" s="12" t="str">
        <f t="shared" ref="A899:A962" si="14">TEXT(L899,"MM")</f>
        <v>01</v>
      </c>
    </row>
    <row r="900" spans="1:1" x14ac:dyDescent="0.4">
      <c r="A900" s="12" t="str">
        <f t="shared" si="14"/>
        <v>01</v>
      </c>
    </row>
    <row r="901" spans="1:1" x14ac:dyDescent="0.4">
      <c r="A901" s="12" t="str">
        <f t="shared" si="14"/>
        <v>01</v>
      </c>
    </row>
    <row r="902" spans="1:1" x14ac:dyDescent="0.4">
      <c r="A902" s="12" t="str">
        <f t="shared" si="14"/>
        <v>01</v>
      </c>
    </row>
    <row r="903" spans="1:1" x14ac:dyDescent="0.4">
      <c r="A903" s="12" t="str">
        <f t="shared" si="14"/>
        <v>01</v>
      </c>
    </row>
    <row r="904" spans="1:1" x14ac:dyDescent="0.4">
      <c r="A904" s="12" t="str">
        <f t="shared" si="14"/>
        <v>01</v>
      </c>
    </row>
    <row r="905" spans="1:1" x14ac:dyDescent="0.4">
      <c r="A905" s="12" t="str">
        <f t="shared" si="14"/>
        <v>01</v>
      </c>
    </row>
    <row r="906" spans="1:1" x14ac:dyDescent="0.4">
      <c r="A906" s="12" t="str">
        <f t="shared" si="14"/>
        <v>01</v>
      </c>
    </row>
    <row r="907" spans="1:1" x14ac:dyDescent="0.4">
      <c r="A907" s="12" t="str">
        <f t="shared" si="14"/>
        <v>01</v>
      </c>
    </row>
    <row r="908" spans="1:1" x14ac:dyDescent="0.4">
      <c r="A908" s="12" t="str">
        <f t="shared" si="14"/>
        <v>01</v>
      </c>
    </row>
    <row r="909" spans="1:1" x14ac:dyDescent="0.4">
      <c r="A909" s="12" t="str">
        <f t="shared" si="14"/>
        <v>01</v>
      </c>
    </row>
    <row r="910" spans="1:1" x14ac:dyDescent="0.4">
      <c r="A910" s="12" t="str">
        <f t="shared" si="14"/>
        <v>01</v>
      </c>
    </row>
    <row r="911" spans="1:1" x14ac:dyDescent="0.4">
      <c r="A911" s="12" t="str">
        <f t="shared" si="14"/>
        <v>01</v>
      </c>
    </row>
    <row r="912" spans="1:1" x14ac:dyDescent="0.4">
      <c r="A912" s="12" t="str">
        <f t="shared" si="14"/>
        <v>01</v>
      </c>
    </row>
    <row r="913" spans="1:1" x14ac:dyDescent="0.4">
      <c r="A913" s="12" t="str">
        <f t="shared" si="14"/>
        <v>01</v>
      </c>
    </row>
    <row r="914" spans="1:1" x14ac:dyDescent="0.4">
      <c r="A914" s="12" t="str">
        <f t="shared" si="14"/>
        <v>01</v>
      </c>
    </row>
    <row r="915" spans="1:1" x14ac:dyDescent="0.4">
      <c r="A915" s="12" t="str">
        <f t="shared" si="14"/>
        <v>01</v>
      </c>
    </row>
    <row r="916" spans="1:1" x14ac:dyDescent="0.4">
      <c r="A916" s="12" t="str">
        <f t="shared" si="14"/>
        <v>01</v>
      </c>
    </row>
    <row r="917" spans="1:1" x14ac:dyDescent="0.4">
      <c r="A917" s="12" t="str">
        <f t="shared" si="14"/>
        <v>01</v>
      </c>
    </row>
    <row r="918" spans="1:1" x14ac:dyDescent="0.4">
      <c r="A918" s="12" t="str">
        <f t="shared" si="14"/>
        <v>01</v>
      </c>
    </row>
    <row r="919" spans="1:1" x14ac:dyDescent="0.4">
      <c r="A919" s="12" t="str">
        <f t="shared" si="14"/>
        <v>01</v>
      </c>
    </row>
    <row r="920" spans="1:1" x14ac:dyDescent="0.4">
      <c r="A920" s="12" t="str">
        <f t="shared" si="14"/>
        <v>01</v>
      </c>
    </row>
    <row r="921" spans="1:1" x14ac:dyDescent="0.4">
      <c r="A921" s="12" t="str">
        <f t="shared" si="14"/>
        <v>01</v>
      </c>
    </row>
    <row r="922" spans="1:1" x14ac:dyDescent="0.4">
      <c r="A922" s="12" t="str">
        <f t="shared" si="14"/>
        <v>01</v>
      </c>
    </row>
    <row r="923" spans="1:1" x14ac:dyDescent="0.4">
      <c r="A923" s="12" t="str">
        <f t="shared" si="14"/>
        <v>01</v>
      </c>
    </row>
    <row r="924" spans="1:1" x14ac:dyDescent="0.4">
      <c r="A924" s="12" t="str">
        <f t="shared" si="14"/>
        <v>01</v>
      </c>
    </row>
    <row r="925" spans="1:1" x14ac:dyDescent="0.4">
      <c r="A925" s="12" t="str">
        <f t="shared" si="14"/>
        <v>01</v>
      </c>
    </row>
    <row r="926" spans="1:1" x14ac:dyDescent="0.4">
      <c r="A926" s="12" t="str">
        <f t="shared" si="14"/>
        <v>01</v>
      </c>
    </row>
    <row r="927" spans="1:1" x14ac:dyDescent="0.4">
      <c r="A927" s="12" t="str">
        <f t="shared" si="14"/>
        <v>01</v>
      </c>
    </row>
    <row r="928" spans="1:1" x14ac:dyDescent="0.4">
      <c r="A928" s="12" t="str">
        <f t="shared" si="14"/>
        <v>01</v>
      </c>
    </row>
    <row r="929" spans="1:1" x14ac:dyDescent="0.4">
      <c r="A929" s="12" t="str">
        <f t="shared" si="14"/>
        <v>01</v>
      </c>
    </row>
    <row r="930" spans="1:1" x14ac:dyDescent="0.4">
      <c r="A930" s="12" t="str">
        <f t="shared" si="14"/>
        <v>01</v>
      </c>
    </row>
    <row r="931" spans="1:1" x14ac:dyDescent="0.4">
      <c r="A931" s="12" t="str">
        <f t="shared" si="14"/>
        <v>01</v>
      </c>
    </row>
    <row r="932" spans="1:1" x14ac:dyDescent="0.4">
      <c r="A932" s="12" t="str">
        <f t="shared" si="14"/>
        <v>01</v>
      </c>
    </row>
    <row r="933" spans="1:1" x14ac:dyDescent="0.4">
      <c r="A933" s="12" t="str">
        <f t="shared" si="14"/>
        <v>01</v>
      </c>
    </row>
    <row r="934" spans="1:1" x14ac:dyDescent="0.4">
      <c r="A934" s="12" t="str">
        <f t="shared" si="14"/>
        <v>01</v>
      </c>
    </row>
    <row r="935" spans="1:1" x14ac:dyDescent="0.4">
      <c r="A935" s="12" t="str">
        <f t="shared" si="14"/>
        <v>01</v>
      </c>
    </row>
    <row r="936" spans="1:1" x14ac:dyDescent="0.4">
      <c r="A936" s="12" t="str">
        <f t="shared" si="14"/>
        <v>01</v>
      </c>
    </row>
    <row r="937" spans="1:1" x14ac:dyDescent="0.4">
      <c r="A937" s="12" t="str">
        <f t="shared" si="14"/>
        <v>01</v>
      </c>
    </row>
    <row r="938" spans="1:1" x14ac:dyDescent="0.4">
      <c r="A938" s="12" t="str">
        <f t="shared" si="14"/>
        <v>01</v>
      </c>
    </row>
    <row r="939" spans="1:1" x14ac:dyDescent="0.4">
      <c r="A939" s="12" t="str">
        <f t="shared" si="14"/>
        <v>01</v>
      </c>
    </row>
    <row r="940" spans="1:1" x14ac:dyDescent="0.4">
      <c r="A940" s="12" t="str">
        <f t="shared" si="14"/>
        <v>01</v>
      </c>
    </row>
    <row r="941" spans="1:1" x14ac:dyDescent="0.4">
      <c r="A941" s="12" t="str">
        <f t="shared" si="14"/>
        <v>01</v>
      </c>
    </row>
    <row r="942" spans="1:1" x14ac:dyDescent="0.4">
      <c r="A942" s="12" t="str">
        <f t="shared" si="14"/>
        <v>01</v>
      </c>
    </row>
    <row r="943" spans="1:1" x14ac:dyDescent="0.4">
      <c r="A943" s="12" t="str">
        <f t="shared" si="14"/>
        <v>01</v>
      </c>
    </row>
    <row r="944" spans="1:1" x14ac:dyDescent="0.4">
      <c r="A944" s="12" t="str">
        <f t="shared" si="14"/>
        <v>01</v>
      </c>
    </row>
    <row r="945" spans="1:1" x14ac:dyDescent="0.4">
      <c r="A945" s="12" t="str">
        <f t="shared" si="14"/>
        <v>01</v>
      </c>
    </row>
    <row r="946" spans="1:1" x14ac:dyDescent="0.4">
      <c r="A946" s="12" t="str">
        <f t="shared" si="14"/>
        <v>01</v>
      </c>
    </row>
    <row r="947" spans="1:1" x14ac:dyDescent="0.4">
      <c r="A947" s="12" t="str">
        <f t="shared" si="14"/>
        <v>01</v>
      </c>
    </row>
    <row r="948" spans="1:1" x14ac:dyDescent="0.4">
      <c r="A948" s="12" t="str">
        <f t="shared" si="14"/>
        <v>01</v>
      </c>
    </row>
    <row r="949" spans="1:1" x14ac:dyDescent="0.4">
      <c r="A949" s="12" t="str">
        <f t="shared" si="14"/>
        <v>01</v>
      </c>
    </row>
    <row r="950" spans="1:1" x14ac:dyDescent="0.4">
      <c r="A950" s="12" t="str">
        <f t="shared" si="14"/>
        <v>01</v>
      </c>
    </row>
    <row r="951" spans="1:1" x14ac:dyDescent="0.4">
      <c r="A951" s="12" t="str">
        <f t="shared" si="14"/>
        <v>01</v>
      </c>
    </row>
    <row r="952" spans="1:1" x14ac:dyDescent="0.4">
      <c r="A952" s="12" t="str">
        <f t="shared" si="14"/>
        <v>01</v>
      </c>
    </row>
    <row r="953" spans="1:1" x14ac:dyDescent="0.4">
      <c r="A953" s="12" t="str">
        <f t="shared" si="14"/>
        <v>01</v>
      </c>
    </row>
    <row r="954" spans="1:1" x14ac:dyDescent="0.4">
      <c r="A954" s="12" t="str">
        <f t="shared" si="14"/>
        <v>01</v>
      </c>
    </row>
    <row r="955" spans="1:1" x14ac:dyDescent="0.4">
      <c r="A955" s="12" t="str">
        <f t="shared" si="14"/>
        <v>01</v>
      </c>
    </row>
    <row r="956" spans="1:1" x14ac:dyDescent="0.4">
      <c r="A956" s="12" t="str">
        <f t="shared" si="14"/>
        <v>01</v>
      </c>
    </row>
    <row r="957" spans="1:1" x14ac:dyDescent="0.4">
      <c r="A957" s="12" t="str">
        <f t="shared" si="14"/>
        <v>01</v>
      </c>
    </row>
    <row r="958" spans="1:1" x14ac:dyDescent="0.4">
      <c r="A958" s="12" t="str">
        <f t="shared" si="14"/>
        <v>01</v>
      </c>
    </row>
    <row r="959" spans="1:1" x14ac:dyDescent="0.4">
      <c r="A959" s="12" t="str">
        <f t="shared" si="14"/>
        <v>01</v>
      </c>
    </row>
    <row r="960" spans="1:1" x14ac:dyDescent="0.4">
      <c r="A960" s="12" t="str">
        <f t="shared" si="14"/>
        <v>01</v>
      </c>
    </row>
    <row r="961" spans="1:1" x14ac:dyDescent="0.4">
      <c r="A961" s="12" t="str">
        <f t="shared" si="14"/>
        <v>01</v>
      </c>
    </row>
    <row r="962" spans="1:1" x14ac:dyDescent="0.4">
      <c r="A962" s="12" t="str">
        <f t="shared" si="14"/>
        <v>01</v>
      </c>
    </row>
    <row r="963" spans="1:1" x14ac:dyDescent="0.4">
      <c r="A963" s="12" t="str">
        <f t="shared" ref="A963:A1026" si="15">TEXT(L963,"MM")</f>
        <v>01</v>
      </c>
    </row>
    <row r="964" spans="1:1" x14ac:dyDescent="0.4">
      <c r="A964" s="12" t="str">
        <f t="shared" si="15"/>
        <v>01</v>
      </c>
    </row>
    <row r="965" spans="1:1" x14ac:dyDescent="0.4">
      <c r="A965" s="12" t="str">
        <f t="shared" si="15"/>
        <v>01</v>
      </c>
    </row>
    <row r="966" spans="1:1" x14ac:dyDescent="0.4">
      <c r="A966" s="12" t="str">
        <f t="shared" si="15"/>
        <v>01</v>
      </c>
    </row>
    <row r="967" spans="1:1" x14ac:dyDescent="0.4">
      <c r="A967" s="12" t="str">
        <f t="shared" si="15"/>
        <v>01</v>
      </c>
    </row>
    <row r="968" spans="1:1" x14ac:dyDescent="0.4">
      <c r="A968" s="12" t="str">
        <f t="shared" si="15"/>
        <v>01</v>
      </c>
    </row>
    <row r="969" spans="1:1" x14ac:dyDescent="0.4">
      <c r="A969" s="12" t="str">
        <f t="shared" si="15"/>
        <v>01</v>
      </c>
    </row>
    <row r="970" spans="1:1" x14ac:dyDescent="0.4">
      <c r="A970" s="12" t="str">
        <f t="shared" si="15"/>
        <v>01</v>
      </c>
    </row>
    <row r="971" spans="1:1" x14ac:dyDescent="0.4">
      <c r="A971" s="12" t="str">
        <f t="shared" si="15"/>
        <v>01</v>
      </c>
    </row>
    <row r="972" spans="1:1" x14ac:dyDescent="0.4">
      <c r="A972" s="12" t="str">
        <f t="shared" si="15"/>
        <v>01</v>
      </c>
    </row>
    <row r="973" spans="1:1" x14ac:dyDescent="0.4">
      <c r="A973" s="12" t="str">
        <f t="shared" si="15"/>
        <v>01</v>
      </c>
    </row>
    <row r="974" spans="1:1" x14ac:dyDescent="0.4">
      <c r="A974" s="12" t="str">
        <f t="shared" si="15"/>
        <v>01</v>
      </c>
    </row>
    <row r="975" spans="1:1" x14ac:dyDescent="0.4">
      <c r="A975" s="12" t="str">
        <f t="shared" si="15"/>
        <v>01</v>
      </c>
    </row>
    <row r="976" spans="1:1" x14ac:dyDescent="0.4">
      <c r="A976" s="12" t="str">
        <f t="shared" si="15"/>
        <v>01</v>
      </c>
    </row>
    <row r="977" spans="1:1" x14ac:dyDescent="0.4">
      <c r="A977" s="12" t="str">
        <f t="shared" si="15"/>
        <v>01</v>
      </c>
    </row>
    <row r="978" spans="1:1" x14ac:dyDescent="0.4">
      <c r="A978" s="12" t="str">
        <f t="shared" si="15"/>
        <v>01</v>
      </c>
    </row>
    <row r="979" spans="1:1" x14ac:dyDescent="0.4">
      <c r="A979" s="12" t="str">
        <f t="shared" si="15"/>
        <v>01</v>
      </c>
    </row>
    <row r="980" spans="1:1" x14ac:dyDescent="0.4">
      <c r="A980" s="12" t="str">
        <f t="shared" si="15"/>
        <v>01</v>
      </c>
    </row>
    <row r="981" spans="1:1" x14ac:dyDescent="0.4">
      <c r="A981" s="12" t="str">
        <f t="shared" si="15"/>
        <v>01</v>
      </c>
    </row>
    <row r="982" spans="1:1" x14ac:dyDescent="0.4">
      <c r="A982" s="12" t="str">
        <f t="shared" si="15"/>
        <v>01</v>
      </c>
    </row>
    <row r="983" spans="1:1" x14ac:dyDescent="0.4">
      <c r="A983" s="12" t="str">
        <f t="shared" si="15"/>
        <v>01</v>
      </c>
    </row>
    <row r="984" spans="1:1" x14ac:dyDescent="0.4">
      <c r="A984" s="12" t="str">
        <f t="shared" si="15"/>
        <v>01</v>
      </c>
    </row>
    <row r="985" spans="1:1" x14ac:dyDescent="0.4">
      <c r="A985" s="12" t="str">
        <f t="shared" si="15"/>
        <v>01</v>
      </c>
    </row>
    <row r="986" spans="1:1" x14ac:dyDescent="0.4">
      <c r="A986" s="12" t="str">
        <f t="shared" si="15"/>
        <v>01</v>
      </c>
    </row>
    <row r="987" spans="1:1" x14ac:dyDescent="0.4">
      <c r="A987" s="12" t="str">
        <f t="shared" si="15"/>
        <v>01</v>
      </c>
    </row>
    <row r="988" spans="1:1" x14ac:dyDescent="0.4">
      <c r="A988" s="12" t="str">
        <f t="shared" si="15"/>
        <v>01</v>
      </c>
    </row>
    <row r="989" spans="1:1" x14ac:dyDescent="0.4">
      <c r="A989" s="12" t="str">
        <f t="shared" si="15"/>
        <v>01</v>
      </c>
    </row>
    <row r="990" spans="1:1" x14ac:dyDescent="0.4">
      <c r="A990" s="12" t="str">
        <f t="shared" si="15"/>
        <v>01</v>
      </c>
    </row>
    <row r="991" spans="1:1" x14ac:dyDescent="0.4">
      <c r="A991" s="12" t="str">
        <f t="shared" si="15"/>
        <v>01</v>
      </c>
    </row>
    <row r="992" spans="1:1" x14ac:dyDescent="0.4">
      <c r="A992" s="12" t="str">
        <f t="shared" si="15"/>
        <v>01</v>
      </c>
    </row>
    <row r="993" spans="1:1" x14ac:dyDescent="0.4">
      <c r="A993" s="12" t="str">
        <f t="shared" si="15"/>
        <v>01</v>
      </c>
    </row>
    <row r="994" spans="1:1" x14ac:dyDescent="0.4">
      <c r="A994" s="12" t="str">
        <f t="shared" si="15"/>
        <v>01</v>
      </c>
    </row>
    <row r="995" spans="1:1" x14ac:dyDescent="0.4">
      <c r="A995" s="12" t="str">
        <f t="shared" si="15"/>
        <v>01</v>
      </c>
    </row>
    <row r="996" spans="1:1" x14ac:dyDescent="0.4">
      <c r="A996" s="12" t="str">
        <f t="shared" si="15"/>
        <v>01</v>
      </c>
    </row>
    <row r="997" spans="1:1" x14ac:dyDescent="0.4">
      <c r="A997" s="12" t="str">
        <f t="shared" si="15"/>
        <v>01</v>
      </c>
    </row>
    <row r="998" spans="1:1" x14ac:dyDescent="0.4">
      <c r="A998" s="12" t="str">
        <f t="shared" si="15"/>
        <v>01</v>
      </c>
    </row>
    <row r="999" spans="1:1" x14ac:dyDescent="0.4">
      <c r="A999" s="12" t="str">
        <f t="shared" si="15"/>
        <v>01</v>
      </c>
    </row>
    <row r="1000" spans="1:1" x14ac:dyDescent="0.4">
      <c r="A1000" s="12" t="str">
        <f t="shared" si="15"/>
        <v>01</v>
      </c>
    </row>
    <row r="1001" spans="1:1" x14ac:dyDescent="0.4">
      <c r="A1001" s="12" t="str">
        <f t="shared" si="15"/>
        <v>01</v>
      </c>
    </row>
    <row r="1002" spans="1:1" x14ac:dyDescent="0.4">
      <c r="A1002" s="12" t="str">
        <f t="shared" si="15"/>
        <v>01</v>
      </c>
    </row>
    <row r="1003" spans="1:1" x14ac:dyDescent="0.4">
      <c r="A1003" s="12" t="str">
        <f t="shared" si="15"/>
        <v>01</v>
      </c>
    </row>
    <row r="1004" spans="1:1" x14ac:dyDescent="0.4">
      <c r="A1004" s="12" t="str">
        <f t="shared" si="15"/>
        <v>01</v>
      </c>
    </row>
    <row r="1005" spans="1:1" x14ac:dyDescent="0.4">
      <c r="A1005" s="12" t="str">
        <f t="shared" si="15"/>
        <v>01</v>
      </c>
    </row>
    <row r="1006" spans="1:1" x14ac:dyDescent="0.4">
      <c r="A1006" s="12" t="str">
        <f t="shared" si="15"/>
        <v>01</v>
      </c>
    </row>
    <row r="1007" spans="1:1" x14ac:dyDescent="0.4">
      <c r="A1007" s="12" t="str">
        <f t="shared" si="15"/>
        <v>01</v>
      </c>
    </row>
    <row r="1008" spans="1:1" x14ac:dyDescent="0.4">
      <c r="A1008" s="12" t="str">
        <f t="shared" si="15"/>
        <v>01</v>
      </c>
    </row>
    <row r="1009" spans="1:1" x14ac:dyDescent="0.4">
      <c r="A1009" s="12" t="str">
        <f t="shared" si="15"/>
        <v>01</v>
      </c>
    </row>
    <row r="1010" spans="1:1" x14ac:dyDescent="0.4">
      <c r="A1010" s="12" t="str">
        <f t="shared" si="15"/>
        <v>01</v>
      </c>
    </row>
    <row r="1011" spans="1:1" x14ac:dyDescent="0.4">
      <c r="A1011" s="12" t="str">
        <f t="shared" si="15"/>
        <v>01</v>
      </c>
    </row>
    <row r="1012" spans="1:1" x14ac:dyDescent="0.4">
      <c r="A1012" s="12" t="str">
        <f t="shared" si="15"/>
        <v>01</v>
      </c>
    </row>
    <row r="1013" spans="1:1" x14ac:dyDescent="0.4">
      <c r="A1013" s="12" t="str">
        <f t="shared" si="15"/>
        <v>01</v>
      </c>
    </row>
    <row r="1014" spans="1:1" x14ac:dyDescent="0.4">
      <c r="A1014" s="12" t="str">
        <f t="shared" si="15"/>
        <v>01</v>
      </c>
    </row>
    <row r="1015" spans="1:1" x14ac:dyDescent="0.4">
      <c r="A1015" s="12" t="str">
        <f t="shared" si="15"/>
        <v>01</v>
      </c>
    </row>
    <row r="1016" spans="1:1" x14ac:dyDescent="0.4">
      <c r="A1016" s="12" t="str">
        <f t="shared" si="15"/>
        <v>01</v>
      </c>
    </row>
    <row r="1017" spans="1:1" x14ac:dyDescent="0.4">
      <c r="A1017" s="12" t="str">
        <f t="shared" si="15"/>
        <v>01</v>
      </c>
    </row>
    <row r="1018" spans="1:1" x14ac:dyDescent="0.4">
      <c r="A1018" s="12" t="str">
        <f t="shared" si="15"/>
        <v>01</v>
      </c>
    </row>
    <row r="1019" spans="1:1" x14ac:dyDescent="0.4">
      <c r="A1019" s="12" t="str">
        <f t="shared" si="15"/>
        <v>01</v>
      </c>
    </row>
    <row r="1020" spans="1:1" x14ac:dyDescent="0.4">
      <c r="A1020" s="12" t="str">
        <f t="shared" si="15"/>
        <v>01</v>
      </c>
    </row>
    <row r="1021" spans="1:1" x14ac:dyDescent="0.4">
      <c r="A1021" s="12" t="str">
        <f t="shared" si="15"/>
        <v>01</v>
      </c>
    </row>
    <row r="1022" spans="1:1" x14ac:dyDescent="0.4">
      <c r="A1022" s="12" t="str">
        <f t="shared" si="15"/>
        <v>01</v>
      </c>
    </row>
    <row r="1023" spans="1:1" x14ac:dyDescent="0.4">
      <c r="A1023" s="12" t="str">
        <f t="shared" si="15"/>
        <v>01</v>
      </c>
    </row>
    <row r="1024" spans="1:1" x14ac:dyDescent="0.4">
      <c r="A1024" s="12" t="str">
        <f t="shared" si="15"/>
        <v>01</v>
      </c>
    </row>
    <row r="1025" spans="1:1" x14ac:dyDescent="0.4">
      <c r="A1025" s="12" t="str">
        <f t="shared" si="15"/>
        <v>01</v>
      </c>
    </row>
    <row r="1026" spans="1:1" x14ac:dyDescent="0.4">
      <c r="A1026" s="12" t="str">
        <f t="shared" si="15"/>
        <v>01</v>
      </c>
    </row>
    <row r="1027" spans="1:1" x14ac:dyDescent="0.4">
      <c r="A1027" s="12" t="str">
        <f t="shared" ref="A1027:A1090" si="16">TEXT(L1027,"MM")</f>
        <v>01</v>
      </c>
    </row>
    <row r="1028" spans="1:1" x14ac:dyDescent="0.4">
      <c r="A1028" s="12" t="str">
        <f t="shared" si="16"/>
        <v>01</v>
      </c>
    </row>
    <row r="1029" spans="1:1" x14ac:dyDescent="0.4">
      <c r="A1029" s="12" t="str">
        <f t="shared" si="16"/>
        <v>01</v>
      </c>
    </row>
    <row r="1030" spans="1:1" x14ac:dyDescent="0.4">
      <c r="A1030" s="12" t="str">
        <f t="shared" si="16"/>
        <v>01</v>
      </c>
    </row>
    <row r="1031" spans="1:1" x14ac:dyDescent="0.4">
      <c r="A1031" s="12" t="str">
        <f t="shared" si="16"/>
        <v>01</v>
      </c>
    </row>
    <row r="1032" spans="1:1" x14ac:dyDescent="0.4">
      <c r="A1032" s="12" t="str">
        <f t="shared" si="16"/>
        <v>01</v>
      </c>
    </row>
    <row r="1033" spans="1:1" x14ac:dyDescent="0.4">
      <c r="A1033" s="12" t="str">
        <f t="shared" si="16"/>
        <v>01</v>
      </c>
    </row>
    <row r="1034" spans="1:1" x14ac:dyDescent="0.4">
      <c r="A1034" s="12" t="str">
        <f t="shared" si="16"/>
        <v>01</v>
      </c>
    </row>
    <row r="1035" spans="1:1" x14ac:dyDescent="0.4">
      <c r="A1035" s="12" t="str">
        <f t="shared" si="16"/>
        <v>01</v>
      </c>
    </row>
    <row r="1036" spans="1:1" x14ac:dyDescent="0.4">
      <c r="A1036" s="12" t="str">
        <f t="shared" si="16"/>
        <v>01</v>
      </c>
    </row>
    <row r="1037" spans="1:1" x14ac:dyDescent="0.4">
      <c r="A1037" s="12" t="str">
        <f t="shared" si="16"/>
        <v>01</v>
      </c>
    </row>
    <row r="1038" spans="1:1" x14ac:dyDescent="0.4">
      <c r="A1038" s="12" t="str">
        <f t="shared" si="16"/>
        <v>01</v>
      </c>
    </row>
    <row r="1039" spans="1:1" x14ac:dyDescent="0.4">
      <c r="A1039" s="12" t="str">
        <f t="shared" si="16"/>
        <v>01</v>
      </c>
    </row>
    <row r="1040" spans="1:1" x14ac:dyDescent="0.4">
      <c r="A1040" s="12" t="str">
        <f t="shared" si="16"/>
        <v>01</v>
      </c>
    </row>
    <row r="1041" spans="1:1" x14ac:dyDescent="0.4">
      <c r="A1041" s="12" t="str">
        <f t="shared" si="16"/>
        <v>01</v>
      </c>
    </row>
    <row r="1042" spans="1:1" x14ac:dyDescent="0.4">
      <c r="A1042" s="12" t="str">
        <f t="shared" si="16"/>
        <v>01</v>
      </c>
    </row>
    <row r="1043" spans="1:1" x14ac:dyDescent="0.4">
      <c r="A1043" s="12" t="str">
        <f t="shared" si="16"/>
        <v>01</v>
      </c>
    </row>
    <row r="1044" spans="1:1" x14ac:dyDescent="0.4">
      <c r="A1044" s="12" t="str">
        <f t="shared" si="16"/>
        <v>01</v>
      </c>
    </row>
    <row r="1045" spans="1:1" x14ac:dyDescent="0.4">
      <c r="A1045" s="12" t="str">
        <f t="shared" si="16"/>
        <v>01</v>
      </c>
    </row>
    <row r="1046" spans="1:1" x14ac:dyDescent="0.4">
      <c r="A1046" s="12" t="str">
        <f t="shared" si="16"/>
        <v>01</v>
      </c>
    </row>
    <row r="1047" spans="1:1" x14ac:dyDescent="0.4">
      <c r="A1047" s="12" t="str">
        <f t="shared" si="16"/>
        <v>01</v>
      </c>
    </row>
    <row r="1048" spans="1:1" x14ac:dyDescent="0.4">
      <c r="A1048" s="12" t="str">
        <f t="shared" si="16"/>
        <v>01</v>
      </c>
    </row>
    <row r="1049" spans="1:1" x14ac:dyDescent="0.4">
      <c r="A1049" s="12" t="str">
        <f t="shared" si="16"/>
        <v>01</v>
      </c>
    </row>
    <row r="1050" spans="1:1" x14ac:dyDescent="0.4">
      <c r="A1050" s="12" t="str">
        <f t="shared" si="16"/>
        <v>01</v>
      </c>
    </row>
    <row r="1051" spans="1:1" x14ac:dyDescent="0.4">
      <c r="A1051" s="12" t="str">
        <f t="shared" si="16"/>
        <v>01</v>
      </c>
    </row>
    <row r="1052" spans="1:1" x14ac:dyDescent="0.4">
      <c r="A1052" s="12" t="str">
        <f t="shared" si="16"/>
        <v>01</v>
      </c>
    </row>
    <row r="1053" spans="1:1" x14ac:dyDescent="0.4">
      <c r="A1053" s="12" t="str">
        <f t="shared" si="16"/>
        <v>01</v>
      </c>
    </row>
    <row r="1054" spans="1:1" x14ac:dyDescent="0.4">
      <c r="A1054" s="12" t="str">
        <f t="shared" si="16"/>
        <v>01</v>
      </c>
    </row>
    <row r="1055" spans="1:1" x14ac:dyDescent="0.4">
      <c r="A1055" s="12" t="str">
        <f t="shared" si="16"/>
        <v>01</v>
      </c>
    </row>
    <row r="1056" spans="1:1" x14ac:dyDescent="0.4">
      <c r="A1056" s="12" t="str">
        <f t="shared" si="16"/>
        <v>01</v>
      </c>
    </row>
    <row r="1057" spans="1:1" x14ac:dyDescent="0.4">
      <c r="A1057" s="12" t="str">
        <f t="shared" si="16"/>
        <v>01</v>
      </c>
    </row>
    <row r="1058" spans="1:1" x14ac:dyDescent="0.4">
      <c r="A1058" s="12" t="str">
        <f t="shared" si="16"/>
        <v>01</v>
      </c>
    </row>
    <row r="1059" spans="1:1" x14ac:dyDescent="0.4">
      <c r="A1059" s="12" t="str">
        <f t="shared" si="16"/>
        <v>01</v>
      </c>
    </row>
    <row r="1060" spans="1:1" x14ac:dyDescent="0.4">
      <c r="A1060" s="12" t="str">
        <f t="shared" si="16"/>
        <v>01</v>
      </c>
    </row>
    <row r="1061" spans="1:1" x14ac:dyDescent="0.4">
      <c r="A1061" s="12" t="str">
        <f t="shared" si="16"/>
        <v>01</v>
      </c>
    </row>
    <row r="1062" spans="1:1" x14ac:dyDescent="0.4">
      <c r="A1062" s="12" t="str">
        <f t="shared" si="16"/>
        <v>01</v>
      </c>
    </row>
    <row r="1063" spans="1:1" x14ac:dyDescent="0.4">
      <c r="A1063" s="12" t="str">
        <f t="shared" si="16"/>
        <v>01</v>
      </c>
    </row>
    <row r="1064" spans="1:1" x14ac:dyDescent="0.4">
      <c r="A1064" s="12" t="str">
        <f t="shared" si="16"/>
        <v>01</v>
      </c>
    </row>
    <row r="1065" spans="1:1" x14ac:dyDescent="0.4">
      <c r="A1065" s="12" t="str">
        <f t="shared" si="16"/>
        <v>01</v>
      </c>
    </row>
    <row r="1066" spans="1:1" x14ac:dyDescent="0.4">
      <c r="A1066" s="12" t="str">
        <f t="shared" si="16"/>
        <v>01</v>
      </c>
    </row>
    <row r="1067" spans="1:1" x14ac:dyDescent="0.4">
      <c r="A1067" s="12" t="str">
        <f t="shared" si="16"/>
        <v>01</v>
      </c>
    </row>
    <row r="1068" spans="1:1" x14ac:dyDescent="0.4">
      <c r="A1068" s="12" t="str">
        <f t="shared" si="16"/>
        <v>01</v>
      </c>
    </row>
    <row r="1069" spans="1:1" x14ac:dyDescent="0.4">
      <c r="A1069" s="12" t="str">
        <f t="shared" si="16"/>
        <v>01</v>
      </c>
    </row>
    <row r="1070" spans="1:1" x14ac:dyDescent="0.4">
      <c r="A1070" s="12" t="str">
        <f t="shared" si="16"/>
        <v>01</v>
      </c>
    </row>
    <row r="1071" spans="1:1" x14ac:dyDescent="0.4">
      <c r="A1071" s="12" t="str">
        <f t="shared" si="16"/>
        <v>01</v>
      </c>
    </row>
    <row r="1072" spans="1:1" x14ac:dyDescent="0.4">
      <c r="A1072" s="12" t="str">
        <f t="shared" si="16"/>
        <v>01</v>
      </c>
    </row>
    <row r="1073" spans="1:1" x14ac:dyDescent="0.4">
      <c r="A1073" s="12" t="str">
        <f t="shared" si="16"/>
        <v>01</v>
      </c>
    </row>
    <row r="1074" spans="1:1" x14ac:dyDescent="0.4">
      <c r="A1074" s="12" t="str">
        <f t="shared" si="16"/>
        <v>01</v>
      </c>
    </row>
    <row r="1075" spans="1:1" x14ac:dyDescent="0.4">
      <c r="A1075" s="12" t="str">
        <f t="shared" si="16"/>
        <v>01</v>
      </c>
    </row>
    <row r="1076" spans="1:1" x14ac:dyDescent="0.4">
      <c r="A1076" s="12" t="str">
        <f t="shared" si="16"/>
        <v>01</v>
      </c>
    </row>
    <row r="1077" spans="1:1" x14ac:dyDescent="0.4">
      <c r="A1077" s="12" t="str">
        <f t="shared" si="16"/>
        <v>01</v>
      </c>
    </row>
    <row r="1078" spans="1:1" x14ac:dyDescent="0.4">
      <c r="A1078" s="12" t="str">
        <f t="shared" si="16"/>
        <v>01</v>
      </c>
    </row>
    <row r="1079" spans="1:1" x14ac:dyDescent="0.4">
      <c r="A1079" s="12" t="str">
        <f t="shared" si="16"/>
        <v>01</v>
      </c>
    </row>
    <row r="1080" spans="1:1" x14ac:dyDescent="0.4">
      <c r="A1080" s="12" t="str">
        <f t="shared" si="16"/>
        <v>01</v>
      </c>
    </row>
    <row r="1081" spans="1:1" x14ac:dyDescent="0.4">
      <c r="A1081" s="12" t="str">
        <f t="shared" si="16"/>
        <v>01</v>
      </c>
    </row>
    <row r="1082" spans="1:1" x14ac:dyDescent="0.4">
      <c r="A1082" s="12" t="str">
        <f t="shared" si="16"/>
        <v>01</v>
      </c>
    </row>
    <row r="1083" spans="1:1" x14ac:dyDescent="0.4">
      <c r="A1083" s="12" t="str">
        <f t="shared" si="16"/>
        <v>01</v>
      </c>
    </row>
    <row r="1084" spans="1:1" x14ac:dyDescent="0.4">
      <c r="A1084" s="12" t="str">
        <f t="shared" si="16"/>
        <v>01</v>
      </c>
    </row>
    <row r="1085" spans="1:1" x14ac:dyDescent="0.4">
      <c r="A1085" s="12" t="str">
        <f t="shared" si="16"/>
        <v>01</v>
      </c>
    </row>
    <row r="1086" spans="1:1" x14ac:dyDescent="0.4">
      <c r="A1086" s="12" t="str">
        <f t="shared" si="16"/>
        <v>01</v>
      </c>
    </row>
    <row r="1087" spans="1:1" x14ac:dyDescent="0.4">
      <c r="A1087" s="12" t="str">
        <f t="shared" si="16"/>
        <v>01</v>
      </c>
    </row>
    <row r="1088" spans="1:1" x14ac:dyDescent="0.4">
      <c r="A1088" s="12" t="str">
        <f t="shared" si="16"/>
        <v>01</v>
      </c>
    </row>
    <row r="1089" spans="1:1" x14ac:dyDescent="0.4">
      <c r="A1089" s="12" t="str">
        <f t="shared" si="16"/>
        <v>01</v>
      </c>
    </row>
    <row r="1090" spans="1:1" x14ac:dyDescent="0.4">
      <c r="A1090" s="12" t="str">
        <f t="shared" si="16"/>
        <v>01</v>
      </c>
    </row>
    <row r="1091" spans="1:1" x14ac:dyDescent="0.4">
      <c r="A1091" s="12" t="str">
        <f t="shared" ref="A1091:A1154" si="17">TEXT(L1091,"MM")</f>
        <v>01</v>
      </c>
    </row>
    <row r="1092" spans="1:1" x14ac:dyDescent="0.4">
      <c r="A1092" s="12" t="str">
        <f t="shared" si="17"/>
        <v>01</v>
      </c>
    </row>
    <row r="1093" spans="1:1" x14ac:dyDescent="0.4">
      <c r="A1093" s="12" t="str">
        <f t="shared" si="17"/>
        <v>01</v>
      </c>
    </row>
    <row r="1094" spans="1:1" x14ac:dyDescent="0.4">
      <c r="A1094" s="12" t="str">
        <f t="shared" si="17"/>
        <v>01</v>
      </c>
    </row>
    <row r="1095" spans="1:1" x14ac:dyDescent="0.4">
      <c r="A1095" s="12" t="str">
        <f t="shared" si="17"/>
        <v>01</v>
      </c>
    </row>
    <row r="1096" spans="1:1" x14ac:dyDescent="0.4">
      <c r="A1096" s="12" t="str">
        <f t="shared" si="17"/>
        <v>01</v>
      </c>
    </row>
    <row r="1097" spans="1:1" x14ac:dyDescent="0.4">
      <c r="A1097" s="12" t="str">
        <f t="shared" si="17"/>
        <v>01</v>
      </c>
    </row>
    <row r="1098" spans="1:1" x14ac:dyDescent="0.4">
      <c r="A1098" s="12" t="str">
        <f t="shared" si="17"/>
        <v>01</v>
      </c>
    </row>
    <row r="1099" spans="1:1" x14ac:dyDescent="0.4">
      <c r="A1099" s="12" t="str">
        <f t="shared" si="17"/>
        <v>01</v>
      </c>
    </row>
    <row r="1100" spans="1:1" x14ac:dyDescent="0.4">
      <c r="A1100" s="12" t="str">
        <f t="shared" si="17"/>
        <v>01</v>
      </c>
    </row>
    <row r="1101" spans="1:1" x14ac:dyDescent="0.4">
      <c r="A1101" s="12" t="str">
        <f t="shared" si="17"/>
        <v>01</v>
      </c>
    </row>
    <row r="1102" spans="1:1" x14ac:dyDescent="0.4">
      <c r="A1102" s="12" t="str">
        <f t="shared" si="17"/>
        <v>01</v>
      </c>
    </row>
    <row r="1103" spans="1:1" x14ac:dyDescent="0.4">
      <c r="A1103" s="12" t="str">
        <f t="shared" si="17"/>
        <v>01</v>
      </c>
    </row>
    <row r="1104" spans="1:1" x14ac:dyDescent="0.4">
      <c r="A1104" s="12" t="str">
        <f t="shared" si="17"/>
        <v>01</v>
      </c>
    </row>
    <row r="1105" spans="1:1" x14ac:dyDescent="0.4">
      <c r="A1105" s="12" t="str">
        <f t="shared" si="17"/>
        <v>01</v>
      </c>
    </row>
    <row r="1106" spans="1:1" x14ac:dyDescent="0.4">
      <c r="A1106" s="12" t="str">
        <f t="shared" si="17"/>
        <v>01</v>
      </c>
    </row>
    <row r="1107" spans="1:1" x14ac:dyDescent="0.4">
      <c r="A1107" s="12" t="str">
        <f t="shared" si="17"/>
        <v>01</v>
      </c>
    </row>
    <row r="1108" spans="1:1" x14ac:dyDescent="0.4">
      <c r="A1108" s="12" t="str">
        <f t="shared" si="17"/>
        <v>01</v>
      </c>
    </row>
    <row r="1109" spans="1:1" x14ac:dyDescent="0.4">
      <c r="A1109" s="12" t="str">
        <f t="shared" si="17"/>
        <v>01</v>
      </c>
    </row>
    <row r="1110" spans="1:1" x14ac:dyDescent="0.4">
      <c r="A1110" s="12" t="str">
        <f t="shared" si="17"/>
        <v>01</v>
      </c>
    </row>
    <row r="1111" spans="1:1" x14ac:dyDescent="0.4">
      <c r="A1111" s="12" t="str">
        <f t="shared" si="17"/>
        <v>01</v>
      </c>
    </row>
    <row r="1112" spans="1:1" x14ac:dyDescent="0.4">
      <c r="A1112" s="12" t="str">
        <f t="shared" si="17"/>
        <v>01</v>
      </c>
    </row>
    <row r="1113" spans="1:1" x14ac:dyDescent="0.4">
      <c r="A1113" s="12" t="str">
        <f t="shared" si="17"/>
        <v>01</v>
      </c>
    </row>
    <row r="1114" spans="1:1" x14ac:dyDescent="0.4">
      <c r="A1114" s="12" t="str">
        <f t="shared" si="17"/>
        <v>01</v>
      </c>
    </row>
    <row r="1115" spans="1:1" x14ac:dyDescent="0.4">
      <c r="A1115" s="12" t="str">
        <f t="shared" si="17"/>
        <v>01</v>
      </c>
    </row>
    <row r="1116" spans="1:1" x14ac:dyDescent="0.4">
      <c r="A1116" s="12" t="str">
        <f t="shared" si="17"/>
        <v>01</v>
      </c>
    </row>
    <row r="1117" spans="1:1" x14ac:dyDescent="0.4">
      <c r="A1117" s="12" t="str">
        <f t="shared" si="17"/>
        <v>01</v>
      </c>
    </row>
    <row r="1118" spans="1:1" x14ac:dyDescent="0.4">
      <c r="A1118" s="12" t="str">
        <f t="shared" si="17"/>
        <v>01</v>
      </c>
    </row>
    <row r="1119" spans="1:1" x14ac:dyDescent="0.4">
      <c r="A1119" s="12" t="str">
        <f t="shared" si="17"/>
        <v>01</v>
      </c>
    </row>
    <row r="1120" spans="1:1" x14ac:dyDescent="0.4">
      <c r="A1120" s="12" t="str">
        <f t="shared" si="17"/>
        <v>01</v>
      </c>
    </row>
    <row r="1121" spans="1:1" x14ac:dyDescent="0.4">
      <c r="A1121" s="12" t="str">
        <f t="shared" si="17"/>
        <v>01</v>
      </c>
    </row>
    <row r="1122" spans="1:1" x14ac:dyDescent="0.4">
      <c r="A1122" s="12" t="str">
        <f t="shared" si="17"/>
        <v>01</v>
      </c>
    </row>
    <row r="1123" spans="1:1" x14ac:dyDescent="0.4">
      <c r="A1123" s="12" t="str">
        <f t="shared" si="17"/>
        <v>01</v>
      </c>
    </row>
    <row r="1124" spans="1:1" x14ac:dyDescent="0.4">
      <c r="A1124" s="12" t="str">
        <f t="shared" si="17"/>
        <v>01</v>
      </c>
    </row>
    <row r="1125" spans="1:1" x14ac:dyDescent="0.4">
      <c r="A1125" s="12" t="str">
        <f t="shared" si="17"/>
        <v>01</v>
      </c>
    </row>
    <row r="1126" spans="1:1" x14ac:dyDescent="0.4">
      <c r="A1126" s="12" t="str">
        <f t="shared" si="17"/>
        <v>01</v>
      </c>
    </row>
    <row r="1127" spans="1:1" x14ac:dyDescent="0.4">
      <c r="A1127" s="12" t="str">
        <f t="shared" si="17"/>
        <v>01</v>
      </c>
    </row>
    <row r="1128" spans="1:1" x14ac:dyDescent="0.4">
      <c r="A1128" s="12" t="str">
        <f t="shared" si="17"/>
        <v>01</v>
      </c>
    </row>
    <row r="1129" spans="1:1" x14ac:dyDescent="0.4">
      <c r="A1129" s="12" t="str">
        <f t="shared" si="17"/>
        <v>01</v>
      </c>
    </row>
    <row r="1130" spans="1:1" x14ac:dyDescent="0.4">
      <c r="A1130" s="12" t="str">
        <f t="shared" si="17"/>
        <v>01</v>
      </c>
    </row>
    <row r="1131" spans="1:1" x14ac:dyDescent="0.4">
      <c r="A1131" s="12" t="str">
        <f t="shared" si="17"/>
        <v>01</v>
      </c>
    </row>
    <row r="1132" spans="1:1" x14ac:dyDescent="0.4">
      <c r="A1132" s="12" t="str">
        <f t="shared" si="17"/>
        <v>01</v>
      </c>
    </row>
    <row r="1133" spans="1:1" x14ac:dyDescent="0.4">
      <c r="A1133" s="12" t="str">
        <f t="shared" si="17"/>
        <v>01</v>
      </c>
    </row>
    <row r="1134" spans="1:1" x14ac:dyDescent="0.4">
      <c r="A1134" s="12" t="str">
        <f t="shared" si="17"/>
        <v>01</v>
      </c>
    </row>
    <row r="1135" spans="1:1" x14ac:dyDescent="0.4">
      <c r="A1135" s="12" t="str">
        <f t="shared" si="17"/>
        <v>01</v>
      </c>
    </row>
    <row r="1136" spans="1:1" x14ac:dyDescent="0.4">
      <c r="A1136" s="12" t="str">
        <f t="shared" si="17"/>
        <v>01</v>
      </c>
    </row>
    <row r="1137" spans="1:1" x14ac:dyDescent="0.4">
      <c r="A1137" s="12" t="str">
        <f t="shared" si="17"/>
        <v>01</v>
      </c>
    </row>
    <row r="1138" spans="1:1" x14ac:dyDescent="0.4">
      <c r="A1138" s="12" t="str">
        <f t="shared" si="17"/>
        <v>01</v>
      </c>
    </row>
    <row r="1139" spans="1:1" x14ac:dyDescent="0.4">
      <c r="A1139" s="12" t="str">
        <f t="shared" si="17"/>
        <v>01</v>
      </c>
    </row>
    <row r="1140" spans="1:1" x14ac:dyDescent="0.4">
      <c r="A1140" s="12" t="str">
        <f t="shared" si="17"/>
        <v>01</v>
      </c>
    </row>
    <row r="1141" spans="1:1" x14ac:dyDescent="0.4">
      <c r="A1141" s="12" t="str">
        <f t="shared" si="17"/>
        <v>01</v>
      </c>
    </row>
    <row r="1142" spans="1:1" x14ac:dyDescent="0.4">
      <c r="A1142" s="12" t="str">
        <f t="shared" si="17"/>
        <v>01</v>
      </c>
    </row>
    <row r="1143" spans="1:1" x14ac:dyDescent="0.4">
      <c r="A1143" s="12" t="str">
        <f t="shared" si="17"/>
        <v>01</v>
      </c>
    </row>
    <row r="1144" spans="1:1" x14ac:dyDescent="0.4">
      <c r="A1144" s="12" t="str">
        <f t="shared" si="17"/>
        <v>01</v>
      </c>
    </row>
    <row r="1145" spans="1:1" x14ac:dyDescent="0.4">
      <c r="A1145" s="12" t="str">
        <f t="shared" si="17"/>
        <v>01</v>
      </c>
    </row>
    <row r="1146" spans="1:1" x14ac:dyDescent="0.4">
      <c r="A1146" s="12" t="str">
        <f t="shared" si="17"/>
        <v>01</v>
      </c>
    </row>
    <row r="1147" spans="1:1" x14ac:dyDescent="0.4">
      <c r="A1147" s="12" t="str">
        <f t="shared" si="17"/>
        <v>01</v>
      </c>
    </row>
    <row r="1148" spans="1:1" x14ac:dyDescent="0.4">
      <c r="A1148" s="12" t="str">
        <f t="shared" si="17"/>
        <v>01</v>
      </c>
    </row>
    <row r="1149" spans="1:1" x14ac:dyDescent="0.4">
      <c r="A1149" s="12" t="str">
        <f t="shared" si="17"/>
        <v>01</v>
      </c>
    </row>
    <row r="1150" spans="1:1" x14ac:dyDescent="0.4">
      <c r="A1150" s="12" t="str">
        <f t="shared" si="17"/>
        <v>01</v>
      </c>
    </row>
    <row r="1151" spans="1:1" x14ac:dyDescent="0.4">
      <c r="A1151" s="12" t="str">
        <f t="shared" si="17"/>
        <v>01</v>
      </c>
    </row>
    <row r="1152" spans="1:1" x14ac:dyDescent="0.4">
      <c r="A1152" s="12" t="str">
        <f t="shared" si="17"/>
        <v>01</v>
      </c>
    </row>
    <row r="1153" spans="1:1" x14ac:dyDescent="0.4">
      <c r="A1153" s="12" t="str">
        <f t="shared" si="17"/>
        <v>01</v>
      </c>
    </row>
    <row r="1154" spans="1:1" x14ac:dyDescent="0.4">
      <c r="A1154" s="12" t="str">
        <f t="shared" si="17"/>
        <v>01</v>
      </c>
    </row>
    <row r="1155" spans="1:1" x14ac:dyDescent="0.4">
      <c r="A1155" s="12" t="str">
        <f t="shared" ref="A1155:A1218" si="18">TEXT(L1155,"MM")</f>
        <v>01</v>
      </c>
    </row>
    <row r="1156" spans="1:1" x14ac:dyDescent="0.4">
      <c r="A1156" s="12" t="str">
        <f t="shared" si="18"/>
        <v>01</v>
      </c>
    </row>
    <row r="1157" spans="1:1" x14ac:dyDescent="0.4">
      <c r="A1157" s="12" t="str">
        <f t="shared" si="18"/>
        <v>01</v>
      </c>
    </row>
    <row r="1158" spans="1:1" x14ac:dyDescent="0.4">
      <c r="A1158" s="12" t="str">
        <f t="shared" si="18"/>
        <v>01</v>
      </c>
    </row>
    <row r="1159" spans="1:1" x14ac:dyDescent="0.4">
      <c r="A1159" s="12" t="str">
        <f t="shared" si="18"/>
        <v>01</v>
      </c>
    </row>
    <row r="1160" spans="1:1" x14ac:dyDescent="0.4">
      <c r="A1160" s="12" t="str">
        <f t="shared" si="18"/>
        <v>01</v>
      </c>
    </row>
    <row r="1161" spans="1:1" x14ac:dyDescent="0.4">
      <c r="A1161" s="12" t="str">
        <f t="shared" si="18"/>
        <v>01</v>
      </c>
    </row>
    <row r="1162" spans="1:1" x14ac:dyDescent="0.4">
      <c r="A1162" s="12" t="str">
        <f t="shared" si="18"/>
        <v>01</v>
      </c>
    </row>
    <row r="1163" spans="1:1" x14ac:dyDescent="0.4">
      <c r="A1163" s="12" t="str">
        <f t="shared" si="18"/>
        <v>01</v>
      </c>
    </row>
    <row r="1164" spans="1:1" x14ac:dyDescent="0.4">
      <c r="A1164" s="12" t="str">
        <f t="shared" si="18"/>
        <v>01</v>
      </c>
    </row>
    <row r="1165" spans="1:1" x14ac:dyDescent="0.4">
      <c r="A1165" s="12" t="str">
        <f t="shared" si="18"/>
        <v>01</v>
      </c>
    </row>
    <row r="1166" spans="1:1" x14ac:dyDescent="0.4">
      <c r="A1166" s="12" t="str">
        <f t="shared" si="18"/>
        <v>01</v>
      </c>
    </row>
    <row r="1167" spans="1:1" x14ac:dyDescent="0.4">
      <c r="A1167" s="12" t="str">
        <f t="shared" si="18"/>
        <v>01</v>
      </c>
    </row>
    <row r="1168" spans="1:1" x14ac:dyDescent="0.4">
      <c r="A1168" s="12" t="str">
        <f t="shared" si="18"/>
        <v>01</v>
      </c>
    </row>
    <row r="1169" spans="1:1" x14ac:dyDescent="0.4">
      <c r="A1169" s="12" t="str">
        <f t="shared" si="18"/>
        <v>01</v>
      </c>
    </row>
    <row r="1170" spans="1:1" x14ac:dyDescent="0.4">
      <c r="A1170" s="12" t="str">
        <f t="shared" si="18"/>
        <v>01</v>
      </c>
    </row>
    <row r="1171" spans="1:1" x14ac:dyDescent="0.4">
      <c r="A1171" s="12" t="str">
        <f t="shared" si="18"/>
        <v>01</v>
      </c>
    </row>
    <row r="1172" spans="1:1" x14ac:dyDescent="0.4">
      <c r="A1172" s="12" t="str">
        <f t="shared" si="18"/>
        <v>01</v>
      </c>
    </row>
    <row r="1173" spans="1:1" x14ac:dyDescent="0.4">
      <c r="A1173" s="12" t="str">
        <f t="shared" si="18"/>
        <v>01</v>
      </c>
    </row>
    <row r="1174" spans="1:1" x14ac:dyDescent="0.4">
      <c r="A1174" s="12" t="str">
        <f t="shared" si="18"/>
        <v>01</v>
      </c>
    </row>
    <row r="1175" spans="1:1" x14ac:dyDescent="0.4">
      <c r="A1175" s="12" t="str">
        <f t="shared" si="18"/>
        <v>01</v>
      </c>
    </row>
    <row r="1176" spans="1:1" x14ac:dyDescent="0.4">
      <c r="A1176" s="12" t="str">
        <f t="shared" si="18"/>
        <v>01</v>
      </c>
    </row>
    <row r="1177" spans="1:1" x14ac:dyDescent="0.4">
      <c r="A1177" s="12" t="str">
        <f t="shared" si="18"/>
        <v>01</v>
      </c>
    </row>
    <row r="1178" spans="1:1" x14ac:dyDescent="0.4">
      <c r="A1178" s="12" t="str">
        <f t="shared" si="18"/>
        <v>01</v>
      </c>
    </row>
    <row r="1179" spans="1:1" x14ac:dyDescent="0.4">
      <c r="A1179" s="12" t="str">
        <f t="shared" si="18"/>
        <v>01</v>
      </c>
    </row>
    <row r="1180" spans="1:1" x14ac:dyDescent="0.4">
      <c r="A1180" s="12" t="str">
        <f t="shared" si="18"/>
        <v>01</v>
      </c>
    </row>
    <row r="1181" spans="1:1" x14ac:dyDescent="0.4">
      <c r="A1181" s="12" t="str">
        <f t="shared" si="18"/>
        <v>01</v>
      </c>
    </row>
    <row r="1182" spans="1:1" x14ac:dyDescent="0.4">
      <c r="A1182" s="12" t="str">
        <f t="shared" si="18"/>
        <v>01</v>
      </c>
    </row>
    <row r="1183" spans="1:1" x14ac:dyDescent="0.4">
      <c r="A1183" s="12" t="str">
        <f t="shared" si="18"/>
        <v>01</v>
      </c>
    </row>
    <row r="1184" spans="1:1" x14ac:dyDescent="0.4">
      <c r="A1184" s="12" t="str">
        <f t="shared" si="18"/>
        <v>01</v>
      </c>
    </row>
    <row r="1185" spans="1:1" x14ac:dyDescent="0.4">
      <c r="A1185" s="12" t="str">
        <f t="shared" si="18"/>
        <v>01</v>
      </c>
    </row>
    <row r="1186" spans="1:1" x14ac:dyDescent="0.4">
      <c r="A1186" s="12" t="str">
        <f t="shared" si="18"/>
        <v>01</v>
      </c>
    </row>
    <row r="1187" spans="1:1" x14ac:dyDescent="0.4">
      <c r="A1187" s="12" t="str">
        <f t="shared" si="18"/>
        <v>01</v>
      </c>
    </row>
    <row r="1188" spans="1:1" x14ac:dyDescent="0.4">
      <c r="A1188" s="12" t="str">
        <f t="shared" si="18"/>
        <v>01</v>
      </c>
    </row>
    <row r="1189" spans="1:1" x14ac:dyDescent="0.4">
      <c r="A1189" s="12" t="str">
        <f t="shared" si="18"/>
        <v>01</v>
      </c>
    </row>
    <row r="1190" spans="1:1" x14ac:dyDescent="0.4">
      <c r="A1190" s="12" t="str">
        <f t="shared" si="18"/>
        <v>01</v>
      </c>
    </row>
    <row r="1191" spans="1:1" x14ac:dyDescent="0.4">
      <c r="A1191" s="12" t="str">
        <f t="shared" si="18"/>
        <v>01</v>
      </c>
    </row>
    <row r="1192" spans="1:1" x14ac:dyDescent="0.4">
      <c r="A1192" s="12" t="str">
        <f t="shared" si="18"/>
        <v>01</v>
      </c>
    </row>
    <row r="1193" spans="1:1" x14ac:dyDescent="0.4">
      <c r="A1193" s="12" t="str">
        <f t="shared" si="18"/>
        <v>01</v>
      </c>
    </row>
    <row r="1194" spans="1:1" x14ac:dyDescent="0.4">
      <c r="A1194" s="12" t="str">
        <f t="shared" si="18"/>
        <v>01</v>
      </c>
    </row>
    <row r="1195" spans="1:1" x14ac:dyDescent="0.4">
      <c r="A1195" s="12" t="str">
        <f t="shared" si="18"/>
        <v>01</v>
      </c>
    </row>
    <row r="1196" spans="1:1" x14ac:dyDescent="0.4">
      <c r="A1196" s="12" t="str">
        <f t="shared" si="18"/>
        <v>01</v>
      </c>
    </row>
    <row r="1197" spans="1:1" x14ac:dyDescent="0.4">
      <c r="A1197" s="12" t="str">
        <f t="shared" si="18"/>
        <v>01</v>
      </c>
    </row>
    <row r="1198" spans="1:1" x14ac:dyDescent="0.4">
      <c r="A1198" s="12" t="str">
        <f t="shared" si="18"/>
        <v>01</v>
      </c>
    </row>
    <row r="1199" spans="1:1" x14ac:dyDescent="0.4">
      <c r="A1199" s="12" t="str">
        <f t="shared" si="18"/>
        <v>01</v>
      </c>
    </row>
    <row r="1200" spans="1:1" x14ac:dyDescent="0.4">
      <c r="A1200" s="12" t="str">
        <f t="shared" si="18"/>
        <v>01</v>
      </c>
    </row>
    <row r="1201" spans="1:1" x14ac:dyDescent="0.4">
      <c r="A1201" s="12" t="str">
        <f t="shared" si="18"/>
        <v>01</v>
      </c>
    </row>
    <row r="1202" spans="1:1" x14ac:dyDescent="0.4">
      <c r="A1202" s="12" t="str">
        <f t="shared" si="18"/>
        <v>01</v>
      </c>
    </row>
    <row r="1203" spans="1:1" x14ac:dyDescent="0.4">
      <c r="A1203" s="12" t="str">
        <f t="shared" si="18"/>
        <v>01</v>
      </c>
    </row>
    <row r="1204" spans="1:1" x14ac:dyDescent="0.4">
      <c r="A1204" s="12" t="str">
        <f t="shared" si="18"/>
        <v>01</v>
      </c>
    </row>
    <row r="1205" spans="1:1" x14ac:dyDescent="0.4">
      <c r="A1205" s="12" t="str">
        <f t="shared" si="18"/>
        <v>01</v>
      </c>
    </row>
    <row r="1206" spans="1:1" x14ac:dyDescent="0.4">
      <c r="A1206" s="12" t="str">
        <f t="shared" si="18"/>
        <v>01</v>
      </c>
    </row>
    <row r="1207" spans="1:1" x14ac:dyDescent="0.4">
      <c r="A1207" s="12" t="str">
        <f t="shared" si="18"/>
        <v>01</v>
      </c>
    </row>
    <row r="1208" spans="1:1" x14ac:dyDescent="0.4">
      <c r="A1208" s="12" t="str">
        <f t="shared" si="18"/>
        <v>01</v>
      </c>
    </row>
    <row r="1209" spans="1:1" x14ac:dyDescent="0.4">
      <c r="A1209" s="12" t="str">
        <f t="shared" si="18"/>
        <v>01</v>
      </c>
    </row>
    <row r="1210" spans="1:1" x14ac:dyDescent="0.4">
      <c r="A1210" s="12" t="str">
        <f t="shared" si="18"/>
        <v>01</v>
      </c>
    </row>
    <row r="1211" spans="1:1" x14ac:dyDescent="0.4">
      <c r="A1211" s="12" t="str">
        <f t="shared" si="18"/>
        <v>01</v>
      </c>
    </row>
    <row r="1212" spans="1:1" x14ac:dyDescent="0.4">
      <c r="A1212" s="12" t="str">
        <f t="shared" si="18"/>
        <v>01</v>
      </c>
    </row>
    <row r="1213" spans="1:1" x14ac:dyDescent="0.4">
      <c r="A1213" s="12" t="str">
        <f t="shared" si="18"/>
        <v>01</v>
      </c>
    </row>
    <row r="1214" spans="1:1" x14ac:dyDescent="0.4">
      <c r="A1214" s="12" t="str">
        <f t="shared" si="18"/>
        <v>01</v>
      </c>
    </row>
    <row r="1215" spans="1:1" x14ac:dyDescent="0.4">
      <c r="A1215" s="12" t="str">
        <f t="shared" si="18"/>
        <v>01</v>
      </c>
    </row>
    <row r="1216" spans="1:1" x14ac:dyDescent="0.4">
      <c r="A1216" s="12" t="str">
        <f t="shared" si="18"/>
        <v>01</v>
      </c>
    </row>
    <row r="1217" spans="1:1" x14ac:dyDescent="0.4">
      <c r="A1217" s="12" t="str">
        <f t="shared" si="18"/>
        <v>01</v>
      </c>
    </row>
    <row r="1218" spans="1:1" x14ac:dyDescent="0.4">
      <c r="A1218" s="12" t="str">
        <f t="shared" si="18"/>
        <v>01</v>
      </c>
    </row>
    <row r="1219" spans="1:1" x14ac:dyDescent="0.4">
      <c r="A1219" s="12" t="str">
        <f t="shared" ref="A1219:A1282" si="19">TEXT(L1219,"MM")</f>
        <v>01</v>
      </c>
    </row>
    <row r="1220" spans="1:1" x14ac:dyDescent="0.4">
      <c r="A1220" s="12" t="str">
        <f t="shared" si="19"/>
        <v>01</v>
      </c>
    </row>
    <row r="1221" spans="1:1" x14ac:dyDescent="0.4">
      <c r="A1221" s="12" t="str">
        <f t="shared" si="19"/>
        <v>01</v>
      </c>
    </row>
    <row r="1222" spans="1:1" x14ac:dyDescent="0.4">
      <c r="A1222" s="12" t="str">
        <f t="shared" si="19"/>
        <v>01</v>
      </c>
    </row>
    <row r="1223" spans="1:1" x14ac:dyDescent="0.4">
      <c r="A1223" s="12" t="str">
        <f t="shared" si="19"/>
        <v>01</v>
      </c>
    </row>
    <row r="1224" spans="1:1" x14ac:dyDescent="0.4">
      <c r="A1224" s="12" t="str">
        <f t="shared" si="19"/>
        <v>01</v>
      </c>
    </row>
    <row r="1225" spans="1:1" x14ac:dyDescent="0.4">
      <c r="A1225" s="12" t="str">
        <f t="shared" si="19"/>
        <v>01</v>
      </c>
    </row>
    <row r="1226" spans="1:1" x14ac:dyDescent="0.4">
      <c r="A1226" s="12" t="str">
        <f t="shared" si="19"/>
        <v>01</v>
      </c>
    </row>
    <row r="1227" spans="1:1" x14ac:dyDescent="0.4">
      <c r="A1227" s="12" t="str">
        <f t="shared" si="19"/>
        <v>01</v>
      </c>
    </row>
    <row r="1228" spans="1:1" x14ac:dyDescent="0.4">
      <c r="A1228" s="12" t="str">
        <f t="shared" si="19"/>
        <v>01</v>
      </c>
    </row>
    <row r="1229" spans="1:1" x14ac:dyDescent="0.4">
      <c r="A1229" s="12" t="str">
        <f t="shared" si="19"/>
        <v>01</v>
      </c>
    </row>
    <row r="1230" spans="1:1" x14ac:dyDescent="0.4">
      <c r="A1230" s="12" t="str">
        <f t="shared" si="19"/>
        <v>01</v>
      </c>
    </row>
    <row r="1231" spans="1:1" x14ac:dyDescent="0.4">
      <c r="A1231" s="12" t="str">
        <f t="shared" si="19"/>
        <v>01</v>
      </c>
    </row>
    <row r="1232" spans="1:1" x14ac:dyDescent="0.4">
      <c r="A1232" s="12" t="str">
        <f t="shared" si="19"/>
        <v>01</v>
      </c>
    </row>
    <row r="1233" spans="1:1" x14ac:dyDescent="0.4">
      <c r="A1233" s="12" t="str">
        <f t="shared" si="19"/>
        <v>01</v>
      </c>
    </row>
    <row r="1234" spans="1:1" x14ac:dyDescent="0.4">
      <c r="A1234" s="12" t="str">
        <f t="shared" si="19"/>
        <v>01</v>
      </c>
    </row>
    <row r="1235" spans="1:1" x14ac:dyDescent="0.4">
      <c r="A1235" s="12" t="str">
        <f t="shared" si="19"/>
        <v>01</v>
      </c>
    </row>
    <row r="1236" spans="1:1" x14ac:dyDescent="0.4">
      <c r="A1236" s="12" t="str">
        <f t="shared" si="19"/>
        <v>01</v>
      </c>
    </row>
    <row r="1237" spans="1:1" x14ac:dyDescent="0.4">
      <c r="A1237" s="12" t="str">
        <f t="shared" si="19"/>
        <v>01</v>
      </c>
    </row>
    <row r="1238" spans="1:1" x14ac:dyDescent="0.4">
      <c r="A1238" s="12" t="str">
        <f t="shared" si="19"/>
        <v>01</v>
      </c>
    </row>
    <row r="1239" spans="1:1" x14ac:dyDescent="0.4">
      <c r="A1239" s="12" t="str">
        <f t="shared" si="19"/>
        <v>01</v>
      </c>
    </row>
    <row r="1240" spans="1:1" x14ac:dyDescent="0.4">
      <c r="A1240" s="12" t="str">
        <f t="shared" si="19"/>
        <v>01</v>
      </c>
    </row>
    <row r="1241" spans="1:1" x14ac:dyDescent="0.4">
      <c r="A1241" s="12" t="str">
        <f t="shared" si="19"/>
        <v>01</v>
      </c>
    </row>
    <row r="1242" spans="1:1" x14ac:dyDescent="0.4">
      <c r="A1242" s="12" t="str">
        <f t="shared" si="19"/>
        <v>01</v>
      </c>
    </row>
    <row r="1243" spans="1:1" x14ac:dyDescent="0.4">
      <c r="A1243" s="12" t="str">
        <f t="shared" si="19"/>
        <v>01</v>
      </c>
    </row>
    <row r="1244" spans="1:1" x14ac:dyDescent="0.4">
      <c r="A1244" s="12" t="str">
        <f t="shared" si="19"/>
        <v>01</v>
      </c>
    </row>
    <row r="1245" spans="1:1" x14ac:dyDescent="0.4">
      <c r="A1245" s="12" t="str">
        <f t="shared" si="19"/>
        <v>01</v>
      </c>
    </row>
    <row r="1246" spans="1:1" x14ac:dyDescent="0.4">
      <c r="A1246" s="12" t="str">
        <f t="shared" si="19"/>
        <v>01</v>
      </c>
    </row>
    <row r="1247" spans="1:1" x14ac:dyDescent="0.4">
      <c r="A1247" s="12" t="str">
        <f t="shared" si="19"/>
        <v>01</v>
      </c>
    </row>
    <row r="1248" spans="1:1" x14ac:dyDescent="0.4">
      <c r="A1248" s="12" t="str">
        <f t="shared" si="19"/>
        <v>01</v>
      </c>
    </row>
    <row r="1249" spans="1:1" x14ac:dyDescent="0.4">
      <c r="A1249" s="12" t="str">
        <f t="shared" si="19"/>
        <v>01</v>
      </c>
    </row>
    <row r="1250" spans="1:1" x14ac:dyDescent="0.4">
      <c r="A1250" s="12" t="str">
        <f t="shared" si="19"/>
        <v>01</v>
      </c>
    </row>
    <row r="1251" spans="1:1" x14ac:dyDescent="0.4">
      <c r="A1251" s="12" t="str">
        <f t="shared" si="19"/>
        <v>01</v>
      </c>
    </row>
    <row r="1252" spans="1:1" x14ac:dyDescent="0.4">
      <c r="A1252" s="12" t="str">
        <f t="shared" si="19"/>
        <v>01</v>
      </c>
    </row>
    <row r="1253" spans="1:1" x14ac:dyDescent="0.4">
      <c r="A1253" s="12" t="str">
        <f t="shared" si="19"/>
        <v>01</v>
      </c>
    </row>
    <row r="1254" spans="1:1" x14ac:dyDescent="0.4">
      <c r="A1254" s="12" t="str">
        <f t="shared" si="19"/>
        <v>01</v>
      </c>
    </row>
    <row r="1255" spans="1:1" x14ac:dyDescent="0.4">
      <c r="A1255" s="12" t="str">
        <f t="shared" si="19"/>
        <v>01</v>
      </c>
    </row>
    <row r="1256" spans="1:1" x14ac:dyDescent="0.4">
      <c r="A1256" s="12" t="str">
        <f t="shared" si="19"/>
        <v>01</v>
      </c>
    </row>
    <row r="1257" spans="1:1" x14ac:dyDescent="0.4">
      <c r="A1257" s="12" t="str">
        <f t="shared" si="19"/>
        <v>01</v>
      </c>
    </row>
    <row r="1258" spans="1:1" x14ac:dyDescent="0.4">
      <c r="A1258" s="12" t="str">
        <f t="shared" si="19"/>
        <v>01</v>
      </c>
    </row>
    <row r="1259" spans="1:1" x14ac:dyDescent="0.4">
      <c r="A1259" s="12" t="str">
        <f t="shared" si="19"/>
        <v>01</v>
      </c>
    </row>
    <row r="1260" spans="1:1" x14ac:dyDescent="0.4">
      <c r="A1260" s="12" t="str">
        <f t="shared" si="19"/>
        <v>01</v>
      </c>
    </row>
    <row r="1261" spans="1:1" x14ac:dyDescent="0.4">
      <c r="A1261" s="12" t="str">
        <f t="shared" si="19"/>
        <v>01</v>
      </c>
    </row>
    <row r="1262" spans="1:1" x14ac:dyDescent="0.4">
      <c r="A1262" s="12" t="str">
        <f t="shared" si="19"/>
        <v>01</v>
      </c>
    </row>
    <row r="1263" spans="1:1" x14ac:dyDescent="0.4">
      <c r="A1263" s="12" t="str">
        <f t="shared" si="19"/>
        <v>01</v>
      </c>
    </row>
    <row r="1264" spans="1:1" x14ac:dyDescent="0.4">
      <c r="A1264" s="12" t="str">
        <f t="shared" si="19"/>
        <v>01</v>
      </c>
    </row>
    <row r="1265" spans="1:1" x14ac:dyDescent="0.4">
      <c r="A1265" s="12" t="str">
        <f t="shared" si="19"/>
        <v>01</v>
      </c>
    </row>
    <row r="1266" spans="1:1" x14ac:dyDescent="0.4">
      <c r="A1266" s="12" t="str">
        <f t="shared" si="19"/>
        <v>01</v>
      </c>
    </row>
    <row r="1267" spans="1:1" x14ac:dyDescent="0.4">
      <c r="A1267" s="12" t="str">
        <f t="shared" si="19"/>
        <v>01</v>
      </c>
    </row>
    <row r="1268" spans="1:1" x14ac:dyDescent="0.4">
      <c r="A1268" s="12" t="str">
        <f t="shared" si="19"/>
        <v>01</v>
      </c>
    </row>
    <row r="1269" spans="1:1" x14ac:dyDescent="0.4">
      <c r="A1269" s="12" t="str">
        <f t="shared" si="19"/>
        <v>01</v>
      </c>
    </row>
    <row r="1270" spans="1:1" x14ac:dyDescent="0.4">
      <c r="A1270" s="12" t="str">
        <f t="shared" si="19"/>
        <v>01</v>
      </c>
    </row>
    <row r="1271" spans="1:1" x14ac:dyDescent="0.4">
      <c r="A1271" s="12" t="str">
        <f t="shared" si="19"/>
        <v>01</v>
      </c>
    </row>
    <row r="1272" spans="1:1" x14ac:dyDescent="0.4">
      <c r="A1272" s="12" t="str">
        <f t="shared" si="19"/>
        <v>01</v>
      </c>
    </row>
    <row r="1273" spans="1:1" x14ac:dyDescent="0.4">
      <c r="A1273" s="12" t="str">
        <f t="shared" si="19"/>
        <v>01</v>
      </c>
    </row>
    <row r="1274" spans="1:1" x14ac:dyDescent="0.4">
      <c r="A1274" s="12" t="str">
        <f t="shared" si="19"/>
        <v>01</v>
      </c>
    </row>
    <row r="1275" spans="1:1" x14ac:dyDescent="0.4">
      <c r="A1275" s="12" t="str">
        <f t="shared" si="19"/>
        <v>01</v>
      </c>
    </row>
    <row r="1276" spans="1:1" x14ac:dyDescent="0.4">
      <c r="A1276" s="12" t="str">
        <f t="shared" si="19"/>
        <v>01</v>
      </c>
    </row>
    <row r="1277" spans="1:1" x14ac:dyDescent="0.4">
      <c r="A1277" s="12" t="str">
        <f t="shared" si="19"/>
        <v>01</v>
      </c>
    </row>
    <row r="1278" spans="1:1" x14ac:dyDescent="0.4">
      <c r="A1278" s="12" t="str">
        <f t="shared" si="19"/>
        <v>01</v>
      </c>
    </row>
    <row r="1279" spans="1:1" x14ac:dyDescent="0.4">
      <c r="A1279" s="12" t="str">
        <f t="shared" si="19"/>
        <v>01</v>
      </c>
    </row>
    <row r="1280" spans="1:1" x14ac:dyDescent="0.4">
      <c r="A1280" s="12" t="str">
        <f t="shared" si="19"/>
        <v>01</v>
      </c>
    </row>
    <row r="1281" spans="1:1" x14ac:dyDescent="0.4">
      <c r="A1281" s="12" t="str">
        <f t="shared" si="19"/>
        <v>01</v>
      </c>
    </row>
    <row r="1282" spans="1:1" x14ac:dyDescent="0.4">
      <c r="A1282" s="12" t="str">
        <f t="shared" si="19"/>
        <v>01</v>
      </c>
    </row>
    <row r="1283" spans="1:1" x14ac:dyDescent="0.4">
      <c r="A1283" s="12" t="str">
        <f t="shared" ref="A1283:A1346" si="20">TEXT(L1283,"MM")</f>
        <v>01</v>
      </c>
    </row>
    <row r="1284" spans="1:1" x14ac:dyDescent="0.4">
      <c r="A1284" s="12" t="str">
        <f t="shared" si="20"/>
        <v>01</v>
      </c>
    </row>
    <row r="1285" spans="1:1" x14ac:dyDescent="0.4">
      <c r="A1285" s="12" t="str">
        <f t="shared" si="20"/>
        <v>01</v>
      </c>
    </row>
    <row r="1286" spans="1:1" x14ac:dyDescent="0.4">
      <c r="A1286" s="12" t="str">
        <f t="shared" si="20"/>
        <v>01</v>
      </c>
    </row>
    <row r="1287" spans="1:1" x14ac:dyDescent="0.4">
      <c r="A1287" s="12" t="str">
        <f t="shared" si="20"/>
        <v>01</v>
      </c>
    </row>
    <row r="1288" spans="1:1" x14ac:dyDescent="0.4">
      <c r="A1288" s="12" t="str">
        <f t="shared" si="20"/>
        <v>01</v>
      </c>
    </row>
    <row r="1289" spans="1:1" x14ac:dyDescent="0.4">
      <c r="A1289" s="12" t="str">
        <f t="shared" si="20"/>
        <v>01</v>
      </c>
    </row>
    <row r="1290" spans="1:1" x14ac:dyDescent="0.4">
      <c r="A1290" s="12" t="str">
        <f t="shared" si="20"/>
        <v>01</v>
      </c>
    </row>
    <row r="1291" spans="1:1" x14ac:dyDescent="0.4">
      <c r="A1291" s="12" t="str">
        <f t="shared" si="20"/>
        <v>01</v>
      </c>
    </row>
    <row r="1292" spans="1:1" x14ac:dyDescent="0.4">
      <c r="A1292" s="12" t="str">
        <f t="shared" si="20"/>
        <v>01</v>
      </c>
    </row>
    <row r="1293" spans="1:1" x14ac:dyDescent="0.4">
      <c r="A1293" s="12" t="str">
        <f t="shared" si="20"/>
        <v>01</v>
      </c>
    </row>
    <row r="1294" spans="1:1" x14ac:dyDescent="0.4">
      <c r="A1294" s="12" t="str">
        <f t="shared" si="20"/>
        <v>01</v>
      </c>
    </row>
    <row r="1295" spans="1:1" x14ac:dyDescent="0.4">
      <c r="A1295" s="12" t="str">
        <f t="shared" si="20"/>
        <v>01</v>
      </c>
    </row>
    <row r="1296" spans="1:1" x14ac:dyDescent="0.4">
      <c r="A1296" s="12" t="str">
        <f t="shared" si="20"/>
        <v>01</v>
      </c>
    </row>
    <row r="1297" spans="1:1" x14ac:dyDescent="0.4">
      <c r="A1297" s="12" t="str">
        <f t="shared" si="20"/>
        <v>01</v>
      </c>
    </row>
    <row r="1298" spans="1:1" x14ac:dyDescent="0.4">
      <c r="A1298" s="12" t="str">
        <f t="shared" si="20"/>
        <v>01</v>
      </c>
    </row>
    <row r="1299" spans="1:1" x14ac:dyDescent="0.4">
      <c r="A1299" s="12" t="str">
        <f t="shared" si="20"/>
        <v>01</v>
      </c>
    </row>
    <row r="1300" spans="1:1" x14ac:dyDescent="0.4">
      <c r="A1300" s="12" t="str">
        <f t="shared" si="20"/>
        <v>01</v>
      </c>
    </row>
    <row r="1301" spans="1:1" x14ac:dyDescent="0.4">
      <c r="A1301" s="12" t="str">
        <f t="shared" si="20"/>
        <v>01</v>
      </c>
    </row>
    <row r="1302" spans="1:1" x14ac:dyDescent="0.4">
      <c r="A1302" s="12" t="str">
        <f t="shared" si="20"/>
        <v>01</v>
      </c>
    </row>
    <row r="1303" spans="1:1" x14ac:dyDescent="0.4">
      <c r="A1303" s="12" t="str">
        <f t="shared" si="20"/>
        <v>01</v>
      </c>
    </row>
    <row r="1304" spans="1:1" x14ac:dyDescent="0.4">
      <c r="A1304" s="12" t="str">
        <f t="shared" si="20"/>
        <v>01</v>
      </c>
    </row>
    <row r="1305" spans="1:1" x14ac:dyDescent="0.4">
      <c r="A1305" s="12" t="str">
        <f t="shared" si="20"/>
        <v>01</v>
      </c>
    </row>
    <row r="1306" spans="1:1" x14ac:dyDescent="0.4">
      <c r="A1306" s="12" t="str">
        <f t="shared" si="20"/>
        <v>01</v>
      </c>
    </row>
    <row r="1307" spans="1:1" x14ac:dyDescent="0.4">
      <c r="A1307" s="12" t="str">
        <f t="shared" si="20"/>
        <v>01</v>
      </c>
    </row>
    <row r="1308" spans="1:1" x14ac:dyDescent="0.4">
      <c r="A1308" s="12" t="str">
        <f t="shared" si="20"/>
        <v>01</v>
      </c>
    </row>
    <row r="1309" spans="1:1" x14ac:dyDescent="0.4">
      <c r="A1309" s="12" t="str">
        <f t="shared" si="20"/>
        <v>01</v>
      </c>
    </row>
    <row r="1310" spans="1:1" x14ac:dyDescent="0.4">
      <c r="A1310" s="12" t="str">
        <f t="shared" si="20"/>
        <v>01</v>
      </c>
    </row>
    <row r="1311" spans="1:1" x14ac:dyDescent="0.4">
      <c r="A1311" s="12" t="str">
        <f t="shared" si="20"/>
        <v>01</v>
      </c>
    </row>
    <row r="1312" spans="1:1" x14ac:dyDescent="0.4">
      <c r="A1312" s="12" t="str">
        <f t="shared" si="20"/>
        <v>01</v>
      </c>
    </row>
    <row r="1313" spans="1:1" x14ac:dyDescent="0.4">
      <c r="A1313" s="12" t="str">
        <f t="shared" si="20"/>
        <v>01</v>
      </c>
    </row>
    <row r="1314" spans="1:1" x14ac:dyDescent="0.4">
      <c r="A1314" s="12" t="str">
        <f t="shared" si="20"/>
        <v>01</v>
      </c>
    </row>
    <row r="1315" spans="1:1" x14ac:dyDescent="0.4">
      <c r="A1315" s="12" t="str">
        <f t="shared" si="20"/>
        <v>01</v>
      </c>
    </row>
    <row r="1316" spans="1:1" x14ac:dyDescent="0.4">
      <c r="A1316" s="12" t="str">
        <f t="shared" si="20"/>
        <v>01</v>
      </c>
    </row>
    <row r="1317" spans="1:1" x14ac:dyDescent="0.4">
      <c r="A1317" s="12" t="str">
        <f t="shared" si="20"/>
        <v>01</v>
      </c>
    </row>
    <row r="1318" spans="1:1" x14ac:dyDescent="0.4">
      <c r="A1318" s="12" t="str">
        <f t="shared" si="20"/>
        <v>01</v>
      </c>
    </row>
    <row r="1319" spans="1:1" x14ac:dyDescent="0.4">
      <c r="A1319" s="12" t="str">
        <f t="shared" si="20"/>
        <v>01</v>
      </c>
    </row>
    <row r="1320" spans="1:1" x14ac:dyDescent="0.4">
      <c r="A1320" s="12" t="str">
        <f t="shared" si="20"/>
        <v>01</v>
      </c>
    </row>
    <row r="1321" spans="1:1" x14ac:dyDescent="0.4">
      <c r="A1321" s="12" t="str">
        <f t="shared" si="20"/>
        <v>01</v>
      </c>
    </row>
    <row r="1322" spans="1:1" x14ac:dyDescent="0.4">
      <c r="A1322" s="12" t="str">
        <f t="shared" si="20"/>
        <v>01</v>
      </c>
    </row>
    <row r="1323" spans="1:1" x14ac:dyDescent="0.4">
      <c r="A1323" s="12" t="str">
        <f t="shared" si="20"/>
        <v>01</v>
      </c>
    </row>
    <row r="1324" spans="1:1" x14ac:dyDescent="0.4">
      <c r="A1324" s="12" t="str">
        <f t="shared" si="20"/>
        <v>01</v>
      </c>
    </row>
    <row r="1325" spans="1:1" x14ac:dyDescent="0.4">
      <c r="A1325" s="12" t="str">
        <f t="shared" si="20"/>
        <v>01</v>
      </c>
    </row>
    <row r="1326" spans="1:1" x14ac:dyDescent="0.4">
      <c r="A1326" s="12" t="str">
        <f t="shared" si="20"/>
        <v>01</v>
      </c>
    </row>
    <row r="1327" spans="1:1" x14ac:dyDescent="0.4">
      <c r="A1327" s="12" t="str">
        <f t="shared" si="20"/>
        <v>01</v>
      </c>
    </row>
    <row r="1328" spans="1:1" x14ac:dyDescent="0.4">
      <c r="A1328" s="12" t="str">
        <f t="shared" si="20"/>
        <v>01</v>
      </c>
    </row>
    <row r="1329" spans="1:1" x14ac:dyDescent="0.4">
      <c r="A1329" s="12" t="str">
        <f t="shared" si="20"/>
        <v>01</v>
      </c>
    </row>
    <row r="1330" spans="1:1" x14ac:dyDescent="0.4">
      <c r="A1330" s="12" t="str">
        <f t="shared" si="20"/>
        <v>01</v>
      </c>
    </row>
    <row r="1331" spans="1:1" x14ac:dyDescent="0.4">
      <c r="A1331" s="12" t="str">
        <f t="shared" si="20"/>
        <v>01</v>
      </c>
    </row>
    <row r="1332" spans="1:1" x14ac:dyDescent="0.4">
      <c r="A1332" s="12" t="str">
        <f t="shared" si="20"/>
        <v>01</v>
      </c>
    </row>
    <row r="1333" spans="1:1" x14ac:dyDescent="0.4">
      <c r="A1333" s="12" t="str">
        <f t="shared" si="20"/>
        <v>01</v>
      </c>
    </row>
    <row r="1334" spans="1:1" x14ac:dyDescent="0.4">
      <c r="A1334" s="12" t="str">
        <f t="shared" si="20"/>
        <v>01</v>
      </c>
    </row>
    <row r="1335" spans="1:1" x14ac:dyDescent="0.4">
      <c r="A1335" s="12" t="str">
        <f t="shared" si="20"/>
        <v>01</v>
      </c>
    </row>
    <row r="1336" spans="1:1" x14ac:dyDescent="0.4">
      <c r="A1336" s="12" t="str">
        <f t="shared" si="20"/>
        <v>01</v>
      </c>
    </row>
    <row r="1337" spans="1:1" x14ac:dyDescent="0.4">
      <c r="A1337" s="12" t="str">
        <f t="shared" si="20"/>
        <v>01</v>
      </c>
    </row>
    <row r="1338" spans="1:1" x14ac:dyDescent="0.4">
      <c r="A1338" s="12" t="str">
        <f t="shared" si="20"/>
        <v>01</v>
      </c>
    </row>
    <row r="1339" spans="1:1" x14ac:dyDescent="0.4">
      <c r="A1339" s="12" t="str">
        <f t="shared" si="20"/>
        <v>01</v>
      </c>
    </row>
    <row r="1340" spans="1:1" x14ac:dyDescent="0.4">
      <c r="A1340" s="12" t="str">
        <f t="shared" si="20"/>
        <v>01</v>
      </c>
    </row>
    <row r="1341" spans="1:1" x14ac:dyDescent="0.4">
      <c r="A1341" s="12" t="str">
        <f t="shared" si="20"/>
        <v>01</v>
      </c>
    </row>
    <row r="1342" spans="1:1" x14ac:dyDescent="0.4">
      <c r="A1342" s="12" t="str">
        <f t="shared" si="20"/>
        <v>01</v>
      </c>
    </row>
    <row r="1343" spans="1:1" x14ac:dyDescent="0.4">
      <c r="A1343" s="12" t="str">
        <f t="shared" si="20"/>
        <v>01</v>
      </c>
    </row>
    <row r="1344" spans="1:1" x14ac:dyDescent="0.4">
      <c r="A1344" s="12" t="str">
        <f t="shared" si="20"/>
        <v>01</v>
      </c>
    </row>
    <row r="1345" spans="1:1" x14ac:dyDescent="0.4">
      <c r="A1345" s="12" t="str">
        <f t="shared" si="20"/>
        <v>01</v>
      </c>
    </row>
    <row r="1346" spans="1:1" x14ac:dyDescent="0.4">
      <c r="A1346" s="12" t="str">
        <f t="shared" si="20"/>
        <v>01</v>
      </c>
    </row>
    <row r="1347" spans="1:1" x14ac:dyDescent="0.4">
      <c r="A1347" s="12" t="str">
        <f t="shared" ref="A1347:A1410" si="21">TEXT(L1347,"MM")</f>
        <v>01</v>
      </c>
    </row>
    <row r="1348" spans="1:1" x14ac:dyDescent="0.4">
      <c r="A1348" s="12" t="str">
        <f t="shared" si="21"/>
        <v>01</v>
      </c>
    </row>
    <row r="1349" spans="1:1" x14ac:dyDescent="0.4">
      <c r="A1349" s="12" t="str">
        <f t="shared" si="21"/>
        <v>01</v>
      </c>
    </row>
    <row r="1350" spans="1:1" x14ac:dyDescent="0.4">
      <c r="A1350" s="12" t="str">
        <f t="shared" si="21"/>
        <v>01</v>
      </c>
    </row>
    <row r="1351" spans="1:1" x14ac:dyDescent="0.4">
      <c r="A1351" s="12" t="str">
        <f t="shared" si="21"/>
        <v>01</v>
      </c>
    </row>
    <row r="1352" spans="1:1" x14ac:dyDescent="0.4">
      <c r="A1352" s="12" t="str">
        <f t="shared" si="21"/>
        <v>01</v>
      </c>
    </row>
    <row r="1353" spans="1:1" x14ac:dyDescent="0.4">
      <c r="A1353" s="12" t="str">
        <f t="shared" si="21"/>
        <v>01</v>
      </c>
    </row>
    <row r="1354" spans="1:1" x14ac:dyDescent="0.4">
      <c r="A1354" s="12" t="str">
        <f t="shared" si="21"/>
        <v>01</v>
      </c>
    </row>
    <row r="1355" spans="1:1" x14ac:dyDescent="0.4">
      <c r="A1355" s="12" t="str">
        <f t="shared" si="21"/>
        <v>01</v>
      </c>
    </row>
    <row r="1356" spans="1:1" x14ac:dyDescent="0.4">
      <c r="A1356" s="12" t="str">
        <f t="shared" si="21"/>
        <v>01</v>
      </c>
    </row>
    <row r="1357" spans="1:1" x14ac:dyDescent="0.4">
      <c r="A1357" s="12" t="str">
        <f t="shared" si="21"/>
        <v>01</v>
      </c>
    </row>
    <row r="1358" spans="1:1" x14ac:dyDescent="0.4">
      <c r="A1358" s="12" t="str">
        <f t="shared" si="21"/>
        <v>01</v>
      </c>
    </row>
    <row r="1359" spans="1:1" x14ac:dyDescent="0.4">
      <c r="A1359" s="12" t="str">
        <f t="shared" si="21"/>
        <v>01</v>
      </c>
    </row>
    <row r="1360" spans="1:1" x14ac:dyDescent="0.4">
      <c r="A1360" s="12" t="str">
        <f t="shared" si="21"/>
        <v>01</v>
      </c>
    </row>
    <row r="1361" spans="1:1" x14ac:dyDescent="0.4">
      <c r="A1361" s="12" t="str">
        <f t="shared" si="21"/>
        <v>01</v>
      </c>
    </row>
    <row r="1362" spans="1:1" x14ac:dyDescent="0.4">
      <c r="A1362" s="12" t="str">
        <f t="shared" si="21"/>
        <v>01</v>
      </c>
    </row>
    <row r="1363" spans="1:1" x14ac:dyDescent="0.4">
      <c r="A1363" s="12" t="str">
        <f t="shared" si="21"/>
        <v>01</v>
      </c>
    </row>
    <row r="1364" spans="1:1" x14ac:dyDescent="0.4">
      <c r="A1364" s="12" t="str">
        <f t="shared" si="21"/>
        <v>01</v>
      </c>
    </row>
    <row r="1365" spans="1:1" x14ac:dyDescent="0.4">
      <c r="A1365" s="12" t="str">
        <f t="shared" si="21"/>
        <v>01</v>
      </c>
    </row>
    <row r="1366" spans="1:1" x14ac:dyDescent="0.4">
      <c r="A1366" s="12" t="str">
        <f t="shared" si="21"/>
        <v>01</v>
      </c>
    </row>
    <row r="1367" spans="1:1" x14ac:dyDescent="0.4">
      <c r="A1367" s="12" t="str">
        <f t="shared" si="21"/>
        <v>01</v>
      </c>
    </row>
    <row r="1368" spans="1:1" x14ac:dyDescent="0.4">
      <c r="A1368" s="12" t="str">
        <f t="shared" si="21"/>
        <v>01</v>
      </c>
    </row>
    <row r="1369" spans="1:1" x14ac:dyDescent="0.4">
      <c r="A1369" s="12" t="str">
        <f t="shared" si="21"/>
        <v>01</v>
      </c>
    </row>
    <row r="1370" spans="1:1" x14ac:dyDescent="0.4">
      <c r="A1370" s="12" t="str">
        <f t="shared" si="21"/>
        <v>01</v>
      </c>
    </row>
    <row r="1371" spans="1:1" x14ac:dyDescent="0.4">
      <c r="A1371" s="12" t="str">
        <f t="shared" si="21"/>
        <v>01</v>
      </c>
    </row>
    <row r="1372" spans="1:1" x14ac:dyDescent="0.4">
      <c r="A1372" s="12" t="str">
        <f t="shared" si="21"/>
        <v>01</v>
      </c>
    </row>
    <row r="1373" spans="1:1" x14ac:dyDescent="0.4">
      <c r="A1373" s="12" t="str">
        <f t="shared" si="21"/>
        <v>01</v>
      </c>
    </row>
    <row r="1374" spans="1:1" x14ac:dyDescent="0.4">
      <c r="A1374" s="12" t="str">
        <f t="shared" si="21"/>
        <v>01</v>
      </c>
    </row>
    <row r="1375" spans="1:1" x14ac:dyDescent="0.4">
      <c r="A1375" s="12" t="str">
        <f t="shared" si="21"/>
        <v>01</v>
      </c>
    </row>
    <row r="1376" spans="1:1" x14ac:dyDescent="0.4">
      <c r="A1376" s="12" t="str">
        <f t="shared" si="21"/>
        <v>01</v>
      </c>
    </row>
    <row r="1377" spans="1:1" x14ac:dyDescent="0.4">
      <c r="A1377" s="12" t="str">
        <f t="shared" si="21"/>
        <v>01</v>
      </c>
    </row>
    <row r="1378" spans="1:1" x14ac:dyDescent="0.4">
      <c r="A1378" s="12" t="str">
        <f t="shared" si="21"/>
        <v>01</v>
      </c>
    </row>
    <row r="1379" spans="1:1" x14ac:dyDescent="0.4">
      <c r="A1379" s="12" t="str">
        <f t="shared" si="21"/>
        <v>01</v>
      </c>
    </row>
    <row r="1380" spans="1:1" x14ac:dyDescent="0.4">
      <c r="A1380" s="12" t="str">
        <f t="shared" si="21"/>
        <v>01</v>
      </c>
    </row>
    <row r="1381" spans="1:1" x14ac:dyDescent="0.4">
      <c r="A1381" s="12" t="str">
        <f t="shared" si="21"/>
        <v>01</v>
      </c>
    </row>
    <row r="1382" spans="1:1" x14ac:dyDescent="0.4">
      <c r="A1382" s="12" t="str">
        <f t="shared" si="21"/>
        <v>01</v>
      </c>
    </row>
    <row r="1383" spans="1:1" x14ac:dyDescent="0.4">
      <c r="A1383" s="12" t="str">
        <f t="shared" si="21"/>
        <v>01</v>
      </c>
    </row>
    <row r="1384" spans="1:1" x14ac:dyDescent="0.4">
      <c r="A1384" s="12" t="str">
        <f t="shared" si="21"/>
        <v>01</v>
      </c>
    </row>
    <row r="1385" spans="1:1" x14ac:dyDescent="0.4">
      <c r="A1385" s="12" t="str">
        <f t="shared" si="21"/>
        <v>01</v>
      </c>
    </row>
    <row r="1386" spans="1:1" x14ac:dyDescent="0.4">
      <c r="A1386" s="12" t="str">
        <f t="shared" si="21"/>
        <v>01</v>
      </c>
    </row>
    <row r="1387" spans="1:1" x14ac:dyDescent="0.4">
      <c r="A1387" s="12" t="str">
        <f t="shared" si="21"/>
        <v>01</v>
      </c>
    </row>
    <row r="1388" spans="1:1" x14ac:dyDescent="0.4">
      <c r="A1388" s="12" t="str">
        <f t="shared" si="21"/>
        <v>01</v>
      </c>
    </row>
    <row r="1389" spans="1:1" x14ac:dyDescent="0.4">
      <c r="A1389" s="12" t="str">
        <f t="shared" si="21"/>
        <v>01</v>
      </c>
    </row>
    <row r="1390" spans="1:1" x14ac:dyDescent="0.4">
      <c r="A1390" s="12" t="str">
        <f t="shared" si="21"/>
        <v>01</v>
      </c>
    </row>
    <row r="1391" spans="1:1" x14ac:dyDescent="0.4">
      <c r="A1391" s="12" t="str">
        <f t="shared" si="21"/>
        <v>01</v>
      </c>
    </row>
    <row r="1392" spans="1:1" x14ac:dyDescent="0.4">
      <c r="A1392" s="12" t="str">
        <f t="shared" si="21"/>
        <v>01</v>
      </c>
    </row>
    <row r="1393" spans="1:1" x14ac:dyDescent="0.4">
      <c r="A1393" s="12" t="str">
        <f t="shared" si="21"/>
        <v>01</v>
      </c>
    </row>
    <row r="1394" spans="1:1" x14ac:dyDescent="0.4">
      <c r="A1394" s="12" t="str">
        <f t="shared" si="21"/>
        <v>01</v>
      </c>
    </row>
    <row r="1395" spans="1:1" x14ac:dyDescent="0.4">
      <c r="A1395" s="12" t="str">
        <f t="shared" si="21"/>
        <v>01</v>
      </c>
    </row>
    <row r="1396" spans="1:1" x14ac:dyDescent="0.4">
      <c r="A1396" s="12" t="str">
        <f t="shared" si="21"/>
        <v>01</v>
      </c>
    </row>
    <row r="1397" spans="1:1" x14ac:dyDescent="0.4">
      <c r="A1397" s="12" t="str">
        <f t="shared" si="21"/>
        <v>01</v>
      </c>
    </row>
    <row r="1398" spans="1:1" x14ac:dyDescent="0.4">
      <c r="A1398" s="12" t="str">
        <f t="shared" si="21"/>
        <v>01</v>
      </c>
    </row>
    <row r="1399" spans="1:1" x14ac:dyDescent="0.4">
      <c r="A1399" s="12" t="str">
        <f t="shared" si="21"/>
        <v>01</v>
      </c>
    </row>
    <row r="1400" spans="1:1" x14ac:dyDescent="0.4">
      <c r="A1400" s="12" t="str">
        <f t="shared" si="21"/>
        <v>01</v>
      </c>
    </row>
    <row r="1401" spans="1:1" x14ac:dyDescent="0.4">
      <c r="A1401" s="12" t="str">
        <f t="shared" si="21"/>
        <v>01</v>
      </c>
    </row>
    <row r="1402" spans="1:1" x14ac:dyDescent="0.4">
      <c r="A1402" s="12" t="str">
        <f t="shared" si="21"/>
        <v>01</v>
      </c>
    </row>
    <row r="1403" spans="1:1" x14ac:dyDescent="0.4">
      <c r="A1403" s="12" t="str">
        <f t="shared" si="21"/>
        <v>01</v>
      </c>
    </row>
    <row r="1404" spans="1:1" x14ac:dyDescent="0.4">
      <c r="A1404" s="12" t="str">
        <f t="shared" si="21"/>
        <v>01</v>
      </c>
    </row>
    <row r="1405" spans="1:1" x14ac:dyDescent="0.4">
      <c r="A1405" s="12" t="str">
        <f t="shared" si="21"/>
        <v>01</v>
      </c>
    </row>
    <row r="1406" spans="1:1" x14ac:dyDescent="0.4">
      <c r="A1406" s="12" t="str">
        <f t="shared" si="21"/>
        <v>01</v>
      </c>
    </row>
    <row r="1407" spans="1:1" x14ac:dyDescent="0.4">
      <c r="A1407" s="12" t="str">
        <f t="shared" si="21"/>
        <v>01</v>
      </c>
    </row>
    <row r="1408" spans="1:1" x14ac:dyDescent="0.4">
      <c r="A1408" s="12" t="str">
        <f t="shared" si="21"/>
        <v>01</v>
      </c>
    </row>
    <row r="1409" spans="1:1" x14ac:dyDescent="0.4">
      <c r="A1409" s="12" t="str">
        <f t="shared" si="21"/>
        <v>01</v>
      </c>
    </row>
    <row r="1410" spans="1:1" x14ac:dyDescent="0.4">
      <c r="A1410" s="12" t="str">
        <f t="shared" si="21"/>
        <v>01</v>
      </c>
    </row>
    <row r="1411" spans="1:1" x14ac:dyDescent="0.4">
      <c r="A1411" s="12" t="str">
        <f t="shared" ref="A1411:A1474" si="22">TEXT(L1411,"MM")</f>
        <v>01</v>
      </c>
    </row>
    <row r="1412" spans="1:1" x14ac:dyDescent="0.4">
      <c r="A1412" s="12" t="str">
        <f t="shared" si="22"/>
        <v>01</v>
      </c>
    </row>
    <row r="1413" spans="1:1" x14ac:dyDescent="0.4">
      <c r="A1413" s="12" t="str">
        <f t="shared" si="22"/>
        <v>01</v>
      </c>
    </row>
    <row r="1414" spans="1:1" x14ac:dyDescent="0.4">
      <c r="A1414" s="12" t="str">
        <f t="shared" si="22"/>
        <v>01</v>
      </c>
    </row>
    <row r="1415" spans="1:1" x14ac:dyDescent="0.4">
      <c r="A1415" s="12" t="str">
        <f t="shared" si="22"/>
        <v>01</v>
      </c>
    </row>
    <row r="1416" spans="1:1" x14ac:dyDescent="0.4">
      <c r="A1416" s="12" t="str">
        <f t="shared" si="22"/>
        <v>01</v>
      </c>
    </row>
    <row r="1417" spans="1:1" x14ac:dyDescent="0.4">
      <c r="A1417" s="12" t="str">
        <f t="shared" si="22"/>
        <v>01</v>
      </c>
    </row>
    <row r="1418" spans="1:1" x14ac:dyDescent="0.4">
      <c r="A1418" s="12" t="str">
        <f t="shared" si="22"/>
        <v>01</v>
      </c>
    </row>
    <row r="1419" spans="1:1" x14ac:dyDescent="0.4">
      <c r="A1419" s="12" t="str">
        <f t="shared" si="22"/>
        <v>01</v>
      </c>
    </row>
    <row r="1420" spans="1:1" x14ac:dyDescent="0.4">
      <c r="A1420" s="12" t="str">
        <f t="shared" si="22"/>
        <v>01</v>
      </c>
    </row>
    <row r="1421" spans="1:1" x14ac:dyDescent="0.4">
      <c r="A1421" s="12" t="str">
        <f t="shared" si="22"/>
        <v>01</v>
      </c>
    </row>
    <row r="1422" spans="1:1" x14ac:dyDescent="0.4">
      <c r="A1422" s="12" t="str">
        <f t="shared" si="22"/>
        <v>01</v>
      </c>
    </row>
    <row r="1423" spans="1:1" x14ac:dyDescent="0.4">
      <c r="A1423" s="12" t="str">
        <f t="shared" si="22"/>
        <v>01</v>
      </c>
    </row>
    <row r="1424" spans="1:1" x14ac:dyDescent="0.4">
      <c r="A1424" s="12" t="str">
        <f t="shared" si="22"/>
        <v>01</v>
      </c>
    </row>
    <row r="1425" spans="1:1" x14ac:dyDescent="0.4">
      <c r="A1425" s="12" t="str">
        <f t="shared" si="22"/>
        <v>01</v>
      </c>
    </row>
    <row r="1426" spans="1:1" x14ac:dyDescent="0.4">
      <c r="A1426" s="12" t="str">
        <f t="shared" si="22"/>
        <v>01</v>
      </c>
    </row>
    <row r="1427" spans="1:1" x14ac:dyDescent="0.4">
      <c r="A1427" s="12" t="str">
        <f t="shared" si="22"/>
        <v>01</v>
      </c>
    </row>
    <row r="1428" spans="1:1" x14ac:dyDescent="0.4">
      <c r="A1428" s="12" t="str">
        <f t="shared" si="22"/>
        <v>01</v>
      </c>
    </row>
    <row r="1429" spans="1:1" x14ac:dyDescent="0.4">
      <c r="A1429" s="12" t="str">
        <f t="shared" si="22"/>
        <v>01</v>
      </c>
    </row>
    <row r="1430" spans="1:1" x14ac:dyDescent="0.4">
      <c r="A1430" s="12" t="str">
        <f t="shared" si="22"/>
        <v>01</v>
      </c>
    </row>
    <row r="1431" spans="1:1" x14ac:dyDescent="0.4">
      <c r="A1431" s="12" t="str">
        <f t="shared" si="22"/>
        <v>01</v>
      </c>
    </row>
    <row r="1432" spans="1:1" x14ac:dyDescent="0.4">
      <c r="A1432" s="12" t="str">
        <f t="shared" si="22"/>
        <v>01</v>
      </c>
    </row>
    <row r="1433" spans="1:1" x14ac:dyDescent="0.4">
      <c r="A1433" s="12" t="str">
        <f t="shared" si="22"/>
        <v>01</v>
      </c>
    </row>
    <row r="1434" spans="1:1" x14ac:dyDescent="0.4">
      <c r="A1434" s="12" t="str">
        <f t="shared" si="22"/>
        <v>01</v>
      </c>
    </row>
    <row r="1435" spans="1:1" x14ac:dyDescent="0.4">
      <c r="A1435" s="12" t="str">
        <f t="shared" si="22"/>
        <v>01</v>
      </c>
    </row>
    <row r="1436" spans="1:1" x14ac:dyDescent="0.4">
      <c r="A1436" s="12" t="str">
        <f t="shared" si="22"/>
        <v>01</v>
      </c>
    </row>
    <row r="1437" spans="1:1" x14ac:dyDescent="0.4">
      <c r="A1437" s="12" t="str">
        <f t="shared" si="22"/>
        <v>01</v>
      </c>
    </row>
    <row r="1438" spans="1:1" x14ac:dyDescent="0.4">
      <c r="A1438" s="12" t="str">
        <f t="shared" si="22"/>
        <v>01</v>
      </c>
    </row>
    <row r="1439" spans="1:1" x14ac:dyDescent="0.4">
      <c r="A1439" s="12" t="str">
        <f t="shared" si="22"/>
        <v>01</v>
      </c>
    </row>
    <row r="1440" spans="1:1" x14ac:dyDescent="0.4">
      <c r="A1440" s="12" t="str">
        <f t="shared" si="22"/>
        <v>01</v>
      </c>
    </row>
    <row r="1441" spans="1:1" x14ac:dyDescent="0.4">
      <c r="A1441" s="12" t="str">
        <f t="shared" si="22"/>
        <v>01</v>
      </c>
    </row>
    <row r="1442" spans="1:1" x14ac:dyDescent="0.4">
      <c r="A1442" s="12" t="str">
        <f t="shared" si="22"/>
        <v>01</v>
      </c>
    </row>
    <row r="1443" spans="1:1" x14ac:dyDescent="0.4">
      <c r="A1443" s="12" t="str">
        <f t="shared" si="22"/>
        <v>01</v>
      </c>
    </row>
    <row r="1444" spans="1:1" x14ac:dyDescent="0.4">
      <c r="A1444" s="12" t="str">
        <f t="shared" si="22"/>
        <v>01</v>
      </c>
    </row>
    <row r="1445" spans="1:1" x14ac:dyDescent="0.4">
      <c r="A1445" s="12" t="str">
        <f t="shared" si="22"/>
        <v>01</v>
      </c>
    </row>
    <row r="1446" spans="1:1" x14ac:dyDescent="0.4">
      <c r="A1446" s="12" t="str">
        <f t="shared" si="22"/>
        <v>01</v>
      </c>
    </row>
    <row r="1447" spans="1:1" x14ac:dyDescent="0.4">
      <c r="A1447" s="12" t="str">
        <f t="shared" si="22"/>
        <v>01</v>
      </c>
    </row>
    <row r="1448" spans="1:1" x14ac:dyDescent="0.4">
      <c r="A1448" s="12" t="str">
        <f t="shared" si="22"/>
        <v>01</v>
      </c>
    </row>
    <row r="1449" spans="1:1" x14ac:dyDescent="0.4">
      <c r="A1449" s="12" t="str">
        <f t="shared" si="22"/>
        <v>01</v>
      </c>
    </row>
    <row r="1450" spans="1:1" x14ac:dyDescent="0.4">
      <c r="A1450" s="12" t="str">
        <f t="shared" si="22"/>
        <v>01</v>
      </c>
    </row>
    <row r="1451" spans="1:1" x14ac:dyDescent="0.4">
      <c r="A1451" s="12" t="str">
        <f t="shared" si="22"/>
        <v>01</v>
      </c>
    </row>
    <row r="1452" spans="1:1" x14ac:dyDescent="0.4">
      <c r="A1452" s="12" t="str">
        <f t="shared" si="22"/>
        <v>01</v>
      </c>
    </row>
    <row r="1453" spans="1:1" x14ac:dyDescent="0.4">
      <c r="A1453" s="12" t="str">
        <f t="shared" si="22"/>
        <v>01</v>
      </c>
    </row>
    <row r="1454" spans="1:1" x14ac:dyDescent="0.4">
      <c r="A1454" s="12" t="str">
        <f t="shared" si="22"/>
        <v>01</v>
      </c>
    </row>
    <row r="1455" spans="1:1" x14ac:dyDescent="0.4">
      <c r="A1455" s="12" t="str">
        <f t="shared" si="22"/>
        <v>01</v>
      </c>
    </row>
    <row r="1456" spans="1:1" x14ac:dyDescent="0.4">
      <c r="A1456" s="12" t="str">
        <f t="shared" si="22"/>
        <v>01</v>
      </c>
    </row>
    <row r="1457" spans="1:1" x14ac:dyDescent="0.4">
      <c r="A1457" s="12" t="str">
        <f t="shared" si="22"/>
        <v>01</v>
      </c>
    </row>
    <row r="1458" spans="1:1" x14ac:dyDescent="0.4">
      <c r="A1458" s="12" t="str">
        <f t="shared" si="22"/>
        <v>01</v>
      </c>
    </row>
    <row r="1459" spans="1:1" x14ac:dyDescent="0.4">
      <c r="A1459" s="12" t="str">
        <f t="shared" si="22"/>
        <v>01</v>
      </c>
    </row>
    <row r="1460" spans="1:1" x14ac:dyDescent="0.4">
      <c r="A1460" s="12" t="str">
        <f t="shared" si="22"/>
        <v>01</v>
      </c>
    </row>
    <row r="1461" spans="1:1" x14ac:dyDescent="0.4">
      <c r="A1461" s="12" t="str">
        <f t="shared" si="22"/>
        <v>01</v>
      </c>
    </row>
    <row r="1462" spans="1:1" x14ac:dyDescent="0.4">
      <c r="A1462" s="12" t="str">
        <f t="shared" si="22"/>
        <v>01</v>
      </c>
    </row>
    <row r="1463" spans="1:1" x14ac:dyDescent="0.4">
      <c r="A1463" s="12" t="str">
        <f t="shared" si="22"/>
        <v>01</v>
      </c>
    </row>
    <row r="1464" spans="1:1" x14ac:dyDescent="0.4">
      <c r="A1464" s="12" t="str">
        <f t="shared" si="22"/>
        <v>01</v>
      </c>
    </row>
    <row r="1465" spans="1:1" x14ac:dyDescent="0.4">
      <c r="A1465" s="12" t="str">
        <f t="shared" si="22"/>
        <v>01</v>
      </c>
    </row>
    <row r="1466" spans="1:1" x14ac:dyDescent="0.4">
      <c r="A1466" s="12" t="str">
        <f t="shared" si="22"/>
        <v>01</v>
      </c>
    </row>
    <row r="1467" spans="1:1" x14ac:dyDescent="0.4">
      <c r="A1467" s="12" t="str">
        <f t="shared" si="22"/>
        <v>01</v>
      </c>
    </row>
    <row r="1468" spans="1:1" x14ac:dyDescent="0.4">
      <c r="A1468" s="12" t="str">
        <f t="shared" si="22"/>
        <v>01</v>
      </c>
    </row>
    <row r="1469" spans="1:1" x14ac:dyDescent="0.4">
      <c r="A1469" s="12" t="str">
        <f t="shared" si="22"/>
        <v>01</v>
      </c>
    </row>
    <row r="1470" spans="1:1" x14ac:dyDescent="0.4">
      <c r="A1470" s="12" t="str">
        <f t="shared" si="22"/>
        <v>01</v>
      </c>
    </row>
    <row r="1471" spans="1:1" x14ac:dyDescent="0.4">
      <c r="A1471" s="12" t="str">
        <f t="shared" si="22"/>
        <v>01</v>
      </c>
    </row>
    <row r="1472" spans="1:1" x14ac:dyDescent="0.4">
      <c r="A1472" s="12" t="str">
        <f t="shared" si="22"/>
        <v>01</v>
      </c>
    </row>
    <row r="1473" spans="1:1" x14ac:dyDescent="0.4">
      <c r="A1473" s="12" t="str">
        <f t="shared" si="22"/>
        <v>01</v>
      </c>
    </row>
    <row r="1474" spans="1:1" x14ac:dyDescent="0.4">
      <c r="A1474" s="12" t="str">
        <f t="shared" si="22"/>
        <v>01</v>
      </c>
    </row>
    <row r="1475" spans="1:1" x14ac:dyDescent="0.4">
      <c r="A1475" s="12" t="str">
        <f t="shared" ref="A1475:A1515" si="23">TEXT(L1475,"MM")</f>
        <v>01</v>
      </c>
    </row>
    <row r="1476" spans="1:1" x14ac:dyDescent="0.4">
      <c r="A1476" s="12" t="str">
        <f t="shared" si="23"/>
        <v>01</v>
      </c>
    </row>
    <row r="1477" spans="1:1" x14ac:dyDescent="0.4">
      <c r="A1477" s="12" t="str">
        <f t="shared" si="23"/>
        <v>01</v>
      </c>
    </row>
    <row r="1478" spans="1:1" x14ac:dyDescent="0.4">
      <c r="A1478" s="12" t="str">
        <f t="shared" si="23"/>
        <v>01</v>
      </c>
    </row>
    <row r="1479" spans="1:1" x14ac:dyDescent="0.4">
      <c r="A1479" s="12" t="str">
        <f t="shared" si="23"/>
        <v>01</v>
      </c>
    </row>
    <row r="1480" spans="1:1" x14ac:dyDescent="0.4">
      <c r="A1480" s="12" t="str">
        <f t="shared" si="23"/>
        <v>01</v>
      </c>
    </row>
    <row r="1481" spans="1:1" x14ac:dyDescent="0.4">
      <c r="A1481" s="12" t="str">
        <f t="shared" si="23"/>
        <v>01</v>
      </c>
    </row>
    <row r="1482" spans="1:1" x14ac:dyDescent="0.4">
      <c r="A1482" s="12" t="str">
        <f t="shared" si="23"/>
        <v>01</v>
      </c>
    </row>
    <row r="1483" spans="1:1" x14ac:dyDescent="0.4">
      <c r="A1483" s="12" t="str">
        <f t="shared" si="23"/>
        <v>01</v>
      </c>
    </row>
    <row r="1484" spans="1:1" x14ac:dyDescent="0.4">
      <c r="A1484" s="12" t="str">
        <f t="shared" si="23"/>
        <v>01</v>
      </c>
    </row>
    <row r="1485" spans="1:1" x14ac:dyDescent="0.4">
      <c r="A1485" s="12" t="str">
        <f t="shared" si="23"/>
        <v>01</v>
      </c>
    </row>
    <row r="1486" spans="1:1" x14ac:dyDescent="0.4">
      <c r="A1486" s="12" t="str">
        <f t="shared" si="23"/>
        <v>01</v>
      </c>
    </row>
    <row r="1487" spans="1:1" x14ac:dyDescent="0.4">
      <c r="A1487" s="12" t="str">
        <f t="shared" si="23"/>
        <v>01</v>
      </c>
    </row>
    <row r="1488" spans="1:1" x14ac:dyDescent="0.4">
      <c r="A1488" s="12" t="str">
        <f t="shared" si="23"/>
        <v>01</v>
      </c>
    </row>
    <row r="1489" spans="1:1" x14ac:dyDescent="0.4">
      <c r="A1489" s="12" t="str">
        <f t="shared" si="23"/>
        <v>01</v>
      </c>
    </row>
    <row r="1490" spans="1:1" x14ac:dyDescent="0.4">
      <c r="A1490" s="12" t="str">
        <f t="shared" si="23"/>
        <v>01</v>
      </c>
    </row>
    <row r="1491" spans="1:1" x14ac:dyDescent="0.4">
      <c r="A1491" s="12" t="str">
        <f t="shared" si="23"/>
        <v>01</v>
      </c>
    </row>
    <row r="1492" spans="1:1" x14ac:dyDescent="0.4">
      <c r="A1492" s="12" t="str">
        <f t="shared" si="23"/>
        <v>01</v>
      </c>
    </row>
    <row r="1493" spans="1:1" x14ac:dyDescent="0.4">
      <c r="A1493" s="12" t="str">
        <f t="shared" si="23"/>
        <v>01</v>
      </c>
    </row>
    <row r="1494" spans="1:1" x14ac:dyDescent="0.4">
      <c r="A1494" s="12" t="str">
        <f t="shared" si="23"/>
        <v>01</v>
      </c>
    </row>
    <row r="1495" spans="1:1" x14ac:dyDescent="0.4">
      <c r="A1495" s="12" t="str">
        <f t="shared" si="23"/>
        <v>01</v>
      </c>
    </row>
    <row r="1496" spans="1:1" x14ac:dyDescent="0.4">
      <c r="A1496" s="12" t="str">
        <f t="shared" si="23"/>
        <v>01</v>
      </c>
    </row>
    <row r="1497" spans="1:1" x14ac:dyDescent="0.4">
      <c r="A1497" s="12" t="str">
        <f t="shared" si="23"/>
        <v>01</v>
      </c>
    </row>
    <row r="1498" spans="1:1" x14ac:dyDescent="0.4">
      <c r="A1498" s="12" t="str">
        <f t="shared" si="23"/>
        <v>01</v>
      </c>
    </row>
    <row r="1499" spans="1:1" x14ac:dyDescent="0.4">
      <c r="A1499" s="12" t="str">
        <f t="shared" si="23"/>
        <v>01</v>
      </c>
    </row>
    <row r="1500" spans="1:1" x14ac:dyDescent="0.4">
      <c r="A1500" s="12" t="str">
        <f t="shared" si="23"/>
        <v>01</v>
      </c>
    </row>
    <row r="1501" spans="1:1" x14ac:dyDescent="0.4">
      <c r="A1501" s="12" t="str">
        <f t="shared" si="23"/>
        <v>01</v>
      </c>
    </row>
    <row r="1502" spans="1:1" x14ac:dyDescent="0.4">
      <c r="A1502" s="12" t="str">
        <f t="shared" si="23"/>
        <v>01</v>
      </c>
    </row>
    <row r="1503" spans="1:1" x14ac:dyDescent="0.4">
      <c r="A1503" s="12" t="str">
        <f t="shared" si="23"/>
        <v>01</v>
      </c>
    </row>
    <row r="1504" spans="1:1" x14ac:dyDescent="0.4">
      <c r="A1504" s="12" t="str">
        <f t="shared" si="23"/>
        <v>01</v>
      </c>
    </row>
    <row r="1505" spans="1:1" x14ac:dyDescent="0.4">
      <c r="A1505" s="12" t="str">
        <f t="shared" si="23"/>
        <v>01</v>
      </c>
    </row>
    <row r="1506" spans="1:1" x14ac:dyDescent="0.4">
      <c r="A1506" s="12" t="str">
        <f t="shared" si="23"/>
        <v>01</v>
      </c>
    </row>
    <row r="1507" spans="1:1" x14ac:dyDescent="0.4">
      <c r="A1507" s="12" t="str">
        <f t="shared" si="23"/>
        <v>01</v>
      </c>
    </row>
    <row r="1508" spans="1:1" x14ac:dyDescent="0.4">
      <c r="A1508" s="12" t="str">
        <f t="shared" si="23"/>
        <v>01</v>
      </c>
    </row>
    <row r="1509" spans="1:1" x14ac:dyDescent="0.4">
      <c r="A1509" s="12" t="str">
        <f t="shared" si="23"/>
        <v>01</v>
      </c>
    </row>
    <row r="1510" spans="1:1" x14ac:dyDescent="0.4">
      <c r="A1510" s="12" t="str">
        <f t="shared" si="23"/>
        <v>01</v>
      </c>
    </row>
    <row r="1511" spans="1:1" x14ac:dyDescent="0.4">
      <c r="A1511" s="12" t="str">
        <f t="shared" si="23"/>
        <v>01</v>
      </c>
    </row>
    <row r="1512" spans="1:1" x14ac:dyDescent="0.4">
      <c r="A1512" s="12" t="str">
        <f t="shared" si="23"/>
        <v>01</v>
      </c>
    </row>
    <row r="1513" spans="1:1" x14ac:dyDescent="0.4">
      <c r="A1513" s="12" t="str">
        <f t="shared" si="23"/>
        <v>01</v>
      </c>
    </row>
    <row r="1514" spans="1:1" x14ac:dyDescent="0.4">
      <c r="A1514" s="12" t="str">
        <f t="shared" si="23"/>
        <v>01</v>
      </c>
    </row>
    <row r="1515" spans="1:1" x14ac:dyDescent="0.4">
      <c r="A1515" s="12" t="str">
        <f t="shared" si="23"/>
        <v>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G8"/>
  <sheetViews>
    <sheetView workbookViewId="0">
      <selection activeCell="H1" sqref="H1"/>
    </sheetView>
  </sheetViews>
  <sheetFormatPr defaultRowHeight="17.399999999999999" x14ac:dyDescent="0.4"/>
  <cols>
    <col min="1" max="1" width="14.69921875" customWidth="1"/>
    <col min="2" max="3" width="13.69921875" customWidth="1"/>
    <col min="4" max="4" width="14.69921875" customWidth="1"/>
    <col min="5" max="5" width="13.69921875" customWidth="1"/>
  </cols>
  <sheetData>
    <row r="1" spans="1:7" ht="22.95" customHeight="1" thickBot="1" x14ac:dyDescent="0.45">
      <c r="A1" s="2" t="s">
        <v>13</v>
      </c>
      <c r="B1" s="3" t="s">
        <v>0</v>
      </c>
      <c r="C1" s="3" t="s">
        <v>14</v>
      </c>
      <c r="D1" s="3" t="s">
        <v>15</v>
      </c>
      <c r="E1" s="3" t="s">
        <v>16</v>
      </c>
      <c r="G1">
        <v>14</v>
      </c>
    </row>
    <row r="2" spans="1:7" ht="25.05" customHeight="1" thickBot="1" x14ac:dyDescent="0.45">
      <c r="A2" s="17" t="str">
        <f>IF(SiteAccessDownload!Z2="","",SiteAccessDownload!Z2)</f>
        <v/>
      </c>
      <c r="B2" s="20" t="str">
        <f>IF(SiteAccessDownload!Q2="","",SiteAccessDownload!Q2)</f>
        <v/>
      </c>
      <c r="C2" s="20" t="str">
        <f>IF(SiteAccessDownload!W2="","",SiteAccessDownload!W2)</f>
        <v/>
      </c>
      <c r="D2" s="34" t="str">
        <f>IF(SiteAccessDownload!S2="","",SiteAccessDownload!S2)</f>
        <v/>
      </c>
      <c r="E2" s="20" t="str">
        <f>IF(SiteAccessDownload!Y2="","",SiteAccessDownload!Y2)</f>
        <v/>
      </c>
      <c r="G2">
        <v>13</v>
      </c>
    </row>
    <row r="3" spans="1:7" ht="25.05" customHeight="1" thickBot="1" x14ac:dyDescent="0.45">
      <c r="A3" s="17" t="str">
        <f>IF(SiteAccessDownload!Z3="","",SiteAccessDownload!Z3)</f>
        <v/>
      </c>
      <c r="B3" s="20" t="str">
        <f>IF(SiteAccessDownload!Q3="","",SiteAccessDownload!Q3)</f>
        <v/>
      </c>
      <c r="C3" s="20" t="str">
        <f>IF(SiteAccessDownload!W3="","",SiteAccessDownload!W3)</f>
        <v/>
      </c>
      <c r="D3" s="34" t="str">
        <f>IF(SiteAccessDownload!S3="","",SiteAccessDownload!S3)</f>
        <v/>
      </c>
      <c r="E3" s="20" t="str">
        <f>IF(SiteAccessDownload!Y3="","",SiteAccessDownload!Y3)</f>
        <v/>
      </c>
      <c r="G3">
        <v>13</v>
      </c>
    </row>
    <row r="4" spans="1:7" ht="25.05" customHeight="1" thickBot="1" x14ac:dyDescent="0.45">
      <c r="A4" s="17" t="str">
        <f>IF(SiteAccessDownload!Z4="","",SiteAccessDownload!Z4)</f>
        <v/>
      </c>
      <c r="B4" s="20" t="str">
        <f>IF(SiteAccessDownload!Q4="","",SiteAccessDownload!Q4)</f>
        <v/>
      </c>
      <c r="C4" s="20" t="str">
        <f>IF(SiteAccessDownload!W4="","",SiteAccessDownload!W4)</f>
        <v/>
      </c>
      <c r="D4" s="34" t="str">
        <f>IF(SiteAccessDownload!S4="","",SiteAccessDownload!S4)</f>
        <v/>
      </c>
      <c r="E4" s="20" t="str">
        <f>IF(SiteAccessDownload!Y4="","",SiteAccessDownload!Y4)</f>
        <v/>
      </c>
      <c r="G4">
        <v>14</v>
      </c>
    </row>
    <row r="5" spans="1:7" ht="25.05" customHeight="1" thickBot="1" x14ac:dyDescent="0.45">
      <c r="A5" s="17" t="str">
        <f>IF(SiteAccessDownload!Z5="","",SiteAccessDownload!Z5)</f>
        <v/>
      </c>
      <c r="B5" s="20" t="str">
        <f>IF(SiteAccessDownload!Q5="","",SiteAccessDownload!Q5)</f>
        <v/>
      </c>
      <c r="C5" s="20" t="str">
        <f>IF(SiteAccessDownload!W5="","",SiteAccessDownload!W5)</f>
        <v/>
      </c>
      <c r="D5" s="34" t="str">
        <f>IF(SiteAccessDownload!S5="","",SiteAccessDownload!S5)</f>
        <v/>
      </c>
      <c r="E5" s="20" t="str">
        <f>IF(SiteAccessDownload!Y5="","",SiteAccessDownload!Y5)</f>
        <v/>
      </c>
      <c r="G5">
        <v>13</v>
      </c>
    </row>
    <row r="6" spans="1:7" ht="25.05" customHeight="1" thickBot="1" x14ac:dyDescent="0.45">
      <c r="A6" s="17" t="str">
        <f>IF(SiteAccessDownload!Z6="","",SiteAccessDownload!Z6)</f>
        <v/>
      </c>
      <c r="B6" s="20" t="str">
        <f>IF(SiteAccessDownload!Q6="","",SiteAccessDownload!Q6)</f>
        <v/>
      </c>
      <c r="C6" s="20" t="str">
        <f>IF(SiteAccessDownload!W6="","",SiteAccessDownload!W6)</f>
        <v/>
      </c>
      <c r="D6" s="34" t="str">
        <f>IF(SiteAccessDownload!S6="","",SiteAccessDownload!S6)</f>
        <v/>
      </c>
      <c r="E6" s="20" t="str">
        <f>IF(SiteAccessDownload!Y6="","",SiteAccessDownload!Y6)</f>
        <v/>
      </c>
    </row>
    <row r="7" spans="1:7" ht="4.95" customHeight="1" x14ac:dyDescent="0.4">
      <c r="A7" s="267" t="s">
        <v>2</v>
      </c>
      <c r="B7" s="268"/>
      <c r="C7" s="268"/>
      <c r="D7" s="268"/>
      <c r="E7" s="269"/>
    </row>
    <row r="8" spans="1:7" ht="4.95" customHeight="1" thickBot="1" x14ac:dyDescent="0.45">
      <c r="A8" s="270"/>
      <c r="B8" s="271"/>
      <c r="C8" s="271"/>
      <c r="D8" s="271"/>
      <c r="E8" s="272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C3480"/>
  <sheetViews>
    <sheetView topLeftCell="K1" workbookViewId="0">
      <selection activeCell="L2" sqref="L2"/>
    </sheetView>
  </sheetViews>
  <sheetFormatPr defaultRowHeight="17.399999999999999" x14ac:dyDescent="0.4"/>
  <cols>
    <col min="1" max="1" width="8.796875" style="15"/>
    <col min="2" max="2" width="10.3984375" bestFit="1" customWidth="1"/>
    <col min="3" max="3" width="11" customWidth="1"/>
    <col min="4" max="4" width="48.09765625" bestFit="1" customWidth="1"/>
    <col min="5" max="5" width="21.3984375" bestFit="1" customWidth="1"/>
    <col min="6" max="6" width="18.09765625" bestFit="1" customWidth="1"/>
    <col min="7" max="7" width="20.5" bestFit="1" customWidth="1"/>
    <col min="8" max="8" width="23.59765625" customWidth="1"/>
    <col min="9" max="9" width="17.19921875" bestFit="1" customWidth="1"/>
    <col min="10" max="10" width="19.5" bestFit="1" customWidth="1"/>
    <col min="11" max="13" width="19.5" customWidth="1"/>
    <col min="14" max="14" width="15.5" bestFit="1" customWidth="1"/>
    <col min="15" max="15" width="11.59765625" style="4" bestFit="1" customWidth="1"/>
    <col min="16" max="16" width="39.69921875" bestFit="1" customWidth="1"/>
    <col min="17" max="17" width="49.5" customWidth="1"/>
    <col min="18" max="18" width="36.59765625" style="38" bestFit="1" customWidth="1"/>
    <col min="19" max="19" width="19" style="39" bestFit="1" customWidth="1"/>
    <col min="20" max="20" width="19" style="4" bestFit="1" customWidth="1"/>
    <col min="21" max="21" width="16.5" bestFit="1" customWidth="1"/>
    <col min="22" max="22" width="23.19921875" style="4" bestFit="1" customWidth="1"/>
    <col min="23" max="23" width="21.19921875" style="4" bestFit="1" customWidth="1"/>
    <col min="24" max="24" width="21" style="4" bestFit="1" customWidth="1"/>
    <col min="25" max="25" width="18.5" style="1" customWidth="1"/>
    <col min="26" max="26" width="11.59765625" bestFit="1" customWidth="1"/>
  </cols>
  <sheetData>
    <row r="1" spans="1:29" x14ac:dyDescent="0.4">
      <c r="A1" s="13" t="s">
        <v>6</v>
      </c>
      <c r="B1" s="32" t="s">
        <v>37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8</v>
      </c>
      <c r="H1" s="32" t="s">
        <v>10</v>
      </c>
      <c r="I1" s="32" t="s">
        <v>14</v>
      </c>
      <c r="J1" s="32" t="s">
        <v>12</v>
      </c>
      <c r="K1" s="32" t="s">
        <v>7</v>
      </c>
      <c r="L1" s="32" t="s">
        <v>5</v>
      </c>
      <c r="M1" s="36"/>
      <c r="N1" s="41" t="str">
        <f>IncidentDownload!P1</f>
        <v>06</v>
      </c>
      <c r="O1" s="8" t="s">
        <v>33</v>
      </c>
      <c r="P1" s="33" t="s">
        <v>37</v>
      </c>
      <c r="Q1" s="33" t="s">
        <v>18</v>
      </c>
      <c r="R1" s="33" t="s">
        <v>19</v>
      </c>
      <c r="S1" s="33" t="s">
        <v>20</v>
      </c>
      <c r="T1" s="33" t="s">
        <v>21</v>
      </c>
      <c r="U1" s="33" t="s">
        <v>8</v>
      </c>
      <c r="V1" s="33" t="s">
        <v>84</v>
      </c>
      <c r="W1" s="33" t="s">
        <v>1</v>
      </c>
      <c r="X1" s="33" t="s">
        <v>85</v>
      </c>
      <c r="Y1" s="33" t="s">
        <v>7</v>
      </c>
      <c r="Z1" s="33" t="s">
        <v>5</v>
      </c>
      <c r="AA1" s="29"/>
      <c r="AB1" s="29"/>
      <c r="AC1" s="30"/>
    </row>
    <row r="2" spans="1:29" ht="34.799999999999997" x14ac:dyDescent="0.4">
      <c r="A2" s="14" t="str">
        <f>TEXT(L2,"MM")</f>
        <v>Completed</v>
      </c>
      <c r="B2" s="46" t="s">
        <v>39</v>
      </c>
      <c r="C2">
        <v>11561</v>
      </c>
      <c r="D2" t="s">
        <v>40</v>
      </c>
      <c r="G2" t="s">
        <v>41</v>
      </c>
      <c r="H2" t="s">
        <v>42</v>
      </c>
      <c r="J2" t="s">
        <v>43</v>
      </c>
      <c r="L2" t="s">
        <v>44</v>
      </c>
      <c r="N2" s="1">
        <v>45229.539768518516</v>
      </c>
      <c r="O2" s="4" t="str" cm="1">
        <f t="array" ref="O2">IF(_xlfn._xlws.FILTER($A$2:$L$200,($A$2:$A$200=N1),"결과값 없음")=0,"",_xlfn._xlws.FILTER($A$2:$L$200,($A$2:$A$200=N1),"결과값 없음"))</f>
        <v>결과값 없음</v>
      </c>
      <c r="U2" s="4"/>
      <c r="Y2" s="40"/>
      <c r="Z2" s="47"/>
      <c r="AA2" s="29"/>
      <c r="AB2" s="30"/>
      <c r="AC2" s="30"/>
    </row>
    <row r="3" spans="1:29" ht="34.799999999999997" x14ac:dyDescent="0.4">
      <c r="A3" s="14" t="str">
        <f t="shared" ref="A3:A66" si="0">TEXT(L3,"MM")</f>
        <v>Completed</v>
      </c>
      <c r="B3" s="46" t="s">
        <v>39</v>
      </c>
      <c r="C3">
        <v>7603</v>
      </c>
      <c r="D3" t="s">
        <v>45</v>
      </c>
      <c r="G3" t="s">
        <v>46</v>
      </c>
      <c r="H3" t="s">
        <v>42</v>
      </c>
      <c r="J3" t="s">
        <v>43</v>
      </c>
      <c r="L3" t="s">
        <v>44</v>
      </c>
      <c r="N3" s="1">
        <v>45126.479108796295</v>
      </c>
      <c r="Y3" s="40"/>
      <c r="Z3" s="29"/>
      <c r="AA3" s="29"/>
      <c r="AB3" s="30"/>
      <c r="AC3" s="30"/>
    </row>
    <row r="4" spans="1:29" ht="34.799999999999997" x14ac:dyDescent="0.4">
      <c r="A4" s="14" t="str">
        <f t="shared" si="0"/>
        <v>Completed</v>
      </c>
      <c r="B4" s="46" t="s">
        <v>39</v>
      </c>
      <c r="C4">
        <v>7397</v>
      </c>
      <c r="D4" t="s">
        <v>47</v>
      </c>
      <c r="G4" t="s">
        <v>41</v>
      </c>
      <c r="H4" t="s">
        <v>42</v>
      </c>
      <c r="J4" t="s">
        <v>43</v>
      </c>
      <c r="L4" t="s">
        <v>44</v>
      </c>
      <c r="N4" s="1">
        <v>45120.443287037036</v>
      </c>
      <c r="Y4" s="37"/>
      <c r="Z4" s="29"/>
      <c r="AA4" s="29"/>
      <c r="AB4" s="30"/>
      <c r="AC4" s="30"/>
    </row>
    <row r="5" spans="1:29" ht="34.799999999999997" x14ac:dyDescent="0.4">
      <c r="A5" s="14" t="str">
        <f t="shared" si="0"/>
        <v>Completed</v>
      </c>
      <c r="B5" s="46" t="s">
        <v>39</v>
      </c>
      <c r="C5">
        <v>6448</v>
      </c>
      <c r="D5" t="s">
        <v>45</v>
      </c>
      <c r="G5" t="s">
        <v>41</v>
      </c>
      <c r="H5" t="s">
        <v>42</v>
      </c>
      <c r="J5" t="s">
        <v>43</v>
      </c>
      <c r="L5" t="s">
        <v>44</v>
      </c>
      <c r="N5" s="1">
        <v>45097.502754629626</v>
      </c>
      <c r="Y5" s="37"/>
      <c r="Z5" s="29"/>
      <c r="AA5" s="29"/>
      <c r="AB5" s="30"/>
      <c r="AC5" s="30"/>
    </row>
    <row r="6" spans="1:29" x14ac:dyDescent="0.4">
      <c r="A6" s="14" t="str">
        <f t="shared" si="0"/>
        <v>01</v>
      </c>
      <c r="Y6" s="37"/>
      <c r="Z6" s="29"/>
      <c r="AA6" s="29"/>
      <c r="AB6" s="30"/>
      <c r="AC6" s="30"/>
    </row>
    <row r="7" spans="1:29" x14ac:dyDescent="0.4">
      <c r="A7" s="14" t="str">
        <f t="shared" si="0"/>
        <v>01</v>
      </c>
      <c r="Y7" s="37"/>
      <c r="Z7" s="29"/>
      <c r="AA7" s="29"/>
      <c r="AB7" s="30"/>
      <c r="AC7" s="30"/>
    </row>
    <row r="8" spans="1:29" x14ac:dyDescent="0.4">
      <c r="A8" s="14" t="str">
        <f t="shared" si="0"/>
        <v>01</v>
      </c>
      <c r="Y8" s="37"/>
      <c r="Z8" s="29"/>
      <c r="AA8" s="29"/>
      <c r="AB8" s="30"/>
      <c r="AC8" s="30"/>
    </row>
    <row r="9" spans="1:29" x14ac:dyDescent="0.4">
      <c r="A9" s="14" t="str">
        <f t="shared" si="0"/>
        <v>01</v>
      </c>
      <c r="Y9" s="37"/>
      <c r="Z9" s="29"/>
      <c r="AA9" s="29"/>
      <c r="AB9" s="30"/>
      <c r="AC9" s="30"/>
    </row>
    <row r="10" spans="1:29" x14ac:dyDescent="0.4">
      <c r="A10" s="14" t="str">
        <f t="shared" si="0"/>
        <v>01</v>
      </c>
      <c r="Y10" s="37"/>
      <c r="Z10" s="29"/>
      <c r="AA10" s="29"/>
      <c r="AB10" s="30"/>
      <c r="AC10" s="30"/>
    </row>
    <row r="11" spans="1:29" x14ac:dyDescent="0.4">
      <c r="A11" s="14" t="str">
        <f t="shared" si="0"/>
        <v>01</v>
      </c>
      <c r="Y11" s="37"/>
      <c r="Z11" s="29"/>
      <c r="AA11" s="29"/>
      <c r="AB11" s="30"/>
      <c r="AC11" s="30"/>
    </row>
    <row r="12" spans="1:29" x14ac:dyDescent="0.4">
      <c r="A12" s="14" t="str">
        <f t="shared" si="0"/>
        <v>01</v>
      </c>
      <c r="Y12" s="37"/>
      <c r="Z12" s="29"/>
      <c r="AA12" s="29"/>
      <c r="AB12" s="30"/>
      <c r="AC12" s="30"/>
    </row>
    <row r="13" spans="1:29" x14ac:dyDescent="0.4">
      <c r="A13" s="14" t="str">
        <f t="shared" si="0"/>
        <v>01</v>
      </c>
      <c r="Y13" s="37"/>
      <c r="Z13" s="30"/>
      <c r="AA13" s="30"/>
      <c r="AB13" s="30"/>
      <c r="AC13" s="30"/>
    </row>
    <row r="14" spans="1:29" x14ac:dyDescent="0.4">
      <c r="A14" s="14" t="str">
        <f t="shared" si="0"/>
        <v>01</v>
      </c>
      <c r="Y14" s="37"/>
      <c r="Z14" s="30"/>
      <c r="AA14" s="30"/>
      <c r="AB14" s="30"/>
      <c r="AC14" s="30"/>
    </row>
    <row r="15" spans="1:29" x14ac:dyDescent="0.4">
      <c r="A15" s="14" t="str">
        <f t="shared" si="0"/>
        <v>01</v>
      </c>
      <c r="Y15" s="37"/>
      <c r="Z15" s="30"/>
      <c r="AA15" s="30"/>
      <c r="AB15" s="30"/>
      <c r="AC15" s="30"/>
    </row>
    <row r="16" spans="1:29" x14ac:dyDescent="0.4">
      <c r="A16" s="14" t="str">
        <f t="shared" si="0"/>
        <v>01</v>
      </c>
      <c r="Y16" s="37"/>
      <c r="Z16" s="30"/>
      <c r="AA16" s="30"/>
      <c r="AB16" s="30"/>
      <c r="AC16" s="30"/>
    </row>
    <row r="17" spans="1:29" x14ac:dyDescent="0.4">
      <c r="A17" s="14" t="str">
        <f t="shared" si="0"/>
        <v>01</v>
      </c>
      <c r="Y17" s="37"/>
      <c r="Z17" s="30"/>
      <c r="AA17" s="30"/>
      <c r="AB17" s="30"/>
      <c r="AC17" s="30"/>
    </row>
    <row r="18" spans="1:29" x14ac:dyDescent="0.4">
      <c r="A18" s="14" t="str">
        <f t="shared" si="0"/>
        <v>01</v>
      </c>
      <c r="Y18" s="37"/>
      <c r="Z18" s="30"/>
      <c r="AA18" s="30"/>
      <c r="AB18" s="30"/>
      <c r="AC18" s="30"/>
    </row>
    <row r="19" spans="1:29" x14ac:dyDescent="0.4">
      <c r="A19" s="14" t="str">
        <f t="shared" si="0"/>
        <v>01</v>
      </c>
    </row>
    <row r="20" spans="1:29" x14ac:dyDescent="0.4">
      <c r="A20" s="14" t="str">
        <f t="shared" si="0"/>
        <v>01</v>
      </c>
    </row>
    <row r="21" spans="1:29" x14ac:dyDescent="0.4">
      <c r="A21" s="14" t="str">
        <f t="shared" si="0"/>
        <v>01</v>
      </c>
    </row>
    <row r="22" spans="1:29" x14ac:dyDescent="0.4">
      <c r="A22" s="14" t="str">
        <f t="shared" si="0"/>
        <v>01</v>
      </c>
    </row>
    <row r="23" spans="1:29" x14ac:dyDescent="0.4">
      <c r="A23" s="14" t="str">
        <f t="shared" si="0"/>
        <v>01</v>
      </c>
    </row>
    <row r="24" spans="1:29" x14ac:dyDescent="0.4">
      <c r="A24" s="14" t="str">
        <f t="shared" si="0"/>
        <v>01</v>
      </c>
    </row>
    <row r="25" spans="1:29" x14ac:dyDescent="0.4">
      <c r="A25" s="14" t="str">
        <f t="shared" si="0"/>
        <v>01</v>
      </c>
    </row>
    <row r="26" spans="1:29" x14ac:dyDescent="0.4">
      <c r="A26" s="14" t="str">
        <f t="shared" si="0"/>
        <v>01</v>
      </c>
    </row>
    <row r="27" spans="1:29" x14ac:dyDescent="0.4">
      <c r="A27" s="14" t="str">
        <f t="shared" si="0"/>
        <v>01</v>
      </c>
    </row>
    <row r="28" spans="1:29" x14ac:dyDescent="0.4">
      <c r="A28" s="14" t="str">
        <f t="shared" si="0"/>
        <v>01</v>
      </c>
    </row>
    <row r="29" spans="1:29" x14ac:dyDescent="0.4">
      <c r="A29" s="14" t="str">
        <f t="shared" si="0"/>
        <v>01</v>
      </c>
    </row>
    <row r="30" spans="1:29" x14ac:dyDescent="0.4">
      <c r="A30" s="14" t="str">
        <f t="shared" si="0"/>
        <v>01</v>
      </c>
    </row>
    <row r="31" spans="1:29" x14ac:dyDescent="0.4">
      <c r="A31" s="14" t="str">
        <f t="shared" si="0"/>
        <v>01</v>
      </c>
    </row>
    <row r="32" spans="1:29" x14ac:dyDescent="0.4">
      <c r="A32" s="14" t="str">
        <f t="shared" si="0"/>
        <v>01</v>
      </c>
    </row>
    <row r="33" spans="1:1" x14ac:dyDescent="0.4">
      <c r="A33" s="14" t="str">
        <f t="shared" si="0"/>
        <v>01</v>
      </c>
    </row>
    <row r="34" spans="1:1" x14ac:dyDescent="0.4">
      <c r="A34" s="14" t="str">
        <f t="shared" si="0"/>
        <v>01</v>
      </c>
    </row>
    <row r="35" spans="1:1" x14ac:dyDescent="0.4">
      <c r="A35" s="14" t="str">
        <f t="shared" si="0"/>
        <v>01</v>
      </c>
    </row>
    <row r="36" spans="1:1" x14ac:dyDescent="0.4">
      <c r="A36" s="14" t="str">
        <f t="shared" si="0"/>
        <v>01</v>
      </c>
    </row>
    <row r="37" spans="1:1" x14ac:dyDescent="0.4">
      <c r="A37" s="14" t="str">
        <f t="shared" si="0"/>
        <v>01</v>
      </c>
    </row>
    <row r="38" spans="1:1" x14ac:dyDescent="0.4">
      <c r="A38" s="14" t="str">
        <f t="shared" si="0"/>
        <v>01</v>
      </c>
    </row>
    <row r="39" spans="1:1" x14ac:dyDescent="0.4">
      <c r="A39" s="14" t="str">
        <f t="shared" si="0"/>
        <v>01</v>
      </c>
    </row>
    <row r="40" spans="1:1" x14ac:dyDescent="0.4">
      <c r="A40" s="14" t="str">
        <f t="shared" si="0"/>
        <v>01</v>
      </c>
    </row>
    <row r="41" spans="1:1" x14ac:dyDescent="0.4">
      <c r="A41" s="14" t="str">
        <f t="shared" si="0"/>
        <v>01</v>
      </c>
    </row>
    <row r="42" spans="1:1" x14ac:dyDescent="0.4">
      <c r="A42" s="14" t="str">
        <f t="shared" si="0"/>
        <v>01</v>
      </c>
    </row>
    <row r="43" spans="1:1" x14ac:dyDescent="0.4">
      <c r="A43" s="14" t="str">
        <f t="shared" si="0"/>
        <v>01</v>
      </c>
    </row>
    <row r="44" spans="1:1" x14ac:dyDescent="0.4">
      <c r="A44" s="14" t="str">
        <f t="shared" si="0"/>
        <v>01</v>
      </c>
    </row>
    <row r="45" spans="1:1" x14ac:dyDescent="0.4">
      <c r="A45" s="14" t="str">
        <f t="shared" si="0"/>
        <v>01</v>
      </c>
    </row>
    <row r="46" spans="1:1" x14ac:dyDescent="0.4">
      <c r="A46" s="14" t="str">
        <f t="shared" si="0"/>
        <v>01</v>
      </c>
    </row>
    <row r="47" spans="1:1" x14ac:dyDescent="0.4">
      <c r="A47" s="14" t="str">
        <f t="shared" si="0"/>
        <v>01</v>
      </c>
    </row>
    <row r="48" spans="1:1" x14ac:dyDescent="0.4">
      <c r="A48" s="14" t="str">
        <f t="shared" si="0"/>
        <v>01</v>
      </c>
    </row>
    <row r="49" spans="1:1" x14ac:dyDescent="0.4">
      <c r="A49" s="14" t="str">
        <f t="shared" si="0"/>
        <v>01</v>
      </c>
    </row>
    <row r="50" spans="1:1" x14ac:dyDescent="0.4">
      <c r="A50" s="14" t="str">
        <f t="shared" si="0"/>
        <v>01</v>
      </c>
    </row>
    <row r="51" spans="1:1" x14ac:dyDescent="0.4">
      <c r="A51" s="14" t="str">
        <f t="shared" si="0"/>
        <v>01</v>
      </c>
    </row>
    <row r="52" spans="1:1" x14ac:dyDescent="0.4">
      <c r="A52" s="14" t="str">
        <f t="shared" si="0"/>
        <v>01</v>
      </c>
    </row>
    <row r="53" spans="1:1" x14ac:dyDescent="0.4">
      <c r="A53" s="14" t="str">
        <f t="shared" si="0"/>
        <v>01</v>
      </c>
    </row>
    <row r="54" spans="1:1" x14ac:dyDescent="0.4">
      <c r="A54" s="14" t="str">
        <f t="shared" si="0"/>
        <v>01</v>
      </c>
    </row>
    <row r="55" spans="1:1" x14ac:dyDescent="0.4">
      <c r="A55" s="14" t="str">
        <f t="shared" si="0"/>
        <v>01</v>
      </c>
    </row>
    <row r="56" spans="1:1" x14ac:dyDescent="0.4">
      <c r="A56" s="14" t="str">
        <f t="shared" si="0"/>
        <v>01</v>
      </c>
    </row>
    <row r="57" spans="1:1" x14ac:dyDescent="0.4">
      <c r="A57" s="14" t="str">
        <f t="shared" si="0"/>
        <v>01</v>
      </c>
    </row>
    <row r="58" spans="1:1" x14ac:dyDescent="0.4">
      <c r="A58" s="14" t="str">
        <f t="shared" si="0"/>
        <v>01</v>
      </c>
    </row>
    <row r="59" spans="1:1" x14ac:dyDescent="0.4">
      <c r="A59" s="14" t="str">
        <f t="shared" si="0"/>
        <v>01</v>
      </c>
    </row>
    <row r="60" spans="1:1" x14ac:dyDescent="0.4">
      <c r="A60" s="14" t="str">
        <f t="shared" si="0"/>
        <v>01</v>
      </c>
    </row>
    <row r="61" spans="1:1" x14ac:dyDescent="0.4">
      <c r="A61" s="14" t="str">
        <f t="shared" si="0"/>
        <v>01</v>
      </c>
    </row>
    <row r="62" spans="1:1" x14ac:dyDescent="0.4">
      <c r="A62" s="14" t="str">
        <f t="shared" si="0"/>
        <v>01</v>
      </c>
    </row>
    <row r="63" spans="1:1" x14ac:dyDescent="0.4">
      <c r="A63" s="14" t="str">
        <f t="shared" si="0"/>
        <v>01</v>
      </c>
    </row>
    <row r="64" spans="1:1" x14ac:dyDescent="0.4">
      <c r="A64" s="14" t="str">
        <f t="shared" si="0"/>
        <v>01</v>
      </c>
    </row>
    <row r="65" spans="1:1" x14ac:dyDescent="0.4">
      <c r="A65" s="14" t="str">
        <f t="shared" si="0"/>
        <v>01</v>
      </c>
    </row>
    <row r="66" spans="1:1" x14ac:dyDescent="0.4">
      <c r="A66" s="14" t="str">
        <f t="shared" si="0"/>
        <v>01</v>
      </c>
    </row>
    <row r="67" spans="1:1" x14ac:dyDescent="0.4">
      <c r="A67" s="14" t="str">
        <f t="shared" ref="A67:A130" si="1">TEXT(L67,"MM")</f>
        <v>01</v>
      </c>
    </row>
    <row r="68" spans="1:1" x14ac:dyDescent="0.4">
      <c r="A68" s="14" t="str">
        <f t="shared" si="1"/>
        <v>01</v>
      </c>
    </row>
    <row r="69" spans="1:1" x14ac:dyDescent="0.4">
      <c r="A69" s="14" t="str">
        <f t="shared" si="1"/>
        <v>01</v>
      </c>
    </row>
    <row r="70" spans="1:1" x14ac:dyDescent="0.4">
      <c r="A70" s="14" t="str">
        <f t="shared" si="1"/>
        <v>01</v>
      </c>
    </row>
    <row r="71" spans="1:1" x14ac:dyDescent="0.4">
      <c r="A71" s="14" t="str">
        <f t="shared" si="1"/>
        <v>01</v>
      </c>
    </row>
    <row r="72" spans="1:1" x14ac:dyDescent="0.4">
      <c r="A72" s="14" t="str">
        <f t="shared" si="1"/>
        <v>01</v>
      </c>
    </row>
    <row r="73" spans="1:1" x14ac:dyDescent="0.4">
      <c r="A73" s="14" t="str">
        <f t="shared" si="1"/>
        <v>01</v>
      </c>
    </row>
    <row r="74" spans="1:1" x14ac:dyDescent="0.4">
      <c r="A74" s="14" t="str">
        <f t="shared" si="1"/>
        <v>01</v>
      </c>
    </row>
    <row r="75" spans="1:1" x14ac:dyDescent="0.4">
      <c r="A75" s="14" t="str">
        <f t="shared" si="1"/>
        <v>01</v>
      </c>
    </row>
    <row r="76" spans="1:1" x14ac:dyDescent="0.4">
      <c r="A76" s="14" t="str">
        <f t="shared" si="1"/>
        <v>01</v>
      </c>
    </row>
    <row r="77" spans="1:1" x14ac:dyDescent="0.4">
      <c r="A77" s="14" t="str">
        <f t="shared" si="1"/>
        <v>01</v>
      </c>
    </row>
    <row r="78" spans="1:1" x14ac:dyDescent="0.4">
      <c r="A78" s="14" t="str">
        <f t="shared" si="1"/>
        <v>01</v>
      </c>
    </row>
    <row r="79" spans="1:1" x14ac:dyDescent="0.4">
      <c r="A79" s="14" t="str">
        <f t="shared" si="1"/>
        <v>01</v>
      </c>
    </row>
    <row r="80" spans="1:1" x14ac:dyDescent="0.4">
      <c r="A80" s="14" t="str">
        <f t="shared" si="1"/>
        <v>01</v>
      </c>
    </row>
    <row r="81" spans="1:1" x14ac:dyDescent="0.4">
      <c r="A81" s="14" t="str">
        <f t="shared" si="1"/>
        <v>01</v>
      </c>
    </row>
    <row r="82" spans="1:1" x14ac:dyDescent="0.4">
      <c r="A82" s="14" t="str">
        <f t="shared" si="1"/>
        <v>01</v>
      </c>
    </row>
    <row r="83" spans="1:1" x14ac:dyDescent="0.4">
      <c r="A83" s="14" t="str">
        <f t="shared" si="1"/>
        <v>01</v>
      </c>
    </row>
    <row r="84" spans="1:1" x14ac:dyDescent="0.4">
      <c r="A84" s="14" t="str">
        <f t="shared" si="1"/>
        <v>01</v>
      </c>
    </row>
    <row r="85" spans="1:1" x14ac:dyDescent="0.4">
      <c r="A85" s="14" t="str">
        <f t="shared" si="1"/>
        <v>01</v>
      </c>
    </row>
    <row r="86" spans="1:1" x14ac:dyDescent="0.4">
      <c r="A86" s="14" t="str">
        <f t="shared" si="1"/>
        <v>01</v>
      </c>
    </row>
    <row r="87" spans="1:1" x14ac:dyDescent="0.4">
      <c r="A87" s="14" t="str">
        <f t="shared" si="1"/>
        <v>01</v>
      </c>
    </row>
    <row r="88" spans="1:1" x14ac:dyDescent="0.4">
      <c r="A88" s="14" t="str">
        <f t="shared" si="1"/>
        <v>01</v>
      </c>
    </row>
    <row r="89" spans="1:1" x14ac:dyDescent="0.4">
      <c r="A89" s="14" t="str">
        <f t="shared" si="1"/>
        <v>01</v>
      </c>
    </row>
    <row r="90" spans="1:1" x14ac:dyDescent="0.4">
      <c r="A90" s="14" t="str">
        <f t="shared" si="1"/>
        <v>01</v>
      </c>
    </row>
    <row r="91" spans="1:1" x14ac:dyDescent="0.4">
      <c r="A91" s="14" t="str">
        <f t="shared" si="1"/>
        <v>01</v>
      </c>
    </row>
    <row r="92" spans="1:1" x14ac:dyDescent="0.4">
      <c r="A92" s="14" t="str">
        <f t="shared" si="1"/>
        <v>01</v>
      </c>
    </row>
    <row r="93" spans="1:1" x14ac:dyDescent="0.4">
      <c r="A93" s="14" t="str">
        <f t="shared" si="1"/>
        <v>01</v>
      </c>
    </row>
    <row r="94" spans="1:1" x14ac:dyDescent="0.4">
      <c r="A94" s="14" t="str">
        <f t="shared" si="1"/>
        <v>01</v>
      </c>
    </row>
    <row r="95" spans="1:1" x14ac:dyDescent="0.4">
      <c r="A95" s="14" t="str">
        <f t="shared" si="1"/>
        <v>01</v>
      </c>
    </row>
    <row r="96" spans="1:1" x14ac:dyDescent="0.4">
      <c r="A96" s="14" t="str">
        <f t="shared" si="1"/>
        <v>01</v>
      </c>
    </row>
    <row r="97" spans="1:1" x14ac:dyDescent="0.4">
      <c r="A97" s="14" t="str">
        <f t="shared" si="1"/>
        <v>01</v>
      </c>
    </row>
    <row r="98" spans="1:1" x14ac:dyDescent="0.4">
      <c r="A98" s="14" t="str">
        <f t="shared" si="1"/>
        <v>01</v>
      </c>
    </row>
    <row r="99" spans="1:1" x14ac:dyDescent="0.4">
      <c r="A99" s="14" t="str">
        <f t="shared" si="1"/>
        <v>01</v>
      </c>
    </row>
    <row r="100" spans="1:1" x14ac:dyDescent="0.4">
      <c r="A100" s="14" t="str">
        <f t="shared" si="1"/>
        <v>01</v>
      </c>
    </row>
    <row r="101" spans="1:1" x14ac:dyDescent="0.4">
      <c r="A101" s="14" t="str">
        <f t="shared" si="1"/>
        <v>01</v>
      </c>
    </row>
    <row r="102" spans="1:1" x14ac:dyDescent="0.4">
      <c r="A102" s="14" t="str">
        <f t="shared" si="1"/>
        <v>01</v>
      </c>
    </row>
    <row r="103" spans="1:1" x14ac:dyDescent="0.4">
      <c r="A103" s="14" t="str">
        <f t="shared" si="1"/>
        <v>01</v>
      </c>
    </row>
    <row r="104" spans="1:1" x14ac:dyDescent="0.4">
      <c r="A104" s="14" t="str">
        <f t="shared" si="1"/>
        <v>01</v>
      </c>
    </row>
    <row r="105" spans="1:1" x14ac:dyDescent="0.4">
      <c r="A105" s="14" t="str">
        <f t="shared" si="1"/>
        <v>01</v>
      </c>
    </row>
    <row r="106" spans="1:1" x14ac:dyDescent="0.4">
      <c r="A106" s="14" t="str">
        <f t="shared" si="1"/>
        <v>01</v>
      </c>
    </row>
    <row r="107" spans="1:1" x14ac:dyDescent="0.4">
      <c r="A107" s="14" t="str">
        <f t="shared" si="1"/>
        <v>01</v>
      </c>
    </row>
    <row r="108" spans="1:1" x14ac:dyDescent="0.4">
      <c r="A108" s="14" t="str">
        <f t="shared" si="1"/>
        <v>01</v>
      </c>
    </row>
    <row r="109" spans="1:1" x14ac:dyDescent="0.4">
      <c r="A109" s="14" t="str">
        <f t="shared" si="1"/>
        <v>01</v>
      </c>
    </row>
    <row r="110" spans="1:1" x14ac:dyDescent="0.4">
      <c r="A110" s="14" t="str">
        <f t="shared" si="1"/>
        <v>01</v>
      </c>
    </row>
    <row r="111" spans="1:1" x14ac:dyDescent="0.4">
      <c r="A111" s="14" t="str">
        <f t="shared" si="1"/>
        <v>01</v>
      </c>
    </row>
    <row r="112" spans="1:1" x14ac:dyDescent="0.4">
      <c r="A112" s="14" t="str">
        <f t="shared" si="1"/>
        <v>01</v>
      </c>
    </row>
    <row r="113" spans="1:1" x14ac:dyDescent="0.4">
      <c r="A113" s="14" t="str">
        <f t="shared" si="1"/>
        <v>01</v>
      </c>
    </row>
    <row r="114" spans="1:1" x14ac:dyDescent="0.4">
      <c r="A114" s="14" t="str">
        <f t="shared" si="1"/>
        <v>01</v>
      </c>
    </row>
    <row r="115" spans="1:1" x14ac:dyDescent="0.4">
      <c r="A115" s="14" t="str">
        <f t="shared" si="1"/>
        <v>01</v>
      </c>
    </row>
    <row r="116" spans="1:1" x14ac:dyDescent="0.4">
      <c r="A116" s="14" t="str">
        <f t="shared" si="1"/>
        <v>01</v>
      </c>
    </row>
    <row r="117" spans="1:1" x14ac:dyDescent="0.4">
      <c r="A117" s="14" t="str">
        <f t="shared" si="1"/>
        <v>01</v>
      </c>
    </row>
    <row r="118" spans="1:1" x14ac:dyDescent="0.4">
      <c r="A118" s="14" t="str">
        <f t="shared" si="1"/>
        <v>01</v>
      </c>
    </row>
    <row r="119" spans="1:1" x14ac:dyDescent="0.4">
      <c r="A119" s="14" t="str">
        <f t="shared" si="1"/>
        <v>01</v>
      </c>
    </row>
    <row r="120" spans="1:1" x14ac:dyDescent="0.4">
      <c r="A120" s="14" t="str">
        <f t="shared" si="1"/>
        <v>01</v>
      </c>
    </row>
    <row r="121" spans="1:1" x14ac:dyDescent="0.4">
      <c r="A121" s="14" t="str">
        <f t="shared" si="1"/>
        <v>01</v>
      </c>
    </row>
    <row r="122" spans="1:1" x14ac:dyDescent="0.4">
      <c r="A122" s="14" t="str">
        <f t="shared" si="1"/>
        <v>01</v>
      </c>
    </row>
    <row r="123" spans="1:1" x14ac:dyDescent="0.4">
      <c r="A123" s="14" t="str">
        <f t="shared" si="1"/>
        <v>01</v>
      </c>
    </row>
    <row r="124" spans="1:1" x14ac:dyDescent="0.4">
      <c r="A124" s="14" t="str">
        <f t="shared" si="1"/>
        <v>01</v>
      </c>
    </row>
    <row r="125" spans="1:1" x14ac:dyDescent="0.4">
      <c r="A125" s="14" t="str">
        <f t="shared" si="1"/>
        <v>01</v>
      </c>
    </row>
    <row r="126" spans="1:1" x14ac:dyDescent="0.4">
      <c r="A126" s="14" t="str">
        <f t="shared" si="1"/>
        <v>01</v>
      </c>
    </row>
    <row r="127" spans="1:1" x14ac:dyDescent="0.4">
      <c r="A127" s="14" t="str">
        <f t="shared" si="1"/>
        <v>01</v>
      </c>
    </row>
    <row r="128" spans="1:1" x14ac:dyDescent="0.4">
      <c r="A128" s="14" t="str">
        <f t="shared" si="1"/>
        <v>01</v>
      </c>
    </row>
    <row r="129" spans="1:1" x14ac:dyDescent="0.4">
      <c r="A129" s="14" t="str">
        <f t="shared" si="1"/>
        <v>01</v>
      </c>
    </row>
    <row r="130" spans="1:1" x14ac:dyDescent="0.4">
      <c r="A130" s="14" t="str">
        <f t="shared" si="1"/>
        <v>01</v>
      </c>
    </row>
    <row r="131" spans="1:1" x14ac:dyDescent="0.4">
      <c r="A131" s="14" t="str">
        <f t="shared" ref="A131:A194" si="2">TEXT(L131,"MM")</f>
        <v>01</v>
      </c>
    </row>
    <row r="132" spans="1:1" x14ac:dyDescent="0.4">
      <c r="A132" s="14" t="str">
        <f t="shared" si="2"/>
        <v>01</v>
      </c>
    </row>
    <row r="133" spans="1:1" x14ac:dyDescent="0.4">
      <c r="A133" s="14" t="str">
        <f t="shared" si="2"/>
        <v>01</v>
      </c>
    </row>
    <row r="134" spans="1:1" x14ac:dyDescent="0.4">
      <c r="A134" s="14" t="str">
        <f t="shared" si="2"/>
        <v>01</v>
      </c>
    </row>
    <row r="135" spans="1:1" x14ac:dyDescent="0.4">
      <c r="A135" s="14" t="str">
        <f t="shared" si="2"/>
        <v>01</v>
      </c>
    </row>
    <row r="136" spans="1:1" x14ac:dyDescent="0.4">
      <c r="A136" s="14" t="str">
        <f t="shared" si="2"/>
        <v>01</v>
      </c>
    </row>
    <row r="137" spans="1:1" x14ac:dyDescent="0.4">
      <c r="A137" s="14" t="str">
        <f t="shared" si="2"/>
        <v>01</v>
      </c>
    </row>
    <row r="138" spans="1:1" x14ac:dyDescent="0.4">
      <c r="A138" s="14" t="str">
        <f t="shared" si="2"/>
        <v>01</v>
      </c>
    </row>
    <row r="139" spans="1:1" x14ac:dyDescent="0.4">
      <c r="A139" s="14" t="str">
        <f t="shared" si="2"/>
        <v>01</v>
      </c>
    </row>
    <row r="140" spans="1:1" x14ac:dyDescent="0.4">
      <c r="A140" s="14" t="str">
        <f t="shared" si="2"/>
        <v>01</v>
      </c>
    </row>
    <row r="141" spans="1:1" x14ac:dyDescent="0.4">
      <c r="A141" s="14" t="str">
        <f t="shared" si="2"/>
        <v>01</v>
      </c>
    </row>
    <row r="142" spans="1:1" x14ac:dyDescent="0.4">
      <c r="A142" s="14" t="str">
        <f t="shared" si="2"/>
        <v>01</v>
      </c>
    </row>
    <row r="143" spans="1:1" x14ac:dyDescent="0.4">
      <c r="A143" s="14" t="str">
        <f t="shared" si="2"/>
        <v>01</v>
      </c>
    </row>
    <row r="144" spans="1:1" x14ac:dyDescent="0.4">
      <c r="A144" s="14" t="str">
        <f t="shared" si="2"/>
        <v>01</v>
      </c>
    </row>
    <row r="145" spans="1:1" x14ac:dyDescent="0.4">
      <c r="A145" s="14" t="str">
        <f t="shared" si="2"/>
        <v>01</v>
      </c>
    </row>
    <row r="146" spans="1:1" x14ac:dyDescent="0.4">
      <c r="A146" s="14" t="str">
        <f t="shared" si="2"/>
        <v>01</v>
      </c>
    </row>
    <row r="147" spans="1:1" x14ac:dyDescent="0.4">
      <c r="A147" s="14" t="str">
        <f t="shared" si="2"/>
        <v>01</v>
      </c>
    </row>
    <row r="148" spans="1:1" x14ac:dyDescent="0.4">
      <c r="A148" s="14" t="str">
        <f t="shared" si="2"/>
        <v>01</v>
      </c>
    </row>
    <row r="149" spans="1:1" x14ac:dyDescent="0.4">
      <c r="A149" s="14" t="str">
        <f t="shared" si="2"/>
        <v>01</v>
      </c>
    </row>
    <row r="150" spans="1:1" x14ac:dyDescent="0.4">
      <c r="A150" s="14" t="str">
        <f t="shared" si="2"/>
        <v>01</v>
      </c>
    </row>
    <row r="151" spans="1:1" x14ac:dyDescent="0.4">
      <c r="A151" s="14" t="str">
        <f t="shared" si="2"/>
        <v>01</v>
      </c>
    </row>
    <row r="152" spans="1:1" x14ac:dyDescent="0.4">
      <c r="A152" s="14" t="str">
        <f t="shared" si="2"/>
        <v>01</v>
      </c>
    </row>
    <row r="153" spans="1:1" x14ac:dyDescent="0.4">
      <c r="A153" s="14" t="str">
        <f t="shared" si="2"/>
        <v>01</v>
      </c>
    </row>
    <row r="154" spans="1:1" x14ac:dyDescent="0.4">
      <c r="A154" s="14" t="str">
        <f t="shared" si="2"/>
        <v>01</v>
      </c>
    </row>
    <row r="155" spans="1:1" x14ac:dyDescent="0.4">
      <c r="A155" s="14" t="str">
        <f t="shared" si="2"/>
        <v>01</v>
      </c>
    </row>
    <row r="156" spans="1:1" x14ac:dyDescent="0.4">
      <c r="A156" s="14" t="str">
        <f t="shared" si="2"/>
        <v>01</v>
      </c>
    </row>
    <row r="157" spans="1:1" x14ac:dyDescent="0.4">
      <c r="A157" s="14" t="str">
        <f t="shared" si="2"/>
        <v>01</v>
      </c>
    </row>
    <row r="158" spans="1:1" x14ac:dyDescent="0.4">
      <c r="A158" s="14" t="str">
        <f t="shared" si="2"/>
        <v>01</v>
      </c>
    </row>
    <row r="159" spans="1:1" x14ac:dyDescent="0.4">
      <c r="A159" s="14" t="str">
        <f t="shared" si="2"/>
        <v>01</v>
      </c>
    </row>
    <row r="160" spans="1:1" x14ac:dyDescent="0.4">
      <c r="A160" s="14" t="str">
        <f t="shared" si="2"/>
        <v>01</v>
      </c>
    </row>
    <row r="161" spans="1:1" x14ac:dyDescent="0.4">
      <c r="A161" s="14" t="str">
        <f t="shared" si="2"/>
        <v>01</v>
      </c>
    </row>
    <row r="162" spans="1:1" x14ac:dyDescent="0.4">
      <c r="A162" s="14" t="str">
        <f t="shared" si="2"/>
        <v>01</v>
      </c>
    </row>
    <row r="163" spans="1:1" x14ac:dyDescent="0.4">
      <c r="A163" s="14" t="str">
        <f t="shared" si="2"/>
        <v>01</v>
      </c>
    </row>
    <row r="164" spans="1:1" x14ac:dyDescent="0.4">
      <c r="A164" s="14" t="str">
        <f t="shared" si="2"/>
        <v>01</v>
      </c>
    </row>
    <row r="165" spans="1:1" x14ac:dyDescent="0.4">
      <c r="A165" s="14" t="str">
        <f t="shared" si="2"/>
        <v>01</v>
      </c>
    </row>
    <row r="166" spans="1:1" x14ac:dyDescent="0.4">
      <c r="A166" s="14" t="str">
        <f t="shared" si="2"/>
        <v>01</v>
      </c>
    </row>
    <row r="167" spans="1:1" x14ac:dyDescent="0.4">
      <c r="A167" s="14" t="str">
        <f t="shared" si="2"/>
        <v>01</v>
      </c>
    </row>
    <row r="168" spans="1:1" x14ac:dyDescent="0.4">
      <c r="A168" s="14" t="str">
        <f t="shared" si="2"/>
        <v>01</v>
      </c>
    </row>
    <row r="169" spans="1:1" x14ac:dyDescent="0.4">
      <c r="A169" s="14" t="str">
        <f t="shared" si="2"/>
        <v>01</v>
      </c>
    </row>
    <row r="170" spans="1:1" x14ac:dyDescent="0.4">
      <c r="A170" s="14" t="str">
        <f t="shared" si="2"/>
        <v>01</v>
      </c>
    </row>
    <row r="171" spans="1:1" x14ac:dyDescent="0.4">
      <c r="A171" s="14" t="str">
        <f t="shared" si="2"/>
        <v>01</v>
      </c>
    </row>
    <row r="172" spans="1:1" x14ac:dyDescent="0.4">
      <c r="A172" s="14" t="str">
        <f t="shared" si="2"/>
        <v>01</v>
      </c>
    </row>
    <row r="173" spans="1:1" x14ac:dyDescent="0.4">
      <c r="A173" s="14" t="str">
        <f t="shared" si="2"/>
        <v>01</v>
      </c>
    </row>
    <row r="174" spans="1:1" x14ac:dyDescent="0.4">
      <c r="A174" s="14" t="str">
        <f t="shared" si="2"/>
        <v>01</v>
      </c>
    </row>
    <row r="175" spans="1:1" x14ac:dyDescent="0.4">
      <c r="A175" s="14" t="str">
        <f t="shared" si="2"/>
        <v>01</v>
      </c>
    </row>
    <row r="176" spans="1:1" x14ac:dyDescent="0.4">
      <c r="A176" s="14" t="str">
        <f t="shared" si="2"/>
        <v>01</v>
      </c>
    </row>
    <row r="177" spans="1:1" x14ac:dyDescent="0.4">
      <c r="A177" s="14" t="str">
        <f t="shared" si="2"/>
        <v>01</v>
      </c>
    </row>
    <row r="178" spans="1:1" x14ac:dyDescent="0.4">
      <c r="A178" s="14" t="str">
        <f t="shared" si="2"/>
        <v>01</v>
      </c>
    </row>
    <row r="179" spans="1:1" x14ac:dyDescent="0.4">
      <c r="A179" s="14" t="str">
        <f t="shared" si="2"/>
        <v>01</v>
      </c>
    </row>
    <row r="180" spans="1:1" x14ac:dyDescent="0.4">
      <c r="A180" s="14" t="str">
        <f t="shared" si="2"/>
        <v>01</v>
      </c>
    </row>
    <row r="181" spans="1:1" x14ac:dyDescent="0.4">
      <c r="A181" s="14" t="str">
        <f t="shared" si="2"/>
        <v>01</v>
      </c>
    </row>
    <row r="182" spans="1:1" x14ac:dyDescent="0.4">
      <c r="A182" s="14" t="str">
        <f t="shared" si="2"/>
        <v>01</v>
      </c>
    </row>
    <row r="183" spans="1:1" x14ac:dyDescent="0.4">
      <c r="A183" s="14" t="str">
        <f t="shared" si="2"/>
        <v>01</v>
      </c>
    </row>
    <row r="184" spans="1:1" x14ac:dyDescent="0.4">
      <c r="A184" s="14" t="str">
        <f t="shared" si="2"/>
        <v>01</v>
      </c>
    </row>
    <row r="185" spans="1:1" x14ac:dyDescent="0.4">
      <c r="A185" s="14" t="str">
        <f t="shared" si="2"/>
        <v>01</v>
      </c>
    </row>
    <row r="186" spans="1:1" x14ac:dyDescent="0.4">
      <c r="A186" s="14" t="str">
        <f t="shared" si="2"/>
        <v>01</v>
      </c>
    </row>
    <row r="187" spans="1:1" x14ac:dyDescent="0.4">
      <c r="A187" s="14" t="str">
        <f t="shared" si="2"/>
        <v>01</v>
      </c>
    </row>
    <row r="188" spans="1:1" x14ac:dyDescent="0.4">
      <c r="A188" s="14" t="str">
        <f t="shared" si="2"/>
        <v>01</v>
      </c>
    </row>
    <row r="189" spans="1:1" x14ac:dyDescent="0.4">
      <c r="A189" s="14" t="str">
        <f t="shared" si="2"/>
        <v>01</v>
      </c>
    </row>
    <row r="190" spans="1:1" x14ac:dyDescent="0.4">
      <c r="A190" s="14" t="str">
        <f t="shared" si="2"/>
        <v>01</v>
      </c>
    </row>
    <row r="191" spans="1:1" x14ac:dyDescent="0.4">
      <c r="A191" s="14" t="str">
        <f t="shared" si="2"/>
        <v>01</v>
      </c>
    </row>
    <row r="192" spans="1:1" x14ac:dyDescent="0.4">
      <c r="A192" s="14" t="str">
        <f t="shared" si="2"/>
        <v>01</v>
      </c>
    </row>
    <row r="193" spans="1:1" x14ac:dyDescent="0.4">
      <c r="A193" s="14" t="str">
        <f t="shared" si="2"/>
        <v>01</v>
      </c>
    </row>
    <row r="194" spans="1:1" x14ac:dyDescent="0.4">
      <c r="A194" s="14" t="str">
        <f t="shared" si="2"/>
        <v>01</v>
      </c>
    </row>
    <row r="195" spans="1:1" x14ac:dyDescent="0.4">
      <c r="A195" s="14" t="str">
        <f t="shared" ref="A195:A258" si="3">TEXT(L195,"MM")</f>
        <v>01</v>
      </c>
    </row>
    <row r="196" spans="1:1" x14ac:dyDescent="0.4">
      <c r="A196" s="14" t="str">
        <f t="shared" si="3"/>
        <v>01</v>
      </c>
    </row>
    <row r="197" spans="1:1" x14ac:dyDescent="0.4">
      <c r="A197" s="14" t="str">
        <f t="shared" si="3"/>
        <v>01</v>
      </c>
    </row>
    <row r="198" spans="1:1" x14ac:dyDescent="0.4">
      <c r="A198" s="14" t="str">
        <f t="shared" si="3"/>
        <v>01</v>
      </c>
    </row>
    <row r="199" spans="1:1" x14ac:dyDescent="0.4">
      <c r="A199" s="14" t="str">
        <f t="shared" si="3"/>
        <v>01</v>
      </c>
    </row>
    <row r="200" spans="1:1" x14ac:dyDescent="0.4">
      <c r="A200" s="14" t="str">
        <f t="shared" si="3"/>
        <v>01</v>
      </c>
    </row>
    <row r="201" spans="1:1" x14ac:dyDescent="0.4">
      <c r="A201" s="14" t="str">
        <f t="shared" si="3"/>
        <v>01</v>
      </c>
    </row>
    <row r="202" spans="1:1" x14ac:dyDescent="0.4">
      <c r="A202" s="14" t="str">
        <f t="shared" si="3"/>
        <v>01</v>
      </c>
    </row>
    <row r="203" spans="1:1" x14ac:dyDescent="0.4">
      <c r="A203" s="14" t="str">
        <f t="shared" si="3"/>
        <v>01</v>
      </c>
    </row>
    <row r="204" spans="1:1" x14ac:dyDescent="0.4">
      <c r="A204" s="14" t="str">
        <f t="shared" si="3"/>
        <v>01</v>
      </c>
    </row>
    <row r="205" spans="1:1" x14ac:dyDescent="0.4">
      <c r="A205" s="14" t="str">
        <f t="shared" si="3"/>
        <v>01</v>
      </c>
    </row>
    <row r="206" spans="1:1" x14ac:dyDescent="0.4">
      <c r="A206" s="14" t="str">
        <f t="shared" si="3"/>
        <v>01</v>
      </c>
    </row>
    <row r="207" spans="1:1" x14ac:dyDescent="0.4">
      <c r="A207" s="14" t="str">
        <f t="shared" si="3"/>
        <v>01</v>
      </c>
    </row>
    <row r="208" spans="1:1" x14ac:dyDescent="0.4">
      <c r="A208" s="14" t="str">
        <f t="shared" si="3"/>
        <v>01</v>
      </c>
    </row>
    <row r="209" spans="1:1" x14ac:dyDescent="0.4">
      <c r="A209" s="14" t="str">
        <f t="shared" si="3"/>
        <v>01</v>
      </c>
    </row>
    <row r="210" spans="1:1" x14ac:dyDescent="0.4">
      <c r="A210" s="14" t="str">
        <f t="shared" si="3"/>
        <v>01</v>
      </c>
    </row>
    <row r="211" spans="1:1" x14ac:dyDescent="0.4">
      <c r="A211" s="14" t="str">
        <f t="shared" si="3"/>
        <v>01</v>
      </c>
    </row>
    <row r="212" spans="1:1" x14ac:dyDescent="0.4">
      <c r="A212" s="14" t="str">
        <f t="shared" si="3"/>
        <v>01</v>
      </c>
    </row>
    <row r="213" spans="1:1" x14ac:dyDescent="0.4">
      <c r="A213" s="14" t="str">
        <f t="shared" si="3"/>
        <v>01</v>
      </c>
    </row>
    <row r="214" spans="1:1" x14ac:dyDescent="0.4">
      <c r="A214" s="14" t="str">
        <f t="shared" si="3"/>
        <v>01</v>
      </c>
    </row>
    <row r="215" spans="1:1" x14ac:dyDescent="0.4">
      <c r="A215" s="14" t="str">
        <f t="shared" si="3"/>
        <v>01</v>
      </c>
    </row>
    <row r="216" spans="1:1" x14ac:dyDescent="0.4">
      <c r="A216" s="14" t="str">
        <f t="shared" si="3"/>
        <v>01</v>
      </c>
    </row>
    <row r="217" spans="1:1" x14ac:dyDescent="0.4">
      <c r="A217" s="14" t="str">
        <f t="shared" si="3"/>
        <v>01</v>
      </c>
    </row>
    <row r="218" spans="1:1" x14ac:dyDescent="0.4">
      <c r="A218" s="14" t="str">
        <f t="shared" si="3"/>
        <v>01</v>
      </c>
    </row>
    <row r="219" spans="1:1" x14ac:dyDescent="0.4">
      <c r="A219" s="14" t="str">
        <f t="shared" si="3"/>
        <v>01</v>
      </c>
    </row>
    <row r="220" spans="1:1" x14ac:dyDescent="0.4">
      <c r="A220" s="14" t="str">
        <f t="shared" si="3"/>
        <v>01</v>
      </c>
    </row>
    <row r="221" spans="1:1" x14ac:dyDescent="0.4">
      <c r="A221" s="14" t="str">
        <f t="shared" si="3"/>
        <v>01</v>
      </c>
    </row>
    <row r="222" spans="1:1" x14ac:dyDescent="0.4">
      <c r="A222" s="14" t="str">
        <f t="shared" si="3"/>
        <v>01</v>
      </c>
    </row>
    <row r="223" spans="1:1" x14ac:dyDescent="0.4">
      <c r="A223" s="14" t="str">
        <f t="shared" si="3"/>
        <v>01</v>
      </c>
    </row>
    <row r="224" spans="1:1" x14ac:dyDescent="0.4">
      <c r="A224" s="14" t="str">
        <f t="shared" si="3"/>
        <v>01</v>
      </c>
    </row>
    <row r="225" spans="1:1" x14ac:dyDescent="0.4">
      <c r="A225" s="14" t="str">
        <f t="shared" si="3"/>
        <v>01</v>
      </c>
    </row>
    <row r="226" spans="1:1" x14ac:dyDescent="0.4">
      <c r="A226" s="14" t="str">
        <f t="shared" si="3"/>
        <v>01</v>
      </c>
    </row>
    <row r="227" spans="1:1" x14ac:dyDescent="0.4">
      <c r="A227" s="14" t="str">
        <f t="shared" si="3"/>
        <v>01</v>
      </c>
    </row>
    <row r="228" spans="1:1" x14ac:dyDescent="0.4">
      <c r="A228" s="14" t="str">
        <f t="shared" si="3"/>
        <v>01</v>
      </c>
    </row>
    <row r="229" spans="1:1" x14ac:dyDescent="0.4">
      <c r="A229" s="14" t="str">
        <f t="shared" si="3"/>
        <v>01</v>
      </c>
    </row>
    <row r="230" spans="1:1" x14ac:dyDescent="0.4">
      <c r="A230" s="14" t="str">
        <f t="shared" si="3"/>
        <v>01</v>
      </c>
    </row>
    <row r="231" spans="1:1" x14ac:dyDescent="0.4">
      <c r="A231" s="14" t="str">
        <f t="shared" si="3"/>
        <v>01</v>
      </c>
    </row>
    <row r="232" spans="1:1" x14ac:dyDescent="0.4">
      <c r="A232" s="14" t="str">
        <f t="shared" si="3"/>
        <v>01</v>
      </c>
    </row>
    <row r="233" spans="1:1" x14ac:dyDescent="0.4">
      <c r="A233" s="14" t="str">
        <f t="shared" si="3"/>
        <v>01</v>
      </c>
    </row>
    <row r="234" spans="1:1" x14ac:dyDescent="0.4">
      <c r="A234" s="14" t="str">
        <f t="shared" si="3"/>
        <v>01</v>
      </c>
    </row>
    <row r="235" spans="1:1" x14ac:dyDescent="0.4">
      <c r="A235" s="14" t="str">
        <f t="shared" si="3"/>
        <v>01</v>
      </c>
    </row>
    <row r="236" spans="1:1" x14ac:dyDescent="0.4">
      <c r="A236" s="14" t="str">
        <f t="shared" si="3"/>
        <v>01</v>
      </c>
    </row>
    <row r="237" spans="1:1" x14ac:dyDescent="0.4">
      <c r="A237" s="14" t="str">
        <f t="shared" si="3"/>
        <v>01</v>
      </c>
    </row>
    <row r="238" spans="1:1" x14ac:dyDescent="0.4">
      <c r="A238" s="14" t="str">
        <f t="shared" si="3"/>
        <v>01</v>
      </c>
    </row>
    <row r="239" spans="1:1" x14ac:dyDescent="0.4">
      <c r="A239" s="14" t="str">
        <f t="shared" si="3"/>
        <v>01</v>
      </c>
    </row>
    <row r="240" spans="1:1" x14ac:dyDescent="0.4">
      <c r="A240" s="14" t="str">
        <f t="shared" si="3"/>
        <v>01</v>
      </c>
    </row>
    <row r="241" spans="1:1" x14ac:dyDescent="0.4">
      <c r="A241" s="14" t="str">
        <f t="shared" si="3"/>
        <v>01</v>
      </c>
    </row>
    <row r="242" spans="1:1" x14ac:dyDescent="0.4">
      <c r="A242" s="14" t="str">
        <f t="shared" si="3"/>
        <v>01</v>
      </c>
    </row>
    <row r="243" spans="1:1" x14ac:dyDescent="0.4">
      <c r="A243" s="14" t="str">
        <f t="shared" si="3"/>
        <v>01</v>
      </c>
    </row>
    <row r="244" spans="1:1" x14ac:dyDescent="0.4">
      <c r="A244" s="14" t="str">
        <f t="shared" si="3"/>
        <v>01</v>
      </c>
    </row>
    <row r="245" spans="1:1" x14ac:dyDescent="0.4">
      <c r="A245" s="14" t="str">
        <f t="shared" si="3"/>
        <v>01</v>
      </c>
    </row>
    <row r="246" spans="1:1" x14ac:dyDescent="0.4">
      <c r="A246" s="14" t="str">
        <f t="shared" si="3"/>
        <v>01</v>
      </c>
    </row>
    <row r="247" spans="1:1" x14ac:dyDescent="0.4">
      <c r="A247" s="14" t="str">
        <f t="shared" si="3"/>
        <v>01</v>
      </c>
    </row>
    <row r="248" spans="1:1" x14ac:dyDescent="0.4">
      <c r="A248" s="14" t="str">
        <f t="shared" si="3"/>
        <v>01</v>
      </c>
    </row>
    <row r="249" spans="1:1" x14ac:dyDescent="0.4">
      <c r="A249" s="14" t="str">
        <f t="shared" si="3"/>
        <v>01</v>
      </c>
    </row>
    <row r="250" spans="1:1" x14ac:dyDescent="0.4">
      <c r="A250" s="14" t="str">
        <f t="shared" si="3"/>
        <v>01</v>
      </c>
    </row>
    <row r="251" spans="1:1" x14ac:dyDescent="0.4">
      <c r="A251" s="14" t="str">
        <f t="shared" si="3"/>
        <v>01</v>
      </c>
    </row>
    <row r="252" spans="1:1" x14ac:dyDescent="0.4">
      <c r="A252" s="14" t="str">
        <f t="shared" si="3"/>
        <v>01</v>
      </c>
    </row>
    <row r="253" spans="1:1" x14ac:dyDescent="0.4">
      <c r="A253" s="14" t="str">
        <f t="shared" si="3"/>
        <v>01</v>
      </c>
    </row>
    <row r="254" spans="1:1" x14ac:dyDescent="0.4">
      <c r="A254" s="14" t="str">
        <f t="shared" si="3"/>
        <v>01</v>
      </c>
    </row>
    <row r="255" spans="1:1" x14ac:dyDescent="0.4">
      <c r="A255" s="14" t="str">
        <f t="shared" si="3"/>
        <v>01</v>
      </c>
    </row>
    <row r="256" spans="1:1" x14ac:dyDescent="0.4">
      <c r="A256" s="14" t="str">
        <f t="shared" si="3"/>
        <v>01</v>
      </c>
    </row>
    <row r="257" spans="1:1" x14ac:dyDescent="0.4">
      <c r="A257" s="14" t="str">
        <f t="shared" si="3"/>
        <v>01</v>
      </c>
    </row>
    <row r="258" spans="1:1" x14ac:dyDescent="0.4">
      <c r="A258" s="14" t="str">
        <f t="shared" si="3"/>
        <v>01</v>
      </c>
    </row>
    <row r="259" spans="1:1" x14ac:dyDescent="0.4">
      <c r="A259" s="14" t="str">
        <f t="shared" ref="A259:A322" si="4">TEXT(L259,"MM")</f>
        <v>01</v>
      </c>
    </row>
    <row r="260" spans="1:1" x14ac:dyDescent="0.4">
      <c r="A260" s="14" t="str">
        <f t="shared" si="4"/>
        <v>01</v>
      </c>
    </row>
    <row r="261" spans="1:1" x14ac:dyDescent="0.4">
      <c r="A261" s="14" t="str">
        <f t="shared" si="4"/>
        <v>01</v>
      </c>
    </row>
    <row r="262" spans="1:1" x14ac:dyDescent="0.4">
      <c r="A262" s="14" t="str">
        <f t="shared" si="4"/>
        <v>01</v>
      </c>
    </row>
    <row r="263" spans="1:1" x14ac:dyDescent="0.4">
      <c r="A263" s="14" t="str">
        <f t="shared" si="4"/>
        <v>01</v>
      </c>
    </row>
    <row r="264" spans="1:1" x14ac:dyDescent="0.4">
      <c r="A264" s="14" t="str">
        <f t="shared" si="4"/>
        <v>01</v>
      </c>
    </row>
    <row r="265" spans="1:1" x14ac:dyDescent="0.4">
      <c r="A265" s="14" t="str">
        <f t="shared" si="4"/>
        <v>01</v>
      </c>
    </row>
    <row r="266" spans="1:1" x14ac:dyDescent="0.4">
      <c r="A266" s="14" t="str">
        <f t="shared" si="4"/>
        <v>01</v>
      </c>
    </row>
    <row r="267" spans="1:1" x14ac:dyDescent="0.4">
      <c r="A267" s="14" t="str">
        <f t="shared" si="4"/>
        <v>01</v>
      </c>
    </row>
    <row r="268" spans="1:1" x14ac:dyDescent="0.4">
      <c r="A268" s="14" t="str">
        <f t="shared" si="4"/>
        <v>01</v>
      </c>
    </row>
    <row r="269" spans="1:1" x14ac:dyDescent="0.4">
      <c r="A269" s="14" t="str">
        <f t="shared" si="4"/>
        <v>01</v>
      </c>
    </row>
    <row r="270" spans="1:1" x14ac:dyDescent="0.4">
      <c r="A270" s="14" t="str">
        <f t="shared" si="4"/>
        <v>01</v>
      </c>
    </row>
    <row r="271" spans="1:1" x14ac:dyDescent="0.4">
      <c r="A271" s="14" t="str">
        <f t="shared" si="4"/>
        <v>01</v>
      </c>
    </row>
    <row r="272" spans="1:1" x14ac:dyDescent="0.4">
      <c r="A272" s="14" t="str">
        <f t="shared" si="4"/>
        <v>01</v>
      </c>
    </row>
    <row r="273" spans="1:1" x14ac:dyDescent="0.4">
      <c r="A273" s="14" t="str">
        <f t="shared" si="4"/>
        <v>01</v>
      </c>
    </row>
    <row r="274" spans="1:1" x14ac:dyDescent="0.4">
      <c r="A274" s="14" t="str">
        <f t="shared" si="4"/>
        <v>01</v>
      </c>
    </row>
    <row r="275" spans="1:1" x14ac:dyDescent="0.4">
      <c r="A275" s="14" t="str">
        <f t="shared" si="4"/>
        <v>01</v>
      </c>
    </row>
    <row r="276" spans="1:1" x14ac:dyDescent="0.4">
      <c r="A276" s="14" t="str">
        <f t="shared" si="4"/>
        <v>01</v>
      </c>
    </row>
    <row r="277" spans="1:1" x14ac:dyDescent="0.4">
      <c r="A277" s="14" t="str">
        <f t="shared" si="4"/>
        <v>01</v>
      </c>
    </row>
    <row r="278" spans="1:1" x14ac:dyDescent="0.4">
      <c r="A278" s="14" t="str">
        <f t="shared" si="4"/>
        <v>01</v>
      </c>
    </row>
    <row r="279" spans="1:1" x14ac:dyDescent="0.4">
      <c r="A279" s="14" t="str">
        <f t="shared" si="4"/>
        <v>01</v>
      </c>
    </row>
    <row r="280" spans="1:1" x14ac:dyDescent="0.4">
      <c r="A280" s="14" t="str">
        <f t="shared" si="4"/>
        <v>01</v>
      </c>
    </row>
    <row r="281" spans="1:1" x14ac:dyDescent="0.4">
      <c r="A281" s="14" t="str">
        <f t="shared" si="4"/>
        <v>01</v>
      </c>
    </row>
    <row r="282" spans="1:1" x14ac:dyDescent="0.4">
      <c r="A282" s="14" t="str">
        <f t="shared" si="4"/>
        <v>01</v>
      </c>
    </row>
    <row r="283" spans="1:1" x14ac:dyDescent="0.4">
      <c r="A283" s="14" t="str">
        <f t="shared" si="4"/>
        <v>01</v>
      </c>
    </row>
    <row r="284" spans="1:1" x14ac:dyDescent="0.4">
      <c r="A284" s="14" t="str">
        <f t="shared" si="4"/>
        <v>01</v>
      </c>
    </row>
    <row r="285" spans="1:1" x14ac:dyDescent="0.4">
      <c r="A285" s="14" t="str">
        <f t="shared" si="4"/>
        <v>01</v>
      </c>
    </row>
    <row r="286" spans="1:1" x14ac:dyDescent="0.4">
      <c r="A286" s="14" t="str">
        <f t="shared" si="4"/>
        <v>01</v>
      </c>
    </row>
    <row r="287" spans="1:1" x14ac:dyDescent="0.4">
      <c r="A287" s="14" t="str">
        <f t="shared" si="4"/>
        <v>01</v>
      </c>
    </row>
    <row r="288" spans="1:1" x14ac:dyDescent="0.4">
      <c r="A288" s="14" t="str">
        <f t="shared" si="4"/>
        <v>01</v>
      </c>
    </row>
    <row r="289" spans="1:1" x14ac:dyDescent="0.4">
      <c r="A289" s="14" t="str">
        <f t="shared" si="4"/>
        <v>01</v>
      </c>
    </row>
    <row r="290" spans="1:1" x14ac:dyDescent="0.4">
      <c r="A290" s="14" t="str">
        <f t="shared" si="4"/>
        <v>01</v>
      </c>
    </row>
    <row r="291" spans="1:1" x14ac:dyDescent="0.4">
      <c r="A291" s="14" t="str">
        <f t="shared" si="4"/>
        <v>01</v>
      </c>
    </row>
    <row r="292" spans="1:1" x14ac:dyDescent="0.4">
      <c r="A292" s="14" t="str">
        <f t="shared" si="4"/>
        <v>01</v>
      </c>
    </row>
    <row r="293" spans="1:1" x14ac:dyDescent="0.4">
      <c r="A293" s="14" t="str">
        <f t="shared" si="4"/>
        <v>01</v>
      </c>
    </row>
    <row r="294" spans="1:1" x14ac:dyDescent="0.4">
      <c r="A294" s="14" t="str">
        <f t="shared" si="4"/>
        <v>01</v>
      </c>
    </row>
    <row r="295" spans="1:1" x14ac:dyDescent="0.4">
      <c r="A295" s="14" t="str">
        <f t="shared" si="4"/>
        <v>01</v>
      </c>
    </row>
    <row r="296" spans="1:1" x14ac:dyDescent="0.4">
      <c r="A296" s="14" t="str">
        <f t="shared" si="4"/>
        <v>01</v>
      </c>
    </row>
    <row r="297" spans="1:1" x14ac:dyDescent="0.4">
      <c r="A297" s="14" t="str">
        <f t="shared" si="4"/>
        <v>01</v>
      </c>
    </row>
    <row r="298" spans="1:1" x14ac:dyDescent="0.4">
      <c r="A298" s="14" t="str">
        <f t="shared" si="4"/>
        <v>01</v>
      </c>
    </row>
    <row r="299" spans="1:1" x14ac:dyDescent="0.4">
      <c r="A299" s="14" t="str">
        <f t="shared" si="4"/>
        <v>01</v>
      </c>
    </row>
    <row r="300" spans="1:1" x14ac:dyDescent="0.4">
      <c r="A300" s="14" t="str">
        <f t="shared" si="4"/>
        <v>01</v>
      </c>
    </row>
    <row r="301" spans="1:1" x14ac:dyDescent="0.4">
      <c r="A301" s="14" t="str">
        <f t="shared" si="4"/>
        <v>01</v>
      </c>
    </row>
    <row r="302" spans="1:1" x14ac:dyDescent="0.4">
      <c r="A302" s="14" t="str">
        <f t="shared" si="4"/>
        <v>01</v>
      </c>
    </row>
    <row r="303" spans="1:1" x14ac:dyDescent="0.4">
      <c r="A303" s="14" t="str">
        <f t="shared" si="4"/>
        <v>01</v>
      </c>
    </row>
    <row r="304" spans="1:1" x14ac:dyDescent="0.4">
      <c r="A304" s="14" t="str">
        <f t="shared" si="4"/>
        <v>01</v>
      </c>
    </row>
    <row r="305" spans="1:1" x14ac:dyDescent="0.4">
      <c r="A305" s="14" t="str">
        <f t="shared" si="4"/>
        <v>01</v>
      </c>
    </row>
    <row r="306" spans="1:1" x14ac:dyDescent="0.4">
      <c r="A306" s="14" t="str">
        <f t="shared" si="4"/>
        <v>01</v>
      </c>
    </row>
    <row r="307" spans="1:1" x14ac:dyDescent="0.4">
      <c r="A307" s="14" t="str">
        <f t="shared" si="4"/>
        <v>01</v>
      </c>
    </row>
    <row r="308" spans="1:1" x14ac:dyDescent="0.4">
      <c r="A308" s="14" t="str">
        <f t="shared" si="4"/>
        <v>01</v>
      </c>
    </row>
    <row r="309" spans="1:1" x14ac:dyDescent="0.4">
      <c r="A309" s="14" t="str">
        <f t="shared" si="4"/>
        <v>01</v>
      </c>
    </row>
    <row r="310" spans="1:1" x14ac:dyDescent="0.4">
      <c r="A310" s="14" t="str">
        <f t="shared" si="4"/>
        <v>01</v>
      </c>
    </row>
    <row r="311" spans="1:1" x14ac:dyDescent="0.4">
      <c r="A311" s="14" t="str">
        <f t="shared" si="4"/>
        <v>01</v>
      </c>
    </row>
    <row r="312" spans="1:1" x14ac:dyDescent="0.4">
      <c r="A312" s="14" t="str">
        <f t="shared" si="4"/>
        <v>01</v>
      </c>
    </row>
    <row r="313" spans="1:1" x14ac:dyDescent="0.4">
      <c r="A313" s="14" t="str">
        <f t="shared" si="4"/>
        <v>01</v>
      </c>
    </row>
    <row r="314" spans="1:1" x14ac:dyDescent="0.4">
      <c r="A314" s="14" t="str">
        <f t="shared" si="4"/>
        <v>01</v>
      </c>
    </row>
    <row r="315" spans="1:1" x14ac:dyDescent="0.4">
      <c r="A315" s="14" t="str">
        <f t="shared" si="4"/>
        <v>01</v>
      </c>
    </row>
    <row r="316" spans="1:1" x14ac:dyDescent="0.4">
      <c r="A316" s="14" t="str">
        <f t="shared" si="4"/>
        <v>01</v>
      </c>
    </row>
    <row r="317" spans="1:1" x14ac:dyDescent="0.4">
      <c r="A317" s="14" t="str">
        <f t="shared" si="4"/>
        <v>01</v>
      </c>
    </row>
    <row r="318" spans="1:1" x14ac:dyDescent="0.4">
      <c r="A318" s="14" t="str">
        <f t="shared" si="4"/>
        <v>01</v>
      </c>
    </row>
    <row r="319" spans="1:1" x14ac:dyDescent="0.4">
      <c r="A319" s="14" t="str">
        <f t="shared" si="4"/>
        <v>01</v>
      </c>
    </row>
    <row r="320" spans="1:1" x14ac:dyDescent="0.4">
      <c r="A320" s="14" t="str">
        <f t="shared" si="4"/>
        <v>01</v>
      </c>
    </row>
    <row r="321" spans="1:1" x14ac:dyDescent="0.4">
      <c r="A321" s="14" t="str">
        <f t="shared" si="4"/>
        <v>01</v>
      </c>
    </row>
    <row r="322" spans="1:1" x14ac:dyDescent="0.4">
      <c r="A322" s="14" t="str">
        <f t="shared" si="4"/>
        <v>01</v>
      </c>
    </row>
    <row r="323" spans="1:1" x14ac:dyDescent="0.4">
      <c r="A323" s="14" t="str">
        <f t="shared" ref="A323:A386" si="5">TEXT(L323,"MM")</f>
        <v>01</v>
      </c>
    </row>
    <row r="324" spans="1:1" x14ac:dyDescent="0.4">
      <c r="A324" s="14" t="str">
        <f t="shared" si="5"/>
        <v>01</v>
      </c>
    </row>
    <row r="325" spans="1:1" x14ac:dyDescent="0.4">
      <c r="A325" s="14" t="str">
        <f t="shared" si="5"/>
        <v>01</v>
      </c>
    </row>
    <row r="326" spans="1:1" x14ac:dyDescent="0.4">
      <c r="A326" s="14" t="str">
        <f t="shared" si="5"/>
        <v>01</v>
      </c>
    </row>
    <row r="327" spans="1:1" x14ac:dyDescent="0.4">
      <c r="A327" s="14" t="str">
        <f t="shared" si="5"/>
        <v>01</v>
      </c>
    </row>
    <row r="328" spans="1:1" x14ac:dyDescent="0.4">
      <c r="A328" s="14" t="str">
        <f t="shared" si="5"/>
        <v>01</v>
      </c>
    </row>
    <row r="329" spans="1:1" x14ac:dyDescent="0.4">
      <c r="A329" s="14" t="str">
        <f t="shared" si="5"/>
        <v>01</v>
      </c>
    </row>
    <row r="330" spans="1:1" x14ac:dyDescent="0.4">
      <c r="A330" s="14" t="str">
        <f t="shared" si="5"/>
        <v>01</v>
      </c>
    </row>
    <row r="331" spans="1:1" x14ac:dyDescent="0.4">
      <c r="A331" s="14" t="str">
        <f t="shared" si="5"/>
        <v>01</v>
      </c>
    </row>
    <row r="332" spans="1:1" x14ac:dyDescent="0.4">
      <c r="A332" s="14" t="str">
        <f t="shared" si="5"/>
        <v>01</v>
      </c>
    </row>
    <row r="333" spans="1:1" x14ac:dyDescent="0.4">
      <c r="A333" s="14" t="str">
        <f t="shared" si="5"/>
        <v>01</v>
      </c>
    </row>
    <row r="334" spans="1:1" x14ac:dyDescent="0.4">
      <c r="A334" s="14" t="str">
        <f t="shared" si="5"/>
        <v>01</v>
      </c>
    </row>
    <row r="335" spans="1:1" x14ac:dyDescent="0.4">
      <c r="A335" s="14" t="str">
        <f t="shared" si="5"/>
        <v>01</v>
      </c>
    </row>
    <row r="336" spans="1:1" x14ac:dyDescent="0.4">
      <c r="A336" s="14" t="str">
        <f t="shared" si="5"/>
        <v>01</v>
      </c>
    </row>
    <row r="337" spans="1:1" x14ac:dyDescent="0.4">
      <c r="A337" s="14" t="str">
        <f t="shared" si="5"/>
        <v>01</v>
      </c>
    </row>
    <row r="338" spans="1:1" x14ac:dyDescent="0.4">
      <c r="A338" s="14" t="str">
        <f t="shared" si="5"/>
        <v>01</v>
      </c>
    </row>
    <row r="339" spans="1:1" x14ac:dyDescent="0.4">
      <c r="A339" s="14" t="str">
        <f t="shared" si="5"/>
        <v>01</v>
      </c>
    </row>
    <row r="340" spans="1:1" x14ac:dyDescent="0.4">
      <c r="A340" s="14" t="str">
        <f t="shared" si="5"/>
        <v>01</v>
      </c>
    </row>
    <row r="341" spans="1:1" x14ac:dyDescent="0.4">
      <c r="A341" s="14" t="str">
        <f t="shared" si="5"/>
        <v>01</v>
      </c>
    </row>
    <row r="342" spans="1:1" x14ac:dyDescent="0.4">
      <c r="A342" s="14" t="str">
        <f t="shared" si="5"/>
        <v>01</v>
      </c>
    </row>
    <row r="343" spans="1:1" x14ac:dyDescent="0.4">
      <c r="A343" s="14" t="str">
        <f t="shared" si="5"/>
        <v>01</v>
      </c>
    </row>
    <row r="344" spans="1:1" x14ac:dyDescent="0.4">
      <c r="A344" s="14" t="str">
        <f t="shared" si="5"/>
        <v>01</v>
      </c>
    </row>
    <row r="345" spans="1:1" x14ac:dyDescent="0.4">
      <c r="A345" s="14" t="str">
        <f t="shared" si="5"/>
        <v>01</v>
      </c>
    </row>
    <row r="346" spans="1:1" x14ac:dyDescent="0.4">
      <c r="A346" s="14" t="str">
        <f t="shared" si="5"/>
        <v>01</v>
      </c>
    </row>
    <row r="347" spans="1:1" x14ac:dyDescent="0.4">
      <c r="A347" s="14" t="str">
        <f t="shared" si="5"/>
        <v>01</v>
      </c>
    </row>
    <row r="348" spans="1:1" x14ac:dyDescent="0.4">
      <c r="A348" s="14" t="str">
        <f t="shared" si="5"/>
        <v>01</v>
      </c>
    </row>
    <row r="349" spans="1:1" x14ac:dyDescent="0.4">
      <c r="A349" s="14" t="str">
        <f t="shared" si="5"/>
        <v>01</v>
      </c>
    </row>
    <row r="350" spans="1:1" x14ac:dyDescent="0.4">
      <c r="A350" s="14" t="str">
        <f t="shared" si="5"/>
        <v>01</v>
      </c>
    </row>
    <row r="351" spans="1:1" x14ac:dyDescent="0.4">
      <c r="A351" s="14" t="str">
        <f t="shared" si="5"/>
        <v>01</v>
      </c>
    </row>
    <row r="352" spans="1:1" x14ac:dyDescent="0.4">
      <c r="A352" s="14" t="str">
        <f t="shared" si="5"/>
        <v>01</v>
      </c>
    </row>
    <row r="353" spans="1:1" x14ac:dyDescent="0.4">
      <c r="A353" s="14" t="str">
        <f t="shared" si="5"/>
        <v>01</v>
      </c>
    </row>
    <row r="354" spans="1:1" x14ac:dyDescent="0.4">
      <c r="A354" s="14" t="str">
        <f t="shared" si="5"/>
        <v>01</v>
      </c>
    </row>
    <row r="355" spans="1:1" x14ac:dyDescent="0.4">
      <c r="A355" s="14" t="str">
        <f t="shared" si="5"/>
        <v>01</v>
      </c>
    </row>
    <row r="356" spans="1:1" x14ac:dyDescent="0.4">
      <c r="A356" s="14" t="str">
        <f t="shared" si="5"/>
        <v>01</v>
      </c>
    </row>
    <row r="357" spans="1:1" x14ac:dyDescent="0.4">
      <c r="A357" s="14" t="str">
        <f t="shared" si="5"/>
        <v>01</v>
      </c>
    </row>
    <row r="358" spans="1:1" x14ac:dyDescent="0.4">
      <c r="A358" s="14" t="str">
        <f t="shared" si="5"/>
        <v>01</v>
      </c>
    </row>
    <row r="359" spans="1:1" x14ac:dyDescent="0.4">
      <c r="A359" s="14" t="str">
        <f t="shared" si="5"/>
        <v>01</v>
      </c>
    </row>
    <row r="360" spans="1:1" x14ac:dyDescent="0.4">
      <c r="A360" s="14" t="str">
        <f t="shared" si="5"/>
        <v>01</v>
      </c>
    </row>
    <row r="361" spans="1:1" x14ac:dyDescent="0.4">
      <c r="A361" s="14" t="str">
        <f t="shared" si="5"/>
        <v>01</v>
      </c>
    </row>
    <row r="362" spans="1:1" x14ac:dyDescent="0.4">
      <c r="A362" s="14" t="str">
        <f t="shared" si="5"/>
        <v>01</v>
      </c>
    </row>
    <row r="363" spans="1:1" x14ac:dyDescent="0.4">
      <c r="A363" s="14" t="str">
        <f t="shared" si="5"/>
        <v>01</v>
      </c>
    </row>
    <row r="364" spans="1:1" x14ac:dyDescent="0.4">
      <c r="A364" s="14" t="str">
        <f t="shared" si="5"/>
        <v>01</v>
      </c>
    </row>
    <row r="365" spans="1:1" x14ac:dyDescent="0.4">
      <c r="A365" s="14" t="str">
        <f t="shared" si="5"/>
        <v>01</v>
      </c>
    </row>
    <row r="366" spans="1:1" x14ac:dyDescent="0.4">
      <c r="A366" s="14" t="str">
        <f t="shared" si="5"/>
        <v>01</v>
      </c>
    </row>
    <row r="367" spans="1:1" x14ac:dyDescent="0.4">
      <c r="A367" s="14" t="str">
        <f t="shared" si="5"/>
        <v>01</v>
      </c>
    </row>
    <row r="368" spans="1:1" x14ac:dyDescent="0.4">
      <c r="A368" s="14" t="str">
        <f t="shared" si="5"/>
        <v>01</v>
      </c>
    </row>
    <row r="369" spans="1:1" x14ac:dyDescent="0.4">
      <c r="A369" s="14" t="str">
        <f t="shared" si="5"/>
        <v>01</v>
      </c>
    </row>
    <row r="370" spans="1:1" x14ac:dyDescent="0.4">
      <c r="A370" s="14" t="str">
        <f t="shared" si="5"/>
        <v>01</v>
      </c>
    </row>
    <row r="371" spans="1:1" x14ac:dyDescent="0.4">
      <c r="A371" s="14" t="str">
        <f t="shared" si="5"/>
        <v>01</v>
      </c>
    </row>
    <row r="372" spans="1:1" x14ac:dyDescent="0.4">
      <c r="A372" s="14" t="str">
        <f t="shared" si="5"/>
        <v>01</v>
      </c>
    </row>
    <row r="373" spans="1:1" x14ac:dyDescent="0.4">
      <c r="A373" s="14" t="str">
        <f t="shared" si="5"/>
        <v>01</v>
      </c>
    </row>
    <row r="374" spans="1:1" x14ac:dyDescent="0.4">
      <c r="A374" s="14" t="str">
        <f t="shared" si="5"/>
        <v>01</v>
      </c>
    </row>
    <row r="375" spans="1:1" x14ac:dyDescent="0.4">
      <c r="A375" s="14" t="str">
        <f t="shared" si="5"/>
        <v>01</v>
      </c>
    </row>
    <row r="376" spans="1:1" x14ac:dyDescent="0.4">
      <c r="A376" s="14" t="str">
        <f t="shared" si="5"/>
        <v>01</v>
      </c>
    </row>
    <row r="377" spans="1:1" x14ac:dyDescent="0.4">
      <c r="A377" s="14" t="str">
        <f t="shared" si="5"/>
        <v>01</v>
      </c>
    </row>
    <row r="378" spans="1:1" x14ac:dyDescent="0.4">
      <c r="A378" s="14" t="str">
        <f t="shared" si="5"/>
        <v>01</v>
      </c>
    </row>
    <row r="379" spans="1:1" x14ac:dyDescent="0.4">
      <c r="A379" s="14" t="str">
        <f t="shared" si="5"/>
        <v>01</v>
      </c>
    </row>
    <row r="380" spans="1:1" x14ac:dyDescent="0.4">
      <c r="A380" s="14" t="str">
        <f t="shared" si="5"/>
        <v>01</v>
      </c>
    </row>
    <row r="381" spans="1:1" x14ac:dyDescent="0.4">
      <c r="A381" s="14" t="str">
        <f t="shared" si="5"/>
        <v>01</v>
      </c>
    </row>
    <row r="382" spans="1:1" x14ac:dyDescent="0.4">
      <c r="A382" s="14" t="str">
        <f t="shared" si="5"/>
        <v>01</v>
      </c>
    </row>
    <row r="383" spans="1:1" x14ac:dyDescent="0.4">
      <c r="A383" s="14" t="str">
        <f t="shared" si="5"/>
        <v>01</v>
      </c>
    </row>
    <row r="384" spans="1:1" x14ac:dyDescent="0.4">
      <c r="A384" s="14" t="str">
        <f t="shared" si="5"/>
        <v>01</v>
      </c>
    </row>
    <row r="385" spans="1:1" x14ac:dyDescent="0.4">
      <c r="A385" s="14" t="str">
        <f t="shared" si="5"/>
        <v>01</v>
      </c>
    </row>
    <row r="386" spans="1:1" x14ac:dyDescent="0.4">
      <c r="A386" s="14" t="str">
        <f t="shared" si="5"/>
        <v>01</v>
      </c>
    </row>
    <row r="387" spans="1:1" x14ac:dyDescent="0.4">
      <c r="A387" s="14" t="str">
        <f t="shared" ref="A387:A450" si="6">TEXT(L387,"MM")</f>
        <v>01</v>
      </c>
    </row>
    <row r="388" spans="1:1" x14ac:dyDescent="0.4">
      <c r="A388" s="14" t="str">
        <f t="shared" si="6"/>
        <v>01</v>
      </c>
    </row>
    <row r="389" spans="1:1" x14ac:dyDescent="0.4">
      <c r="A389" s="14" t="str">
        <f t="shared" si="6"/>
        <v>01</v>
      </c>
    </row>
    <row r="390" spans="1:1" x14ac:dyDescent="0.4">
      <c r="A390" s="14" t="str">
        <f t="shared" si="6"/>
        <v>01</v>
      </c>
    </row>
    <row r="391" spans="1:1" x14ac:dyDescent="0.4">
      <c r="A391" s="14" t="str">
        <f t="shared" si="6"/>
        <v>01</v>
      </c>
    </row>
    <row r="392" spans="1:1" x14ac:dyDescent="0.4">
      <c r="A392" s="14" t="str">
        <f t="shared" si="6"/>
        <v>01</v>
      </c>
    </row>
    <row r="393" spans="1:1" x14ac:dyDescent="0.4">
      <c r="A393" s="14" t="str">
        <f t="shared" si="6"/>
        <v>01</v>
      </c>
    </row>
    <row r="394" spans="1:1" x14ac:dyDescent="0.4">
      <c r="A394" s="14" t="str">
        <f t="shared" si="6"/>
        <v>01</v>
      </c>
    </row>
    <row r="395" spans="1:1" x14ac:dyDescent="0.4">
      <c r="A395" s="14" t="str">
        <f t="shared" si="6"/>
        <v>01</v>
      </c>
    </row>
    <row r="396" spans="1:1" x14ac:dyDescent="0.4">
      <c r="A396" s="14" t="str">
        <f t="shared" si="6"/>
        <v>01</v>
      </c>
    </row>
    <row r="397" spans="1:1" x14ac:dyDescent="0.4">
      <c r="A397" s="14" t="str">
        <f t="shared" si="6"/>
        <v>01</v>
      </c>
    </row>
    <row r="398" spans="1:1" x14ac:dyDescent="0.4">
      <c r="A398" s="14" t="str">
        <f t="shared" si="6"/>
        <v>01</v>
      </c>
    </row>
    <row r="399" spans="1:1" x14ac:dyDescent="0.4">
      <c r="A399" s="14" t="str">
        <f t="shared" si="6"/>
        <v>01</v>
      </c>
    </row>
    <row r="400" spans="1:1" x14ac:dyDescent="0.4">
      <c r="A400" s="14" t="str">
        <f t="shared" si="6"/>
        <v>01</v>
      </c>
    </row>
    <row r="401" spans="1:1" x14ac:dyDescent="0.4">
      <c r="A401" s="14" t="str">
        <f t="shared" si="6"/>
        <v>01</v>
      </c>
    </row>
    <row r="402" spans="1:1" x14ac:dyDescent="0.4">
      <c r="A402" s="14" t="str">
        <f t="shared" si="6"/>
        <v>01</v>
      </c>
    </row>
    <row r="403" spans="1:1" x14ac:dyDescent="0.4">
      <c r="A403" s="14" t="str">
        <f t="shared" si="6"/>
        <v>01</v>
      </c>
    </row>
    <row r="404" spans="1:1" x14ac:dyDescent="0.4">
      <c r="A404" s="14" t="str">
        <f t="shared" si="6"/>
        <v>01</v>
      </c>
    </row>
    <row r="405" spans="1:1" x14ac:dyDescent="0.4">
      <c r="A405" s="14" t="str">
        <f t="shared" si="6"/>
        <v>01</v>
      </c>
    </row>
    <row r="406" spans="1:1" x14ac:dyDescent="0.4">
      <c r="A406" s="14" t="str">
        <f t="shared" si="6"/>
        <v>01</v>
      </c>
    </row>
    <row r="407" spans="1:1" x14ac:dyDescent="0.4">
      <c r="A407" s="14" t="str">
        <f t="shared" si="6"/>
        <v>01</v>
      </c>
    </row>
    <row r="408" spans="1:1" x14ac:dyDescent="0.4">
      <c r="A408" s="14" t="str">
        <f t="shared" si="6"/>
        <v>01</v>
      </c>
    </row>
    <row r="409" spans="1:1" x14ac:dyDescent="0.4">
      <c r="A409" s="14" t="str">
        <f t="shared" si="6"/>
        <v>01</v>
      </c>
    </row>
    <row r="410" spans="1:1" x14ac:dyDescent="0.4">
      <c r="A410" s="14" t="str">
        <f t="shared" si="6"/>
        <v>01</v>
      </c>
    </row>
    <row r="411" spans="1:1" x14ac:dyDescent="0.4">
      <c r="A411" s="14" t="str">
        <f t="shared" si="6"/>
        <v>01</v>
      </c>
    </row>
    <row r="412" spans="1:1" x14ac:dyDescent="0.4">
      <c r="A412" s="14" t="str">
        <f t="shared" si="6"/>
        <v>01</v>
      </c>
    </row>
    <row r="413" spans="1:1" x14ac:dyDescent="0.4">
      <c r="A413" s="14" t="str">
        <f t="shared" si="6"/>
        <v>01</v>
      </c>
    </row>
    <row r="414" spans="1:1" x14ac:dyDescent="0.4">
      <c r="A414" s="14" t="str">
        <f t="shared" si="6"/>
        <v>01</v>
      </c>
    </row>
    <row r="415" spans="1:1" x14ac:dyDescent="0.4">
      <c r="A415" s="14" t="str">
        <f t="shared" si="6"/>
        <v>01</v>
      </c>
    </row>
    <row r="416" spans="1:1" x14ac:dyDescent="0.4">
      <c r="A416" s="14" t="str">
        <f t="shared" si="6"/>
        <v>01</v>
      </c>
    </row>
    <row r="417" spans="1:1" x14ac:dyDescent="0.4">
      <c r="A417" s="14" t="str">
        <f t="shared" si="6"/>
        <v>01</v>
      </c>
    </row>
    <row r="418" spans="1:1" x14ac:dyDescent="0.4">
      <c r="A418" s="14" t="str">
        <f t="shared" si="6"/>
        <v>01</v>
      </c>
    </row>
    <row r="419" spans="1:1" x14ac:dyDescent="0.4">
      <c r="A419" s="14" t="str">
        <f t="shared" si="6"/>
        <v>01</v>
      </c>
    </row>
    <row r="420" spans="1:1" x14ac:dyDescent="0.4">
      <c r="A420" s="14" t="str">
        <f t="shared" si="6"/>
        <v>01</v>
      </c>
    </row>
    <row r="421" spans="1:1" x14ac:dyDescent="0.4">
      <c r="A421" s="14" t="str">
        <f t="shared" si="6"/>
        <v>01</v>
      </c>
    </row>
    <row r="422" spans="1:1" x14ac:dyDescent="0.4">
      <c r="A422" s="14" t="str">
        <f t="shared" si="6"/>
        <v>01</v>
      </c>
    </row>
    <row r="423" spans="1:1" x14ac:dyDescent="0.4">
      <c r="A423" s="14" t="str">
        <f t="shared" si="6"/>
        <v>01</v>
      </c>
    </row>
    <row r="424" spans="1:1" x14ac:dyDescent="0.4">
      <c r="A424" s="14" t="str">
        <f t="shared" si="6"/>
        <v>01</v>
      </c>
    </row>
    <row r="425" spans="1:1" x14ac:dyDescent="0.4">
      <c r="A425" s="14" t="str">
        <f t="shared" si="6"/>
        <v>01</v>
      </c>
    </row>
    <row r="426" spans="1:1" x14ac:dyDescent="0.4">
      <c r="A426" s="14" t="str">
        <f t="shared" si="6"/>
        <v>01</v>
      </c>
    </row>
    <row r="427" spans="1:1" x14ac:dyDescent="0.4">
      <c r="A427" s="14" t="str">
        <f t="shared" si="6"/>
        <v>01</v>
      </c>
    </row>
    <row r="428" spans="1:1" x14ac:dyDescent="0.4">
      <c r="A428" s="14" t="str">
        <f t="shared" si="6"/>
        <v>01</v>
      </c>
    </row>
    <row r="429" spans="1:1" x14ac:dyDescent="0.4">
      <c r="A429" s="14" t="str">
        <f t="shared" si="6"/>
        <v>01</v>
      </c>
    </row>
    <row r="430" spans="1:1" x14ac:dyDescent="0.4">
      <c r="A430" s="14" t="str">
        <f t="shared" si="6"/>
        <v>01</v>
      </c>
    </row>
    <row r="431" spans="1:1" x14ac:dyDescent="0.4">
      <c r="A431" s="14" t="str">
        <f t="shared" si="6"/>
        <v>01</v>
      </c>
    </row>
    <row r="432" spans="1:1" x14ac:dyDescent="0.4">
      <c r="A432" s="14" t="str">
        <f t="shared" si="6"/>
        <v>01</v>
      </c>
    </row>
    <row r="433" spans="1:1" x14ac:dyDescent="0.4">
      <c r="A433" s="14" t="str">
        <f t="shared" si="6"/>
        <v>01</v>
      </c>
    </row>
    <row r="434" spans="1:1" x14ac:dyDescent="0.4">
      <c r="A434" s="14" t="str">
        <f t="shared" si="6"/>
        <v>01</v>
      </c>
    </row>
    <row r="435" spans="1:1" x14ac:dyDescent="0.4">
      <c r="A435" s="14" t="str">
        <f t="shared" si="6"/>
        <v>01</v>
      </c>
    </row>
    <row r="436" spans="1:1" x14ac:dyDescent="0.4">
      <c r="A436" s="14" t="str">
        <f t="shared" si="6"/>
        <v>01</v>
      </c>
    </row>
    <row r="437" spans="1:1" x14ac:dyDescent="0.4">
      <c r="A437" s="14" t="str">
        <f t="shared" si="6"/>
        <v>01</v>
      </c>
    </row>
    <row r="438" spans="1:1" x14ac:dyDescent="0.4">
      <c r="A438" s="14" t="str">
        <f t="shared" si="6"/>
        <v>01</v>
      </c>
    </row>
    <row r="439" spans="1:1" x14ac:dyDescent="0.4">
      <c r="A439" s="14" t="str">
        <f t="shared" si="6"/>
        <v>01</v>
      </c>
    </row>
    <row r="440" spans="1:1" x14ac:dyDescent="0.4">
      <c r="A440" s="14" t="str">
        <f t="shared" si="6"/>
        <v>01</v>
      </c>
    </row>
    <row r="441" spans="1:1" x14ac:dyDescent="0.4">
      <c r="A441" s="14" t="str">
        <f t="shared" si="6"/>
        <v>01</v>
      </c>
    </row>
    <row r="442" spans="1:1" x14ac:dyDescent="0.4">
      <c r="A442" s="14" t="str">
        <f t="shared" si="6"/>
        <v>01</v>
      </c>
    </row>
    <row r="443" spans="1:1" x14ac:dyDescent="0.4">
      <c r="A443" s="14" t="str">
        <f t="shared" si="6"/>
        <v>01</v>
      </c>
    </row>
    <row r="444" spans="1:1" x14ac:dyDescent="0.4">
      <c r="A444" s="14" t="str">
        <f t="shared" si="6"/>
        <v>01</v>
      </c>
    </row>
    <row r="445" spans="1:1" x14ac:dyDescent="0.4">
      <c r="A445" s="14" t="str">
        <f t="shared" si="6"/>
        <v>01</v>
      </c>
    </row>
    <row r="446" spans="1:1" x14ac:dyDescent="0.4">
      <c r="A446" s="14" t="str">
        <f t="shared" si="6"/>
        <v>01</v>
      </c>
    </row>
    <row r="447" spans="1:1" x14ac:dyDescent="0.4">
      <c r="A447" s="14" t="str">
        <f t="shared" si="6"/>
        <v>01</v>
      </c>
    </row>
    <row r="448" spans="1:1" x14ac:dyDescent="0.4">
      <c r="A448" s="14" t="str">
        <f t="shared" si="6"/>
        <v>01</v>
      </c>
    </row>
    <row r="449" spans="1:1" x14ac:dyDescent="0.4">
      <c r="A449" s="14" t="str">
        <f t="shared" si="6"/>
        <v>01</v>
      </c>
    </row>
    <row r="450" spans="1:1" x14ac:dyDescent="0.4">
      <c r="A450" s="14" t="str">
        <f t="shared" si="6"/>
        <v>01</v>
      </c>
    </row>
    <row r="451" spans="1:1" x14ac:dyDescent="0.4">
      <c r="A451" s="14" t="str">
        <f t="shared" ref="A451:A514" si="7">TEXT(L451,"MM")</f>
        <v>01</v>
      </c>
    </row>
    <row r="452" spans="1:1" x14ac:dyDescent="0.4">
      <c r="A452" s="14" t="str">
        <f t="shared" si="7"/>
        <v>01</v>
      </c>
    </row>
    <row r="453" spans="1:1" x14ac:dyDescent="0.4">
      <c r="A453" s="14" t="str">
        <f t="shared" si="7"/>
        <v>01</v>
      </c>
    </row>
    <row r="454" spans="1:1" x14ac:dyDescent="0.4">
      <c r="A454" s="14" t="str">
        <f t="shared" si="7"/>
        <v>01</v>
      </c>
    </row>
    <row r="455" spans="1:1" x14ac:dyDescent="0.4">
      <c r="A455" s="14" t="str">
        <f t="shared" si="7"/>
        <v>01</v>
      </c>
    </row>
    <row r="456" spans="1:1" x14ac:dyDescent="0.4">
      <c r="A456" s="14" t="str">
        <f t="shared" si="7"/>
        <v>01</v>
      </c>
    </row>
    <row r="457" spans="1:1" x14ac:dyDescent="0.4">
      <c r="A457" s="14" t="str">
        <f t="shared" si="7"/>
        <v>01</v>
      </c>
    </row>
    <row r="458" spans="1:1" x14ac:dyDescent="0.4">
      <c r="A458" s="14" t="str">
        <f t="shared" si="7"/>
        <v>01</v>
      </c>
    </row>
    <row r="459" spans="1:1" x14ac:dyDescent="0.4">
      <c r="A459" s="14" t="str">
        <f t="shared" si="7"/>
        <v>01</v>
      </c>
    </row>
    <row r="460" spans="1:1" x14ac:dyDescent="0.4">
      <c r="A460" s="14" t="str">
        <f t="shared" si="7"/>
        <v>01</v>
      </c>
    </row>
    <row r="461" spans="1:1" x14ac:dyDescent="0.4">
      <c r="A461" s="14" t="str">
        <f t="shared" si="7"/>
        <v>01</v>
      </c>
    </row>
    <row r="462" spans="1:1" x14ac:dyDescent="0.4">
      <c r="A462" s="14" t="str">
        <f t="shared" si="7"/>
        <v>01</v>
      </c>
    </row>
    <row r="463" spans="1:1" x14ac:dyDescent="0.4">
      <c r="A463" s="14" t="str">
        <f t="shared" si="7"/>
        <v>01</v>
      </c>
    </row>
    <row r="464" spans="1:1" x14ac:dyDescent="0.4">
      <c r="A464" s="14" t="str">
        <f t="shared" si="7"/>
        <v>01</v>
      </c>
    </row>
    <row r="465" spans="1:1" x14ac:dyDescent="0.4">
      <c r="A465" s="14" t="str">
        <f t="shared" si="7"/>
        <v>01</v>
      </c>
    </row>
    <row r="466" spans="1:1" x14ac:dyDescent="0.4">
      <c r="A466" s="14" t="str">
        <f t="shared" si="7"/>
        <v>01</v>
      </c>
    </row>
    <row r="467" spans="1:1" x14ac:dyDescent="0.4">
      <c r="A467" s="14" t="str">
        <f t="shared" si="7"/>
        <v>01</v>
      </c>
    </row>
    <row r="468" spans="1:1" x14ac:dyDescent="0.4">
      <c r="A468" s="14" t="str">
        <f t="shared" si="7"/>
        <v>01</v>
      </c>
    </row>
    <row r="469" spans="1:1" x14ac:dyDescent="0.4">
      <c r="A469" s="14" t="str">
        <f t="shared" si="7"/>
        <v>01</v>
      </c>
    </row>
    <row r="470" spans="1:1" x14ac:dyDescent="0.4">
      <c r="A470" s="14" t="str">
        <f t="shared" si="7"/>
        <v>01</v>
      </c>
    </row>
    <row r="471" spans="1:1" x14ac:dyDescent="0.4">
      <c r="A471" s="14" t="str">
        <f t="shared" si="7"/>
        <v>01</v>
      </c>
    </row>
    <row r="472" spans="1:1" x14ac:dyDescent="0.4">
      <c r="A472" s="14" t="str">
        <f t="shared" si="7"/>
        <v>01</v>
      </c>
    </row>
    <row r="473" spans="1:1" x14ac:dyDescent="0.4">
      <c r="A473" s="14" t="str">
        <f t="shared" si="7"/>
        <v>01</v>
      </c>
    </row>
    <row r="474" spans="1:1" x14ac:dyDescent="0.4">
      <c r="A474" s="14" t="str">
        <f t="shared" si="7"/>
        <v>01</v>
      </c>
    </row>
    <row r="475" spans="1:1" x14ac:dyDescent="0.4">
      <c r="A475" s="14" t="str">
        <f t="shared" si="7"/>
        <v>01</v>
      </c>
    </row>
    <row r="476" spans="1:1" x14ac:dyDescent="0.4">
      <c r="A476" s="14" t="str">
        <f t="shared" si="7"/>
        <v>01</v>
      </c>
    </row>
    <row r="477" spans="1:1" x14ac:dyDescent="0.4">
      <c r="A477" s="14" t="str">
        <f t="shared" si="7"/>
        <v>01</v>
      </c>
    </row>
    <row r="478" spans="1:1" x14ac:dyDescent="0.4">
      <c r="A478" s="14" t="str">
        <f t="shared" si="7"/>
        <v>01</v>
      </c>
    </row>
    <row r="479" spans="1:1" x14ac:dyDescent="0.4">
      <c r="A479" s="14" t="str">
        <f t="shared" si="7"/>
        <v>01</v>
      </c>
    </row>
    <row r="480" spans="1:1" x14ac:dyDescent="0.4">
      <c r="A480" s="14" t="str">
        <f t="shared" si="7"/>
        <v>01</v>
      </c>
    </row>
    <row r="481" spans="1:1" x14ac:dyDescent="0.4">
      <c r="A481" s="14" t="str">
        <f t="shared" si="7"/>
        <v>01</v>
      </c>
    </row>
    <row r="482" spans="1:1" x14ac:dyDescent="0.4">
      <c r="A482" s="14" t="str">
        <f t="shared" si="7"/>
        <v>01</v>
      </c>
    </row>
    <row r="483" spans="1:1" x14ac:dyDescent="0.4">
      <c r="A483" s="14" t="str">
        <f t="shared" si="7"/>
        <v>01</v>
      </c>
    </row>
    <row r="484" spans="1:1" x14ac:dyDescent="0.4">
      <c r="A484" s="14" t="str">
        <f t="shared" si="7"/>
        <v>01</v>
      </c>
    </row>
    <row r="485" spans="1:1" x14ac:dyDescent="0.4">
      <c r="A485" s="14" t="str">
        <f t="shared" si="7"/>
        <v>01</v>
      </c>
    </row>
    <row r="486" spans="1:1" x14ac:dyDescent="0.4">
      <c r="A486" s="14" t="str">
        <f t="shared" si="7"/>
        <v>01</v>
      </c>
    </row>
    <row r="487" spans="1:1" x14ac:dyDescent="0.4">
      <c r="A487" s="14" t="str">
        <f t="shared" si="7"/>
        <v>01</v>
      </c>
    </row>
    <row r="488" spans="1:1" x14ac:dyDescent="0.4">
      <c r="A488" s="14" t="str">
        <f t="shared" si="7"/>
        <v>01</v>
      </c>
    </row>
    <row r="489" spans="1:1" x14ac:dyDescent="0.4">
      <c r="A489" s="14" t="str">
        <f t="shared" si="7"/>
        <v>01</v>
      </c>
    </row>
    <row r="490" spans="1:1" x14ac:dyDescent="0.4">
      <c r="A490" s="14" t="str">
        <f t="shared" si="7"/>
        <v>01</v>
      </c>
    </row>
    <row r="491" spans="1:1" x14ac:dyDescent="0.4">
      <c r="A491" s="14" t="str">
        <f t="shared" si="7"/>
        <v>01</v>
      </c>
    </row>
    <row r="492" spans="1:1" x14ac:dyDescent="0.4">
      <c r="A492" s="14" t="str">
        <f t="shared" si="7"/>
        <v>01</v>
      </c>
    </row>
    <row r="493" spans="1:1" x14ac:dyDescent="0.4">
      <c r="A493" s="14" t="str">
        <f t="shared" si="7"/>
        <v>01</v>
      </c>
    </row>
    <row r="494" spans="1:1" x14ac:dyDescent="0.4">
      <c r="A494" s="14" t="str">
        <f t="shared" si="7"/>
        <v>01</v>
      </c>
    </row>
    <row r="495" spans="1:1" x14ac:dyDescent="0.4">
      <c r="A495" s="14" t="str">
        <f t="shared" si="7"/>
        <v>01</v>
      </c>
    </row>
    <row r="496" spans="1:1" x14ac:dyDescent="0.4">
      <c r="A496" s="14" t="str">
        <f t="shared" si="7"/>
        <v>01</v>
      </c>
    </row>
    <row r="497" spans="1:1" x14ac:dyDescent="0.4">
      <c r="A497" s="14" t="str">
        <f t="shared" si="7"/>
        <v>01</v>
      </c>
    </row>
    <row r="498" spans="1:1" x14ac:dyDescent="0.4">
      <c r="A498" s="14" t="str">
        <f t="shared" si="7"/>
        <v>01</v>
      </c>
    </row>
    <row r="499" spans="1:1" x14ac:dyDescent="0.4">
      <c r="A499" s="14" t="str">
        <f t="shared" si="7"/>
        <v>01</v>
      </c>
    </row>
    <row r="500" spans="1:1" x14ac:dyDescent="0.4">
      <c r="A500" s="14" t="str">
        <f t="shared" si="7"/>
        <v>01</v>
      </c>
    </row>
    <row r="501" spans="1:1" x14ac:dyDescent="0.4">
      <c r="A501" s="14" t="str">
        <f t="shared" si="7"/>
        <v>01</v>
      </c>
    </row>
    <row r="502" spans="1:1" x14ac:dyDescent="0.4">
      <c r="A502" s="14" t="str">
        <f t="shared" si="7"/>
        <v>01</v>
      </c>
    </row>
    <row r="503" spans="1:1" x14ac:dyDescent="0.4">
      <c r="A503" s="14" t="str">
        <f t="shared" si="7"/>
        <v>01</v>
      </c>
    </row>
    <row r="504" spans="1:1" x14ac:dyDescent="0.4">
      <c r="A504" s="14" t="str">
        <f t="shared" si="7"/>
        <v>01</v>
      </c>
    </row>
    <row r="505" spans="1:1" x14ac:dyDescent="0.4">
      <c r="A505" s="14" t="str">
        <f t="shared" si="7"/>
        <v>01</v>
      </c>
    </row>
    <row r="506" spans="1:1" x14ac:dyDescent="0.4">
      <c r="A506" s="14" t="str">
        <f t="shared" si="7"/>
        <v>01</v>
      </c>
    </row>
    <row r="507" spans="1:1" x14ac:dyDescent="0.4">
      <c r="A507" s="14" t="str">
        <f t="shared" si="7"/>
        <v>01</v>
      </c>
    </row>
    <row r="508" spans="1:1" x14ac:dyDescent="0.4">
      <c r="A508" s="14" t="str">
        <f t="shared" si="7"/>
        <v>01</v>
      </c>
    </row>
    <row r="509" spans="1:1" x14ac:dyDescent="0.4">
      <c r="A509" s="14" t="str">
        <f t="shared" si="7"/>
        <v>01</v>
      </c>
    </row>
    <row r="510" spans="1:1" x14ac:dyDescent="0.4">
      <c r="A510" s="14" t="str">
        <f t="shared" si="7"/>
        <v>01</v>
      </c>
    </row>
    <row r="511" spans="1:1" x14ac:dyDescent="0.4">
      <c r="A511" s="14" t="str">
        <f t="shared" si="7"/>
        <v>01</v>
      </c>
    </row>
    <row r="512" spans="1:1" x14ac:dyDescent="0.4">
      <c r="A512" s="14" t="str">
        <f t="shared" si="7"/>
        <v>01</v>
      </c>
    </row>
    <row r="513" spans="1:1" x14ac:dyDescent="0.4">
      <c r="A513" s="14" t="str">
        <f t="shared" si="7"/>
        <v>01</v>
      </c>
    </row>
    <row r="514" spans="1:1" x14ac:dyDescent="0.4">
      <c r="A514" s="14" t="str">
        <f t="shared" si="7"/>
        <v>01</v>
      </c>
    </row>
    <row r="515" spans="1:1" x14ac:dyDescent="0.4">
      <c r="A515" s="14" t="str">
        <f t="shared" ref="A515:A578" si="8">TEXT(L515,"MM")</f>
        <v>01</v>
      </c>
    </row>
    <row r="516" spans="1:1" x14ac:dyDescent="0.4">
      <c r="A516" s="14" t="str">
        <f t="shared" si="8"/>
        <v>01</v>
      </c>
    </row>
    <row r="517" spans="1:1" x14ac:dyDescent="0.4">
      <c r="A517" s="14" t="str">
        <f t="shared" si="8"/>
        <v>01</v>
      </c>
    </row>
    <row r="518" spans="1:1" x14ac:dyDescent="0.4">
      <c r="A518" s="14" t="str">
        <f t="shared" si="8"/>
        <v>01</v>
      </c>
    </row>
    <row r="519" spans="1:1" x14ac:dyDescent="0.4">
      <c r="A519" s="14" t="str">
        <f t="shared" si="8"/>
        <v>01</v>
      </c>
    </row>
    <row r="520" spans="1:1" x14ac:dyDescent="0.4">
      <c r="A520" s="14" t="str">
        <f t="shared" si="8"/>
        <v>01</v>
      </c>
    </row>
    <row r="521" spans="1:1" x14ac:dyDescent="0.4">
      <c r="A521" s="14" t="str">
        <f t="shared" si="8"/>
        <v>01</v>
      </c>
    </row>
    <row r="522" spans="1:1" x14ac:dyDescent="0.4">
      <c r="A522" s="14" t="str">
        <f t="shared" si="8"/>
        <v>01</v>
      </c>
    </row>
    <row r="523" spans="1:1" x14ac:dyDescent="0.4">
      <c r="A523" s="14" t="str">
        <f t="shared" si="8"/>
        <v>01</v>
      </c>
    </row>
    <row r="524" spans="1:1" x14ac:dyDescent="0.4">
      <c r="A524" s="14" t="str">
        <f t="shared" si="8"/>
        <v>01</v>
      </c>
    </row>
    <row r="525" spans="1:1" x14ac:dyDescent="0.4">
      <c r="A525" s="14" t="str">
        <f t="shared" si="8"/>
        <v>01</v>
      </c>
    </row>
    <row r="526" spans="1:1" x14ac:dyDescent="0.4">
      <c r="A526" s="14" t="str">
        <f t="shared" si="8"/>
        <v>01</v>
      </c>
    </row>
    <row r="527" spans="1:1" x14ac:dyDescent="0.4">
      <c r="A527" s="14" t="str">
        <f t="shared" si="8"/>
        <v>01</v>
      </c>
    </row>
    <row r="528" spans="1:1" x14ac:dyDescent="0.4">
      <c r="A528" s="14" t="str">
        <f t="shared" si="8"/>
        <v>01</v>
      </c>
    </row>
    <row r="529" spans="1:1" x14ac:dyDescent="0.4">
      <c r="A529" s="14" t="str">
        <f t="shared" si="8"/>
        <v>01</v>
      </c>
    </row>
    <row r="530" spans="1:1" x14ac:dyDescent="0.4">
      <c r="A530" s="14" t="str">
        <f t="shared" si="8"/>
        <v>01</v>
      </c>
    </row>
    <row r="531" spans="1:1" x14ac:dyDescent="0.4">
      <c r="A531" s="14" t="str">
        <f t="shared" si="8"/>
        <v>01</v>
      </c>
    </row>
    <row r="532" spans="1:1" x14ac:dyDescent="0.4">
      <c r="A532" s="14" t="str">
        <f t="shared" si="8"/>
        <v>01</v>
      </c>
    </row>
    <row r="533" spans="1:1" x14ac:dyDescent="0.4">
      <c r="A533" s="14" t="str">
        <f t="shared" si="8"/>
        <v>01</v>
      </c>
    </row>
    <row r="534" spans="1:1" x14ac:dyDescent="0.4">
      <c r="A534" s="14" t="str">
        <f t="shared" si="8"/>
        <v>01</v>
      </c>
    </row>
    <row r="535" spans="1:1" x14ac:dyDescent="0.4">
      <c r="A535" s="14" t="str">
        <f t="shared" si="8"/>
        <v>01</v>
      </c>
    </row>
    <row r="536" spans="1:1" x14ac:dyDescent="0.4">
      <c r="A536" s="14" t="str">
        <f t="shared" si="8"/>
        <v>01</v>
      </c>
    </row>
    <row r="537" spans="1:1" x14ac:dyDescent="0.4">
      <c r="A537" s="14" t="str">
        <f t="shared" si="8"/>
        <v>01</v>
      </c>
    </row>
    <row r="538" spans="1:1" x14ac:dyDescent="0.4">
      <c r="A538" s="14" t="str">
        <f t="shared" si="8"/>
        <v>01</v>
      </c>
    </row>
    <row r="539" spans="1:1" x14ac:dyDescent="0.4">
      <c r="A539" s="14" t="str">
        <f t="shared" si="8"/>
        <v>01</v>
      </c>
    </row>
    <row r="540" spans="1:1" x14ac:dyDescent="0.4">
      <c r="A540" s="14" t="str">
        <f t="shared" si="8"/>
        <v>01</v>
      </c>
    </row>
    <row r="541" spans="1:1" x14ac:dyDescent="0.4">
      <c r="A541" s="14" t="str">
        <f t="shared" si="8"/>
        <v>01</v>
      </c>
    </row>
    <row r="542" spans="1:1" x14ac:dyDescent="0.4">
      <c r="A542" s="14" t="str">
        <f t="shared" si="8"/>
        <v>01</v>
      </c>
    </row>
    <row r="543" spans="1:1" x14ac:dyDescent="0.4">
      <c r="A543" s="14" t="str">
        <f t="shared" si="8"/>
        <v>01</v>
      </c>
    </row>
    <row r="544" spans="1:1" x14ac:dyDescent="0.4">
      <c r="A544" s="14" t="str">
        <f t="shared" si="8"/>
        <v>01</v>
      </c>
    </row>
    <row r="545" spans="1:1" x14ac:dyDescent="0.4">
      <c r="A545" s="14" t="str">
        <f t="shared" si="8"/>
        <v>01</v>
      </c>
    </row>
    <row r="546" spans="1:1" x14ac:dyDescent="0.4">
      <c r="A546" s="14" t="str">
        <f t="shared" si="8"/>
        <v>01</v>
      </c>
    </row>
    <row r="547" spans="1:1" x14ac:dyDescent="0.4">
      <c r="A547" s="14" t="str">
        <f t="shared" si="8"/>
        <v>01</v>
      </c>
    </row>
    <row r="548" spans="1:1" x14ac:dyDescent="0.4">
      <c r="A548" s="14" t="str">
        <f t="shared" si="8"/>
        <v>01</v>
      </c>
    </row>
    <row r="549" spans="1:1" x14ac:dyDescent="0.4">
      <c r="A549" s="14" t="str">
        <f t="shared" si="8"/>
        <v>01</v>
      </c>
    </row>
    <row r="550" spans="1:1" x14ac:dyDescent="0.4">
      <c r="A550" s="14" t="str">
        <f t="shared" si="8"/>
        <v>01</v>
      </c>
    </row>
    <row r="551" spans="1:1" x14ac:dyDescent="0.4">
      <c r="A551" s="14" t="str">
        <f t="shared" si="8"/>
        <v>01</v>
      </c>
    </row>
    <row r="552" spans="1:1" x14ac:dyDescent="0.4">
      <c r="A552" s="14" t="str">
        <f t="shared" si="8"/>
        <v>01</v>
      </c>
    </row>
    <row r="553" spans="1:1" x14ac:dyDescent="0.4">
      <c r="A553" s="14" t="str">
        <f t="shared" si="8"/>
        <v>01</v>
      </c>
    </row>
    <row r="554" spans="1:1" x14ac:dyDescent="0.4">
      <c r="A554" s="14" t="str">
        <f t="shared" si="8"/>
        <v>01</v>
      </c>
    </row>
    <row r="555" spans="1:1" x14ac:dyDescent="0.4">
      <c r="A555" s="14" t="str">
        <f t="shared" si="8"/>
        <v>01</v>
      </c>
    </row>
    <row r="556" spans="1:1" x14ac:dyDescent="0.4">
      <c r="A556" s="14" t="str">
        <f t="shared" si="8"/>
        <v>01</v>
      </c>
    </row>
    <row r="557" spans="1:1" x14ac:dyDescent="0.4">
      <c r="A557" s="14" t="str">
        <f t="shared" si="8"/>
        <v>01</v>
      </c>
    </row>
    <row r="558" spans="1:1" x14ac:dyDescent="0.4">
      <c r="A558" s="14" t="str">
        <f t="shared" si="8"/>
        <v>01</v>
      </c>
    </row>
    <row r="559" spans="1:1" x14ac:dyDescent="0.4">
      <c r="A559" s="14" t="str">
        <f t="shared" si="8"/>
        <v>01</v>
      </c>
    </row>
    <row r="560" spans="1:1" x14ac:dyDescent="0.4">
      <c r="A560" s="14" t="str">
        <f t="shared" si="8"/>
        <v>01</v>
      </c>
    </row>
    <row r="561" spans="1:1" x14ac:dyDescent="0.4">
      <c r="A561" s="14" t="str">
        <f t="shared" si="8"/>
        <v>01</v>
      </c>
    </row>
    <row r="562" spans="1:1" x14ac:dyDescent="0.4">
      <c r="A562" s="14" t="str">
        <f t="shared" si="8"/>
        <v>01</v>
      </c>
    </row>
    <row r="563" spans="1:1" x14ac:dyDescent="0.4">
      <c r="A563" s="14" t="str">
        <f t="shared" si="8"/>
        <v>01</v>
      </c>
    </row>
    <row r="564" spans="1:1" x14ac:dyDescent="0.4">
      <c r="A564" s="14" t="str">
        <f t="shared" si="8"/>
        <v>01</v>
      </c>
    </row>
    <row r="565" spans="1:1" x14ac:dyDescent="0.4">
      <c r="A565" s="14" t="str">
        <f t="shared" si="8"/>
        <v>01</v>
      </c>
    </row>
    <row r="566" spans="1:1" x14ac:dyDescent="0.4">
      <c r="A566" s="14" t="str">
        <f t="shared" si="8"/>
        <v>01</v>
      </c>
    </row>
    <row r="567" spans="1:1" x14ac:dyDescent="0.4">
      <c r="A567" s="14" t="str">
        <f t="shared" si="8"/>
        <v>01</v>
      </c>
    </row>
    <row r="568" spans="1:1" x14ac:dyDescent="0.4">
      <c r="A568" s="14" t="str">
        <f t="shared" si="8"/>
        <v>01</v>
      </c>
    </row>
    <row r="569" spans="1:1" x14ac:dyDescent="0.4">
      <c r="A569" s="14" t="str">
        <f t="shared" si="8"/>
        <v>01</v>
      </c>
    </row>
    <row r="570" spans="1:1" x14ac:dyDescent="0.4">
      <c r="A570" s="14" t="str">
        <f t="shared" si="8"/>
        <v>01</v>
      </c>
    </row>
    <row r="571" spans="1:1" x14ac:dyDescent="0.4">
      <c r="A571" s="14" t="str">
        <f t="shared" si="8"/>
        <v>01</v>
      </c>
    </row>
    <row r="572" spans="1:1" x14ac:dyDescent="0.4">
      <c r="A572" s="14" t="str">
        <f t="shared" si="8"/>
        <v>01</v>
      </c>
    </row>
    <row r="573" spans="1:1" x14ac:dyDescent="0.4">
      <c r="A573" s="14" t="str">
        <f t="shared" si="8"/>
        <v>01</v>
      </c>
    </row>
    <row r="574" spans="1:1" x14ac:dyDescent="0.4">
      <c r="A574" s="14" t="str">
        <f t="shared" si="8"/>
        <v>01</v>
      </c>
    </row>
    <row r="575" spans="1:1" x14ac:dyDescent="0.4">
      <c r="A575" s="14" t="str">
        <f t="shared" si="8"/>
        <v>01</v>
      </c>
    </row>
    <row r="576" spans="1:1" x14ac:dyDescent="0.4">
      <c r="A576" s="14" t="str">
        <f t="shared" si="8"/>
        <v>01</v>
      </c>
    </row>
    <row r="577" spans="1:1" x14ac:dyDescent="0.4">
      <c r="A577" s="14" t="str">
        <f t="shared" si="8"/>
        <v>01</v>
      </c>
    </row>
    <row r="578" spans="1:1" x14ac:dyDescent="0.4">
      <c r="A578" s="14" t="str">
        <f t="shared" si="8"/>
        <v>01</v>
      </c>
    </row>
    <row r="579" spans="1:1" x14ac:dyDescent="0.4">
      <c r="A579" s="14" t="str">
        <f t="shared" ref="A579:A642" si="9">TEXT(L579,"MM")</f>
        <v>01</v>
      </c>
    </row>
    <row r="580" spans="1:1" x14ac:dyDescent="0.4">
      <c r="A580" s="14" t="str">
        <f t="shared" si="9"/>
        <v>01</v>
      </c>
    </row>
    <row r="581" spans="1:1" x14ac:dyDescent="0.4">
      <c r="A581" s="14" t="str">
        <f t="shared" si="9"/>
        <v>01</v>
      </c>
    </row>
    <row r="582" spans="1:1" x14ac:dyDescent="0.4">
      <c r="A582" s="14" t="str">
        <f t="shared" si="9"/>
        <v>01</v>
      </c>
    </row>
    <row r="583" spans="1:1" x14ac:dyDescent="0.4">
      <c r="A583" s="14" t="str">
        <f t="shared" si="9"/>
        <v>01</v>
      </c>
    </row>
    <row r="584" spans="1:1" x14ac:dyDescent="0.4">
      <c r="A584" s="14" t="str">
        <f t="shared" si="9"/>
        <v>01</v>
      </c>
    </row>
    <row r="585" spans="1:1" x14ac:dyDescent="0.4">
      <c r="A585" s="14" t="str">
        <f t="shared" si="9"/>
        <v>01</v>
      </c>
    </row>
    <row r="586" spans="1:1" x14ac:dyDescent="0.4">
      <c r="A586" s="14" t="str">
        <f t="shared" si="9"/>
        <v>01</v>
      </c>
    </row>
    <row r="587" spans="1:1" x14ac:dyDescent="0.4">
      <c r="A587" s="14" t="str">
        <f t="shared" si="9"/>
        <v>01</v>
      </c>
    </row>
    <row r="588" spans="1:1" x14ac:dyDescent="0.4">
      <c r="A588" s="14" t="str">
        <f t="shared" si="9"/>
        <v>01</v>
      </c>
    </row>
    <row r="589" spans="1:1" x14ac:dyDescent="0.4">
      <c r="A589" s="14" t="str">
        <f t="shared" si="9"/>
        <v>01</v>
      </c>
    </row>
    <row r="590" spans="1:1" x14ac:dyDescent="0.4">
      <c r="A590" s="14" t="str">
        <f t="shared" si="9"/>
        <v>01</v>
      </c>
    </row>
    <row r="591" spans="1:1" x14ac:dyDescent="0.4">
      <c r="A591" s="14" t="str">
        <f t="shared" si="9"/>
        <v>01</v>
      </c>
    </row>
    <row r="592" spans="1:1" x14ac:dyDescent="0.4">
      <c r="A592" s="14" t="str">
        <f t="shared" si="9"/>
        <v>01</v>
      </c>
    </row>
    <row r="593" spans="1:1" x14ac:dyDescent="0.4">
      <c r="A593" s="14" t="str">
        <f t="shared" si="9"/>
        <v>01</v>
      </c>
    </row>
    <row r="594" spans="1:1" x14ac:dyDescent="0.4">
      <c r="A594" s="14" t="str">
        <f t="shared" si="9"/>
        <v>01</v>
      </c>
    </row>
    <row r="595" spans="1:1" x14ac:dyDescent="0.4">
      <c r="A595" s="14" t="str">
        <f t="shared" si="9"/>
        <v>01</v>
      </c>
    </row>
    <row r="596" spans="1:1" x14ac:dyDescent="0.4">
      <c r="A596" s="14" t="str">
        <f t="shared" si="9"/>
        <v>01</v>
      </c>
    </row>
    <row r="597" spans="1:1" x14ac:dyDescent="0.4">
      <c r="A597" s="14" t="str">
        <f t="shared" si="9"/>
        <v>01</v>
      </c>
    </row>
    <row r="598" spans="1:1" x14ac:dyDescent="0.4">
      <c r="A598" s="14" t="str">
        <f t="shared" si="9"/>
        <v>01</v>
      </c>
    </row>
    <row r="599" spans="1:1" x14ac:dyDescent="0.4">
      <c r="A599" s="14" t="str">
        <f t="shared" si="9"/>
        <v>01</v>
      </c>
    </row>
    <row r="600" spans="1:1" x14ac:dyDescent="0.4">
      <c r="A600" s="14" t="str">
        <f t="shared" si="9"/>
        <v>01</v>
      </c>
    </row>
    <row r="601" spans="1:1" x14ac:dyDescent="0.4">
      <c r="A601" s="14" t="str">
        <f t="shared" si="9"/>
        <v>01</v>
      </c>
    </row>
    <row r="602" spans="1:1" x14ac:dyDescent="0.4">
      <c r="A602" s="14" t="str">
        <f t="shared" si="9"/>
        <v>01</v>
      </c>
    </row>
    <row r="603" spans="1:1" x14ac:dyDescent="0.4">
      <c r="A603" s="14" t="str">
        <f t="shared" si="9"/>
        <v>01</v>
      </c>
    </row>
    <row r="604" spans="1:1" x14ac:dyDescent="0.4">
      <c r="A604" s="14" t="str">
        <f t="shared" si="9"/>
        <v>01</v>
      </c>
    </row>
    <row r="605" spans="1:1" x14ac:dyDescent="0.4">
      <c r="A605" s="14" t="str">
        <f t="shared" si="9"/>
        <v>01</v>
      </c>
    </row>
    <row r="606" spans="1:1" x14ac:dyDescent="0.4">
      <c r="A606" s="14" t="str">
        <f t="shared" si="9"/>
        <v>01</v>
      </c>
    </row>
    <row r="607" spans="1:1" x14ac:dyDescent="0.4">
      <c r="A607" s="14" t="str">
        <f t="shared" si="9"/>
        <v>01</v>
      </c>
    </row>
    <row r="608" spans="1:1" x14ac:dyDescent="0.4">
      <c r="A608" s="14" t="str">
        <f t="shared" si="9"/>
        <v>01</v>
      </c>
    </row>
    <row r="609" spans="1:1" x14ac:dyDescent="0.4">
      <c r="A609" s="14" t="str">
        <f t="shared" si="9"/>
        <v>01</v>
      </c>
    </row>
    <row r="610" spans="1:1" x14ac:dyDescent="0.4">
      <c r="A610" s="14" t="str">
        <f t="shared" si="9"/>
        <v>01</v>
      </c>
    </row>
    <row r="611" spans="1:1" x14ac:dyDescent="0.4">
      <c r="A611" s="14" t="str">
        <f t="shared" si="9"/>
        <v>01</v>
      </c>
    </row>
    <row r="612" spans="1:1" x14ac:dyDescent="0.4">
      <c r="A612" s="14" t="str">
        <f t="shared" si="9"/>
        <v>01</v>
      </c>
    </row>
    <row r="613" spans="1:1" x14ac:dyDescent="0.4">
      <c r="A613" s="14" t="str">
        <f t="shared" si="9"/>
        <v>01</v>
      </c>
    </row>
    <row r="614" spans="1:1" x14ac:dyDescent="0.4">
      <c r="A614" s="14" t="str">
        <f t="shared" si="9"/>
        <v>01</v>
      </c>
    </row>
    <row r="615" spans="1:1" x14ac:dyDescent="0.4">
      <c r="A615" s="14" t="str">
        <f t="shared" si="9"/>
        <v>01</v>
      </c>
    </row>
    <row r="616" spans="1:1" x14ac:dyDescent="0.4">
      <c r="A616" s="14" t="str">
        <f t="shared" si="9"/>
        <v>01</v>
      </c>
    </row>
    <row r="617" spans="1:1" x14ac:dyDescent="0.4">
      <c r="A617" s="14" t="str">
        <f t="shared" si="9"/>
        <v>01</v>
      </c>
    </row>
    <row r="618" spans="1:1" x14ac:dyDescent="0.4">
      <c r="A618" s="14" t="str">
        <f t="shared" si="9"/>
        <v>01</v>
      </c>
    </row>
    <row r="619" spans="1:1" x14ac:dyDescent="0.4">
      <c r="A619" s="14" t="str">
        <f t="shared" si="9"/>
        <v>01</v>
      </c>
    </row>
    <row r="620" spans="1:1" x14ac:dyDescent="0.4">
      <c r="A620" s="14" t="str">
        <f t="shared" si="9"/>
        <v>01</v>
      </c>
    </row>
    <row r="621" spans="1:1" x14ac:dyDescent="0.4">
      <c r="A621" s="14" t="str">
        <f t="shared" si="9"/>
        <v>01</v>
      </c>
    </row>
    <row r="622" spans="1:1" x14ac:dyDescent="0.4">
      <c r="A622" s="14" t="str">
        <f t="shared" si="9"/>
        <v>01</v>
      </c>
    </row>
    <row r="623" spans="1:1" x14ac:dyDescent="0.4">
      <c r="A623" s="14" t="str">
        <f t="shared" si="9"/>
        <v>01</v>
      </c>
    </row>
    <row r="624" spans="1:1" x14ac:dyDescent="0.4">
      <c r="A624" s="14" t="str">
        <f t="shared" si="9"/>
        <v>01</v>
      </c>
    </row>
    <row r="625" spans="1:1" x14ac:dyDescent="0.4">
      <c r="A625" s="14" t="str">
        <f t="shared" si="9"/>
        <v>01</v>
      </c>
    </row>
    <row r="626" spans="1:1" x14ac:dyDescent="0.4">
      <c r="A626" s="14" t="str">
        <f t="shared" si="9"/>
        <v>01</v>
      </c>
    </row>
    <row r="627" spans="1:1" x14ac:dyDescent="0.4">
      <c r="A627" s="14" t="str">
        <f t="shared" si="9"/>
        <v>01</v>
      </c>
    </row>
    <row r="628" spans="1:1" x14ac:dyDescent="0.4">
      <c r="A628" s="14" t="str">
        <f t="shared" si="9"/>
        <v>01</v>
      </c>
    </row>
    <row r="629" spans="1:1" x14ac:dyDescent="0.4">
      <c r="A629" s="14" t="str">
        <f t="shared" si="9"/>
        <v>01</v>
      </c>
    </row>
    <row r="630" spans="1:1" x14ac:dyDescent="0.4">
      <c r="A630" s="14" t="str">
        <f t="shared" si="9"/>
        <v>01</v>
      </c>
    </row>
    <row r="631" spans="1:1" x14ac:dyDescent="0.4">
      <c r="A631" s="14" t="str">
        <f t="shared" si="9"/>
        <v>01</v>
      </c>
    </row>
    <row r="632" spans="1:1" x14ac:dyDescent="0.4">
      <c r="A632" s="14" t="str">
        <f t="shared" si="9"/>
        <v>01</v>
      </c>
    </row>
    <row r="633" spans="1:1" x14ac:dyDescent="0.4">
      <c r="A633" s="14" t="str">
        <f t="shared" si="9"/>
        <v>01</v>
      </c>
    </row>
    <row r="634" spans="1:1" x14ac:dyDescent="0.4">
      <c r="A634" s="14" t="str">
        <f t="shared" si="9"/>
        <v>01</v>
      </c>
    </row>
    <row r="635" spans="1:1" x14ac:dyDescent="0.4">
      <c r="A635" s="14" t="str">
        <f t="shared" si="9"/>
        <v>01</v>
      </c>
    </row>
    <row r="636" spans="1:1" x14ac:dyDescent="0.4">
      <c r="A636" s="14" t="str">
        <f t="shared" si="9"/>
        <v>01</v>
      </c>
    </row>
    <row r="637" spans="1:1" x14ac:dyDescent="0.4">
      <c r="A637" s="14" t="str">
        <f t="shared" si="9"/>
        <v>01</v>
      </c>
    </row>
    <row r="638" spans="1:1" x14ac:dyDescent="0.4">
      <c r="A638" s="14" t="str">
        <f t="shared" si="9"/>
        <v>01</v>
      </c>
    </row>
    <row r="639" spans="1:1" x14ac:dyDescent="0.4">
      <c r="A639" s="14" t="str">
        <f t="shared" si="9"/>
        <v>01</v>
      </c>
    </row>
    <row r="640" spans="1:1" x14ac:dyDescent="0.4">
      <c r="A640" s="14" t="str">
        <f t="shared" si="9"/>
        <v>01</v>
      </c>
    </row>
    <row r="641" spans="1:1" x14ac:dyDescent="0.4">
      <c r="A641" s="14" t="str">
        <f t="shared" si="9"/>
        <v>01</v>
      </c>
    </row>
    <row r="642" spans="1:1" x14ac:dyDescent="0.4">
      <c r="A642" s="14" t="str">
        <f t="shared" si="9"/>
        <v>01</v>
      </c>
    </row>
    <row r="643" spans="1:1" x14ac:dyDescent="0.4">
      <c r="A643" s="14" t="str">
        <f t="shared" ref="A643:A706" si="10">TEXT(L643,"MM")</f>
        <v>01</v>
      </c>
    </row>
    <row r="644" spans="1:1" x14ac:dyDescent="0.4">
      <c r="A644" s="14" t="str">
        <f t="shared" si="10"/>
        <v>01</v>
      </c>
    </row>
    <row r="645" spans="1:1" x14ac:dyDescent="0.4">
      <c r="A645" s="14" t="str">
        <f t="shared" si="10"/>
        <v>01</v>
      </c>
    </row>
    <row r="646" spans="1:1" x14ac:dyDescent="0.4">
      <c r="A646" s="14" t="str">
        <f t="shared" si="10"/>
        <v>01</v>
      </c>
    </row>
    <row r="647" spans="1:1" x14ac:dyDescent="0.4">
      <c r="A647" s="14" t="str">
        <f t="shared" si="10"/>
        <v>01</v>
      </c>
    </row>
    <row r="648" spans="1:1" x14ac:dyDescent="0.4">
      <c r="A648" s="14" t="str">
        <f t="shared" si="10"/>
        <v>01</v>
      </c>
    </row>
    <row r="649" spans="1:1" x14ac:dyDescent="0.4">
      <c r="A649" s="14" t="str">
        <f t="shared" si="10"/>
        <v>01</v>
      </c>
    </row>
    <row r="650" spans="1:1" x14ac:dyDescent="0.4">
      <c r="A650" s="14" t="str">
        <f t="shared" si="10"/>
        <v>01</v>
      </c>
    </row>
    <row r="651" spans="1:1" x14ac:dyDescent="0.4">
      <c r="A651" s="14" t="str">
        <f t="shared" si="10"/>
        <v>01</v>
      </c>
    </row>
    <row r="652" spans="1:1" x14ac:dyDescent="0.4">
      <c r="A652" s="14" t="str">
        <f t="shared" si="10"/>
        <v>01</v>
      </c>
    </row>
    <row r="653" spans="1:1" x14ac:dyDescent="0.4">
      <c r="A653" s="14" t="str">
        <f t="shared" si="10"/>
        <v>01</v>
      </c>
    </row>
    <row r="654" spans="1:1" x14ac:dyDescent="0.4">
      <c r="A654" s="14" t="str">
        <f t="shared" si="10"/>
        <v>01</v>
      </c>
    </row>
    <row r="655" spans="1:1" x14ac:dyDescent="0.4">
      <c r="A655" s="14" t="str">
        <f t="shared" si="10"/>
        <v>01</v>
      </c>
    </row>
    <row r="656" spans="1:1" x14ac:dyDescent="0.4">
      <c r="A656" s="14" t="str">
        <f t="shared" si="10"/>
        <v>01</v>
      </c>
    </row>
    <row r="657" spans="1:1" x14ac:dyDescent="0.4">
      <c r="A657" s="14" t="str">
        <f t="shared" si="10"/>
        <v>01</v>
      </c>
    </row>
    <row r="658" spans="1:1" x14ac:dyDescent="0.4">
      <c r="A658" s="14" t="str">
        <f t="shared" si="10"/>
        <v>01</v>
      </c>
    </row>
    <row r="659" spans="1:1" x14ac:dyDescent="0.4">
      <c r="A659" s="14" t="str">
        <f t="shared" si="10"/>
        <v>01</v>
      </c>
    </row>
    <row r="660" spans="1:1" x14ac:dyDescent="0.4">
      <c r="A660" s="14" t="str">
        <f t="shared" si="10"/>
        <v>01</v>
      </c>
    </row>
    <row r="661" spans="1:1" x14ac:dyDescent="0.4">
      <c r="A661" s="14" t="str">
        <f t="shared" si="10"/>
        <v>01</v>
      </c>
    </row>
    <row r="662" spans="1:1" x14ac:dyDescent="0.4">
      <c r="A662" s="14" t="str">
        <f t="shared" si="10"/>
        <v>01</v>
      </c>
    </row>
    <row r="663" spans="1:1" x14ac:dyDescent="0.4">
      <c r="A663" s="14" t="str">
        <f t="shared" si="10"/>
        <v>01</v>
      </c>
    </row>
    <row r="664" spans="1:1" x14ac:dyDescent="0.4">
      <c r="A664" s="14" t="str">
        <f t="shared" si="10"/>
        <v>01</v>
      </c>
    </row>
    <row r="665" spans="1:1" x14ac:dyDescent="0.4">
      <c r="A665" s="14" t="str">
        <f t="shared" si="10"/>
        <v>01</v>
      </c>
    </row>
    <row r="666" spans="1:1" x14ac:dyDescent="0.4">
      <c r="A666" s="14" t="str">
        <f t="shared" si="10"/>
        <v>01</v>
      </c>
    </row>
    <row r="667" spans="1:1" x14ac:dyDescent="0.4">
      <c r="A667" s="14" t="str">
        <f t="shared" si="10"/>
        <v>01</v>
      </c>
    </row>
    <row r="668" spans="1:1" x14ac:dyDescent="0.4">
      <c r="A668" s="14" t="str">
        <f t="shared" si="10"/>
        <v>01</v>
      </c>
    </row>
    <row r="669" spans="1:1" x14ac:dyDescent="0.4">
      <c r="A669" s="14" t="str">
        <f t="shared" si="10"/>
        <v>01</v>
      </c>
    </row>
    <row r="670" spans="1:1" x14ac:dyDescent="0.4">
      <c r="A670" s="14" t="str">
        <f t="shared" si="10"/>
        <v>01</v>
      </c>
    </row>
    <row r="671" spans="1:1" x14ac:dyDescent="0.4">
      <c r="A671" s="14" t="str">
        <f t="shared" si="10"/>
        <v>01</v>
      </c>
    </row>
    <row r="672" spans="1:1" x14ac:dyDescent="0.4">
      <c r="A672" s="14" t="str">
        <f t="shared" si="10"/>
        <v>01</v>
      </c>
    </row>
    <row r="673" spans="1:1" x14ac:dyDescent="0.4">
      <c r="A673" s="14" t="str">
        <f t="shared" si="10"/>
        <v>01</v>
      </c>
    </row>
    <row r="674" spans="1:1" x14ac:dyDescent="0.4">
      <c r="A674" s="14" t="str">
        <f t="shared" si="10"/>
        <v>01</v>
      </c>
    </row>
    <row r="675" spans="1:1" x14ac:dyDescent="0.4">
      <c r="A675" s="14" t="str">
        <f t="shared" si="10"/>
        <v>01</v>
      </c>
    </row>
    <row r="676" spans="1:1" x14ac:dyDescent="0.4">
      <c r="A676" s="14" t="str">
        <f t="shared" si="10"/>
        <v>01</v>
      </c>
    </row>
    <row r="677" spans="1:1" x14ac:dyDescent="0.4">
      <c r="A677" s="14" t="str">
        <f t="shared" si="10"/>
        <v>01</v>
      </c>
    </row>
    <row r="678" spans="1:1" x14ac:dyDescent="0.4">
      <c r="A678" s="14" t="str">
        <f t="shared" si="10"/>
        <v>01</v>
      </c>
    </row>
    <row r="679" spans="1:1" x14ac:dyDescent="0.4">
      <c r="A679" s="14" t="str">
        <f t="shared" si="10"/>
        <v>01</v>
      </c>
    </row>
    <row r="680" spans="1:1" x14ac:dyDescent="0.4">
      <c r="A680" s="14" t="str">
        <f t="shared" si="10"/>
        <v>01</v>
      </c>
    </row>
    <row r="681" spans="1:1" x14ac:dyDescent="0.4">
      <c r="A681" s="14" t="str">
        <f t="shared" si="10"/>
        <v>01</v>
      </c>
    </row>
    <row r="682" spans="1:1" x14ac:dyDescent="0.4">
      <c r="A682" s="14" t="str">
        <f t="shared" si="10"/>
        <v>01</v>
      </c>
    </row>
    <row r="683" spans="1:1" x14ac:dyDescent="0.4">
      <c r="A683" s="14" t="str">
        <f t="shared" si="10"/>
        <v>01</v>
      </c>
    </row>
    <row r="684" spans="1:1" x14ac:dyDescent="0.4">
      <c r="A684" s="14" t="str">
        <f t="shared" si="10"/>
        <v>01</v>
      </c>
    </row>
    <row r="685" spans="1:1" x14ac:dyDescent="0.4">
      <c r="A685" s="14" t="str">
        <f t="shared" si="10"/>
        <v>01</v>
      </c>
    </row>
    <row r="686" spans="1:1" x14ac:dyDescent="0.4">
      <c r="A686" s="14" t="str">
        <f t="shared" si="10"/>
        <v>01</v>
      </c>
    </row>
    <row r="687" spans="1:1" x14ac:dyDescent="0.4">
      <c r="A687" s="14" t="str">
        <f t="shared" si="10"/>
        <v>01</v>
      </c>
    </row>
    <row r="688" spans="1:1" x14ac:dyDescent="0.4">
      <c r="A688" s="14" t="str">
        <f t="shared" si="10"/>
        <v>01</v>
      </c>
    </row>
    <row r="689" spans="1:1" x14ac:dyDescent="0.4">
      <c r="A689" s="14" t="str">
        <f t="shared" si="10"/>
        <v>01</v>
      </c>
    </row>
    <row r="690" spans="1:1" x14ac:dyDescent="0.4">
      <c r="A690" s="14" t="str">
        <f t="shared" si="10"/>
        <v>01</v>
      </c>
    </row>
    <row r="691" spans="1:1" x14ac:dyDescent="0.4">
      <c r="A691" s="14" t="str">
        <f t="shared" si="10"/>
        <v>01</v>
      </c>
    </row>
    <row r="692" spans="1:1" x14ac:dyDescent="0.4">
      <c r="A692" s="14" t="str">
        <f t="shared" si="10"/>
        <v>01</v>
      </c>
    </row>
    <row r="693" spans="1:1" x14ac:dyDescent="0.4">
      <c r="A693" s="14" t="str">
        <f t="shared" si="10"/>
        <v>01</v>
      </c>
    </row>
    <row r="694" spans="1:1" x14ac:dyDescent="0.4">
      <c r="A694" s="14" t="str">
        <f t="shared" si="10"/>
        <v>01</v>
      </c>
    </row>
    <row r="695" spans="1:1" x14ac:dyDescent="0.4">
      <c r="A695" s="14" t="str">
        <f t="shared" si="10"/>
        <v>01</v>
      </c>
    </row>
    <row r="696" spans="1:1" x14ac:dyDescent="0.4">
      <c r="A696" s="14" t="str">
        <f t="shared" si="10"/>
        <v>01</v>
      </c>
    </row>
    <row r="697" spans="1:1" x14ac:dyDescent="0.4">
      <c r="A697" s="14" t="str">
        <f t="shared" si="10"/>
        <v>01</v>
      </c>
    </row>
    <row r="698" spans="1:1" x14ac:dyDescent="0.4">
      <c r="A698" s="14" t="str">
        <f t="shared" si="10"/>
        <v>01</v>
      </c>
    </row>
    <row r="699" spans="1:1" x14ac:dyDescent="0.4">
      <c r="A699" s="14" t="str">
        <f t="shared" si="10"/>
        <v>01</v>
      </c>
    </row>
    <row r="700" spans="1:1" x14ac:dyDescent="0.4">
      <c r="A700" s="14" t="str">
        <f t="shared" si="10"/>
        <v>01</v>
      </c>
    </row>
    <row r="701" spans="1:1" x14ac:dyDescent="0.4">
      <c r="A701" s="14" t="str">
        <f t="shared" si="10"/>
        <v>01</v>
      </c>
    </row>
    <row r="702" spans="1:1" x14ac:dyDescent="0.4">
      <c r="A702" s="14" t="str">
        <f t="shared" si="10"/>
        <v>01</v>
      </c>
    </row>
    <row r="703" spans="1:1" x14ac:dyDescent="0.4">
      <c r="A703" s="14" t="str">
        <f t="shared" si="10"/>
        <v>01</v>
      </c>
    </row>
    <row r="704" spans="1:1" x14ac:dyDescent="0.4">
      <c r="A704" s="14" t="str">
        <f t="shared" si="10"/>
        <v>01</v>
      </c>
    </row>
    <row r="705" spans="1:1" x14ac:dyDescent="0.4">
      <c r="A705" s="14" t="str">
        <f t="shared" si="10"/>
        <v>01</v>
      </c>
    </row>
    <row r="706" spans="1:1" x14ac:dyDescent="0.4">
      <c r="A706" s="14" t="str">
        <f t="shared" si="10"/>
        <v>01</v>
      </c>
    </row>
    <row r="707" spans="1:1" x14ac:dyDescent="0.4">
      <c r="A707" s="14" t="str">
        <f t="shared" ref="A707:A770" si="11">TEXT(L707,"MM")</f>
        <v>01</v>
      </c>
    </row>
    <row r="708" spans="1:1" x14ac:dyDescent="0.4">
      <c r="A708" s="14" t="str">
        <f t="shared" si="11"/>
        <v>01</v>
      </c>
    </row>
    <row r="709" spans="1:1" x14ac:dyDescent="0.4">
      <c r="A709" s="14" t="str">
        <f t="shared" si="11"/>
        <v>01</v>
      </c>
    </row>
    <row r="710" spans="1:1" x14ac:dyDescent="0.4">
      <c r="A710" s="14" t="str">
        <f t="shared" si="11"/>
        <v>01</v>
      </c>
    </row>
    <row r="711" spans="1:1" x14ac:dyDescent="0.4">
      <c r="A711" s="14" t="str">
        <f t="shared" si="11"/>
        <v>01</v>
      </c>
    </row>
    <row r="712" spans="1:1" x14ac:dyDescent="0.4">
      <c r="A712" s="14" t="str">
        <f t="shared" si="11"/>
        <v>01</v>
      </c>
    </row>
    <row r="713" spans="1:1" x14ac:dyDescent="0.4">
      <c r="A713" s="14" t="str">
        <f t="shared" si="11"/>
        <v>01</v>
      </c>
    </row>
    <row r="714" spans="1:1" x14ac:dyDescent="0.4">
      <c r="A714" s="14" t="str">
        <f t="shared" si="11"/>
        <v>01</v>
      </c>
    </row>
    <row r="715" spans="1:1" x14ac:dyDescent="0.4">
      <c r="A715" s="14" t="str">
        <f t="shared" si="11"/>
        <v>01</v>
      </c>
    </row>
    <row r="716" spans="1:1" x14ac:dyDescent="0.4">
      <c r="A716" s="14" t="str">
        <f t="shared" si="11"/>
        <v>01</v>
      </c>
    </row>
    <row r="717" spans="1:1" x14ac:dyDescent="0.4">
      <c r="A717" s="14" t="str">
        <f t="shared" si="11"/>
        <v>01</v>
      </c>
    </row>
    <row r="718" spans="1:1" x14ac:dyDescent="0.4">
      <c r="A718" s="14" t="str">
        <f t="shared" si="11"/>
        <v>01</v>
      </c>
    </row>
    <row r="719" spans="1:1" x14ac:dyDescent="0.4">
      <c r="A719" s="14" t="str">
        <f t="shared" si="11"/>
        <v>01</v>
      </c>
    </row>
    <row r="720" spans="1:1" x14ac:dyDescent="0.4">
      <c r="A720" s="14" t="str">
        <f t="shared" si="11"/>
        <v>01</v>
      </c>
    </row>
    <row r="721" spans="1:1" x14ac:dyDescent="0.4">
      <c r="A721" s="14" t="str">
        <f t="shared" si="11"/>
        <v>01</v>
      </c>
    </row>
    <row r="722" spans="1:1" x14ac:dyDescent="0.4">
      <c r="A722" s="14" t="str">
        <f t="shared" si="11"/>
        <v>01</v>
      </c>
    </row>
    <row r="723" spans="1:1" x14ac:dyDescent="0.4">
      <c r="A723" s="14" t="str">
        <f t="shared" si="11"/>
        <v>01</v>
      </c>
    </row>
    <row r="724" spans="1:1" x14ac:dyDescent="0.4">
      <c r="A724" s="14" t="str">
        <f t="shared" si="11"/>
        <v>01</v>
      </c>
    </row>
    <row r="725" spans="1:1" x14ac:dyDescent="0.4">
      <c r="A725" s="14" t="str">
        <f t="shared" si="11"/>
        <v>01</v>
      </c>
    </row>
    <row r="726" spans="1:1" x14ac:dyDescent="0.4">
      <c r="A726" s="14" t="str">
        <f t="shared" si="11"/>
        <v>01</v>
      </c>
    </row>
    <row r="727" spans="1:1" x14ac:dyDescent="0.4">
      <c r="A727" s="14" t="str">
        <f t="shared" si="11"/>
        <v>01</v>
      </c>
    </row>
    <row r="728" spans="1:1" x14ac:dyDescent="0.4">
      <c r="A728" s="14" t="str">
        <f t="shared" si="11"/>
        <v>01</v>
      </c>
    </row>
    <row r="729" spans="1:1" x14ac:dyDescent="0.4">
      <c r="A729" s="14" t="str">
        <f t="shared" si="11"/>
        <v>01</v>
      </c>
    </row>
    <row r="730" spans="1:1" x14ac:dyDescent="0.4">
      <c r="A730" s="14" t="str">
        <f t="shared" si="11"/>
        <v>01</v>
      </c>
    </row>
    <row r="731" spans="1:1" x14ac:dyDescent="0.4">
      <c r="A731" s="14" t="str">
        <f t="shared" si="11"/>
        <v>01</v>
      </c>
    </row>
    <row r="732" spans="1:1" x14ac:dyDescent="0.4">
      <c r="A732" s="14" t="str">
        <f t="shared" si="11"/>
        <v>01</v>
      </c>
    </row>
    <row r="733" spans="1:1" x14ac:dyDescent="0.4">
      <c r="A733" s="14" t="str">
        <f t="shared" si="11"/>
        <v>01</v>
      </c>
    </row>
    <row r="734" spans="1:1" x14ac:dyDescent="0.4">
      <c r="A734" s="14" t="str">
        <f t="shared" si="11"/>
        <v>01</v>
      </c>
    </row>
    <row r="735" spans="1:1" x14ac:dyDescent="0.4">
      <c r="A735" s="14" t="str">
        <f t="shared" si="11"/>
        <v>01</v>
      </c>
    </row>
    <row r="736" spans="1:1" x14ac:dyDescent="0.4">
      <c r="A736" s="14" t="str">
        <f t="shared" si="11"/>
        <v>01</v>
      </c>
    </row>
    <row r="737" spans="1:1" x14ac:dyDescent="0.4">
      <c r="A737" s="14" t="str">
        <f t="shared" si="11"/>
        <v>01</v>
      </c>
    </row>
    <row r="738" spans="1:1" x14ac:dyDescent="0.4">
      <c r="A738" s="14" t="str">
        <f t="shared" si="11"/>
        <v>01</v>
      </c>
    </row>
    <row r="739" spans="1:1" x14ac:dyDescent="0.4">
      <c r="A739" s="14" t="str">
        <f t="shared" si="11"/>
        <v>01</v>
      </c>
    </row>
    <row r="740" spans="1:1" x14ac:dyDescent="0.4">
      <c r="A740" s="14" t="str">
        <f t="shared" si="11"/>
        <v>01</v>
      </c>
    </row>
    <row r="741" spans="1:1" x14ac:dyDescent="0.4">
      <c r="A741" s="14" t="str">
        <f t="shared" si="11"/>
        <v>01</v>
      </c>
    </row>
    <row r="742" spans="1:1" x14ac:dyDescent="0.4">
      <c r="A742" s="14" t="str">
        <f t="shared" si="11"/>
        <v>01</v>
      </c>
    </row>
    <row r="743" spans="1:1" x14ac:dyDescent="0.4">
      <c r="A743" s="14" t="str">
        <f t="shared" si="11"/>
        <v>01</v>
      </c>
    </row>
    <row r="744" spans="1:1" x14ac:dyDescent="0.4">
      <c r="A744" s="14" t="str">
        <f t="shared" si="11"/>
        <v>01</v>
      </c>
    </row>
    <row r="745" spans="1:1" x14ac:dyDescent="0.4">
      <c r="A745" s="14" t="str">
        <f t="shared" si="11"/>
        <v>01</v>
      </c>
    </row>
    <row r="746" spans="1:1" x14ac:dyDescent="0.4">
      <c r="A746" s="14" t="str">
        <f t="shared" si="11"/>
        <v>01</v>
      </c>
    </row>
    <row r="747" spans="1:1" x14ac:dyDescent="0.4">
      <c r="A747" s="14" t="str">
        <f t="shared" si="11"/>
        <v>01</v>
      </c>
    </row>
    <row r="748" spans="1:1" x14ac:dyDescent="0.4">
      <c r="A748" s="14" t="str">
        <f t="shared" si="11"/>
        <v>01</v>
      </c>
    </row>
    <row r="749" spans="1:1" x14ac:dyDescent="0.4">
      <c r="A749" s="14" t="str">
        <f t="shared" si="11"/>
        <v>01</v>
      </c>
    </row>
    <row r="750" spans="1:1" x14ac:dyDescent="0.4">
      <c r="A750" s="14" t="str">
        <f t="shared" si="11"/>
        <v>01</v>
      </c>
    </row>
    <row r="751" spans="1:1" x14ac:dyDescent="0.4">
      <c r="A751" s="14" t="str">
        <f t="shared" si="11"/>
        <v>01</v>
      </c>
    </row>
    <row r="752" spans="1:1" x14ac:dyDescent="0.4">
      <c r="A752" s="14" t="str">
        <f t="shared" si="11"/>
        <v>01</v>
      </c>
    </row>
    <row r="753" spans="1:1" x14ac:dyDescent="0.4">
      <c r="A753" s="14" t="str">
        <f t="shared" si="11"/>
        <v>01</v>
      </c>
    </row>
    <row r="754" spans="1:1" x14ac:dyDescent="0.4">
      <c r="A754" s="14" t="str">
        <f t="shared" si="11"/>
        <v>01</v>
      </c>
    </row>
    <row r="755" spans="1:1" x14ac:dyDescent="0.4">
      <c r="A755" s="14" t="str">
        <f t="shared" si="11"/>
        <v>01</v>
      </c>
    </row>
    <row r="756" spans="1:1" x14ac:dyDescent="0.4">
      <c r="A756" s="14" t="str">
        <f t="shared" si="11"/>
        <v>01</v>
      </c>
    </row>
    <row r="757" spans="1:1" x14ac:dyDescent="0.4">
      <c r="A757" s="14" t="str">
        <f t="shared" si="11"/>
        <v>01</v>
      </c>
    </row>
    <row r="758" spans="1:1" x14ac:dyDescent="0.4">
      <c r="A758" s="14" t="str">
        <f t="shared" si="11"/>
        <v>01</v>
      </c>
    </row>
    <row r="759" spans="1:1" x14ac:dyDescent="0.4">
      <c r="A759" s="14" t="str">
        <f t="shared" si="11"/>
        <v>01</v>
      </c>
    </row>
    <row r="760" spans="1:1" x14ac:dyDescent="0.4">
      <c r="A760" s="14" t="str">
        <f t="shared" si="11"/>
        <v>01</v>
      </c>
    </row>
    <row r="761" spans="1:1" x14ac:dyDescent="0.4">
      <c r="A761" s="14" t="str">
        <f t="shared" si="11"/>
        <v>01</v>
      </c>
    </row>
    <row r="762" spans="1:1" x14ac:dyDescent="0.4">
      <c r="A762" s="14" t="str">
        <f t="shared" si="11"/>
        <v>01</v>
      </c>
    </row>
    <row r="763" spans="1:1" x14ac:dyDescent="0.4">
      <c r="A763" s="14" t="str">
        <f t="shared" si="11"/>
        <v>01</v>
      </c>
    </row>
    <row r="764" spans="1:1" x14ac:dyDescent="0.4">
      <c r="A764" s="14" t="str">
        <f t="shared" si="11"/>
        <v>01</v>
      </c>
    </row>
    <row r="765" spans="1:1" x14ac:dyDescent="0.4">
      <c r="A765" s="14" t="str">
        <f t="shared" si="11"/>
        <v>01</v>
      </c>
    </row>
    <row r="766" spans="1:1" x14ac:dyDescent="0.4">
      <c r="A766" s="14" t="str">
        <f t="shared" si="11"/>
        <v>01</v>
      </c>
    </row>
    <row r="767" spans="1:1" x14ac:dyDescent="0.4">
      <c r="A767" s="14" t="str">
        <f t="shared" si="11"/>
        <v>01</v>
      </c>
    </row>
    <row r="768" spans="1:1" x14ac:dyDescent="0.4">
      <c r="A768" s="14" t="str">
        <f t="shared" si="11"/>
        <v>01</v>
      </c>
    </row>
    <row r="769" spans="1:1" x14ac:dyDescent="0.4">
      <c r="A769" s="14" t="str">
        <f t="shared" si="11"/>
        <v>01</v>
      </c>
    </row>
    <row r="770" spans="1:1" x14ac:dyDescent="0.4">
      <c r="A770" s="14" t="str">
        <f t="shared" si="11"/>
        <v>01</v>
      </c>
    </row>
    <row r="771" spans="1:1" x14ac:dyDescent="0.4">
      <c r="A771" s="14" t="str">
        <f t="shared" ref="A771:A834" si="12">TEXT(L771,"MM")</f>
        <v>01</v>
      </c>
    </row>
    <row r="772" spans="1:1" x14ac:dyDescent="0.4">
      <c r="A772" s="14" t="str">
        <f t="shared" si="12"/>
        <v>01</v>
      </c>
    </row>
    <row r="773" spans="1:1" x14ac:dyDescent="0.4">
      <c r="A773" s="14" t="str">
        <f t="shared" si="12"/>
        <v>01</v>
      </c>
    </row>
    <row r="774" spans="1:1" x14ac:dyDescent="0.4">
      <c r="A774" s="14" t="str">
        <f t="shared" si="12"/>
        <v>01</v>
      </c>
    </row>
    <row r="775" spans="1:1" x14ac:dyDescent="0.4">
      <c r="A775" s="14" t="str">
        <f t="shared" si="12"/>
        <v>01</v>
      </c>
    </row>
    <row r="776" spans="1:1" x14ac:dyDescent="0.4">
      <c r="A776" s="14" t="str">
        <f t="shared" si="12"/>
        <v>01</v>
      </c>
    </row>
    <row r="777" spans="1:1" x14ac:dyDescent="0.4">
      <c r="A777" s="14" t="str">
        <f t="shared" si="12"/>
        <v>01</v>
      </c>
    </row>
    <row r="778" spans="1:1" x14ac:dyDescent="0.4">
      <c r="A778" s="14" t="str">
        <f t="shared" si="12"/>
        <v>01</v>
      </c>
    </row>
    <row r="779" spans="1:1" x14ac:dyDescent="0.4">
      <c r="A779" s="14" t="str">
        <f t="shared" si="12"/>
        <v>01</v>
      </c>
    </row>
    <row r="780" spans="1:1" x14ac:dyDescent="0.4">
      <c r="A780" s="14" t="str">
        <f t="shared" si="12"/>
        <v>01</v>
      </c>
    </row>
    <row r="781" spans="1:1" x14ac:dyDescent="0.4">
      <c r="A781" s="14" t="str">
        <f t="shared" si="12"/>
        <v>01</v>
      </c>
    </row>
    <row r="782" spans="1:1" x14ac:dyDescent="0.4">
      <c r="A782" s="14" t="str">
        <f t="shared" si="12"/>
        <v>01</v>
      </c>
    </row>
    <row r="783" spans="1:1" x14ac:dyDescent="0.4">
      <c r="A783" s="14" t="str">
        <f t="shared" si="12"/>
        <v>01</v>
      </c>
    </row>
    <row r="784" spans="1:1" x14ac:dyDescent="0.4">
      <c r="A784" s="14" t="str">
        <f t="shared" si="12"/>
        <v>01</v>
      </c>
    </row>
    <row r="785" spans="1:1" x14ac:dyDescent="0.4">
      <c r="A785" s="14" t="str">
        <f t="shared" si="12"/>
        <v>01</v>
      </c>
    </row>
    <row r="786" spans="1:1" x14ac:dyDescent="0.4">
      <c r="A786" s="14" t="str">
        <f t="shared" si="12"/>
        <v>01</v>
      </c>
    </row>
    <row r="787" spans="1:1" x14ac:dyDescent="0.4">
      <c r="A787" s="14" t="str">
        <f t="shared" si="12"/>
        <v>01</v>
      </c>
    </row>
    <row r="788" spans="1:1" x14ac:dyDescent="0.4">
      <c r="A788" s="14" t="str">
        <f t="shared" si="12"/>
        <v>01</v>
      </c>
    </row>
    <row r="789" spans="1:1" x14ac:dyDescent="0.4">
      <c r="A789" s="14" t="str">
        <f t="shared" si="12"/>
        <v>01</v>
      </c>
    </row>
    <row r="790" spans="1:1" x14ac:dyDescent="0.4">
      <c r="A790" s="14" t="str">
        <f t="shared" si="12"/>
        <v>01</v>
      </c>
    </row>
    <row r="791" spans="1:1" x14ac:dyDescent="0.4">
      <c r="A791" s="14" t="str">
        <f t="shared" si="12"/>
        <v>01</v>
      </c>
    </row>
    <row r="792" spans="1:1" x14ac:dyDescent="0.4">
      <c r="A792" s="14" t="str">
        <f t="shared" si="12"/>
        <v>01</v>
      </c>
    </row>
    <row r="793" spans="1:1" x14ac:dyDescent="0.4">
      <c r="A793" s="14" t="str">
        <f t="shared" si="12"/>
        <v>01</v>
      </c>
    </row>
    <row r="794" spans="1:1" x14ac:dyDescent="0.4">
      <c r="A794" s="14" t="str">
        <f t="shared" si="12"/>
        <v>01</v>
      </c>
    </row>
    <row r="795" spans="1:1" x14ac:dyDescent="0.4">
      <c r="A795" s="14" t="str">
        <f t="shared" si="12"/>
        <v>01</v>
      </c>
    </row>
    <row r="796" spans="1:1" x14ac:dyDescent="0.4">
      <c r="A796" s="14" t="str">
        <f t="shared" si="12"/>
        <v>01</v>
      </c>
    </row>
    <row r="797" spans="1:1" x14ac:dyDescent="0.4">
      <c r="A797" s="14" t="str">
        <f t="shared" si="12"/>
        <v>01</v>
      </c>
    </row>
    <row r="798" spans="1:1" x14ac:dyDescent="0.4">
      <c r="A798" s="14" t="str">
        <f t="shared" si="12"/>
        <v>01</v>
      </c>
    </row>
    <row r="799" spans="1:1" x14ac:dyDescent="0.4">
      <c r="A799" s="14" t="str">
        <f t="shared" si="12"/>
        <v>01</v>
      </c>
    </row>
    <row r="800" spans="1:1" x14ac:dyDescent="0.4">
      <c r="A800" s="14" t="str">
        <f t="shared" si="12"/>
        <v>01</v>
      </c>
    </row>
    <row r="801" spans="1:1" x14ac:dyDescent="0.4">
      <c r="A801" s="14" t="str">
        <f t="shared" si="12"/>
        <v>01</v>
      </c>
    </row>
    <row r="802" spans="1:1" x14ac:dyDescent="0.4">
      <c r="A802" s="14" t="str">
        <f t="shared" si="12"/>
        <v>01</v>
      </c>
    </row>
    <row r="803" spans="1:1" x14ac:dyDescent="0.4">
      <c r="A803" s="14" t="str">
        <f t="shared" si="12"/>
        <v>01</v>
      </c>
    </row>
    <row r="804" spans="1:1" x14ac:dyDescent="0.4">
      <c r="A804" s="14" t="str">
        <f t="shared" si="12"/>
        <v>01</v>
      </c>
    </row>
    <row r="805" spans="1:1" x14ac:dyDescent="0.4">
      <c r="A805" s="14" t="str">
        <f t="shared" si="12"/>
        <v>01</v>
      </c>
    </row>
    <row r="806" spans="1:1" x14ac:dyDescent="0.4">
      <c r="A806" s="14" t="str">
        <f t="shared" si="12"/>
        <v>01</v>
      </c>
    </row>
    <row r="807" spans="1:1" x14ac:dyDescent="0.4">
      <c r="A807" s="14" t="str">
        <f t="shared" si="12"/>
        <v>01</v>
      </c>
    </row>
    <row r="808" spans="1:1" x14ac:dyDescent="0.4">
      <c r="A808" s="14" t="str">
        <f t="shared" si="12"/>
        <v>01</v>
      </c>
    </row>
    <row r="809" spans="1:1" x14ac:dyDescent="0.4">
      <c r="A809" s="14" t="str">
        <f t="shared" si="12"/>
        <v>01</v>
      </c>
    </row>
    <row r="810" spans="1:1" x14ac:dyDescent="0.4">
      <c r="A810" s="14" t="str">
        <f t="shared" si="12"/>
        <v>01</v>
      </c>
    </row>
    <row r="811" spans="1:1" x14ac:dyDescent="0.4">
      <c r="A811" s="14" t="str">
        <f t="shared" si="12"/>
        <v>01</v>
      </c>
    </row>
    <row r="812" spans="1:1" x14ac:dyDescent="0.4">
      <c r="A812" s="14" t="str">
        <f t="shared" si="12"/>
        <v>01</v>
      </c>
    </row>
    <row r="813" spans="1:1" x14ac:dyDescent="0.4">
      <c r="A813" s="14" t="str">
        <f t="shared" si="12"/>
        <v>01</v>
      </c>
    </row>
    <row r="814" spans="1:1" x14ac:dyDescent="0.4">
      <c r="A814" s="14" t="str">
        <f t="shared" si="12"/>
        <v>01</v>
      </c>
    </row>
    <row r="815" spans="1:1" x14ac:dyDescent="0.4">
      <c r="A815" s="14" t="str">
        <f t="shared" si="12"/>
        <v>01</v>
      </c>
    </row>
    <row r="816" spans="1:1" x14ac:dyDescent="0.4">
      <c r="A816" s="14" t="str">
        <f t="shared" si="12"/>
        <v>01</v>
      </c>
    </row>
    <row r="817" spans="1:1" x14ac:dyDescent="0.4">
      <c r="A817" s="14" t="str">
        <f t="shared" si="12"/>
        <v>01</v>
      </c>
    </row>
    <row r="818" spans="1:1" x14ac:dyDescent="0.4">
      <c r="A818" s="14" t="str">
        <f t="shared" si="12"/>
        <v>01</v>
      </c>
    </row>
    <row r="819" spans="1:1" x14ac:dyDescent="0.4">
      <c r="A819" s="14" t="str">
        <f t="shared" si="12"/>
        <v>01</v>
      </c>
    </row>
    <row r="820" spans="1:1" x14ac:dyDescent="0.4">
      <c r="A820" s="14" t="str">
        <f t="shared" si="12"/>
        <v>01</v>
      </c>
    </row>
    <row r="821" spans="1:1" x14ac:dyDescent="0.4">
      <c r="A821" s="14" t="str">
        <f t="shared" si="12"/>
        <v>01</v>
      </c>
    </row>
    <row r="822" spans="1:1" x14ac:dyDescent="0.4">
      <c r="A822" s="14" t="str">
        <f t="shared" si="12"/>
        <v>01</v>
      </c>
    </row>
    <row r="823" spans="1:1" x14ac:dyDescent="0.4">
      <c r="A823" s="14" t="str">
        <f t="shared" si="12"/>
        <v>01</v>
      </c>
    </row>
    <row r="824" spans="1:1" x14ac:dyDescent="0.4">
      <c r="A824" s="14" t="str">
        <f t="shared" si="12"/>
        <v>01</v>
      </c>
    </row>
    <row r="825" spans="1:1" x14ac:dyDescent="0.4">
      <c r="A825" s="14" t="str">
        <f t="shared" si="12"/>
        <v>01</v>
      </c>
    </row>
    <row r="826" spans="1:1" x14ac:dyDescent="0.4">
      <c r="A826" s="14" t="str">
        <f t="shared" si="12"/>
        <v>01</v>
      </c>
    </row>
    <row r="827" spans="1:1" x14ac:dyDescent="0.4">
      <c r="A827" s="14" t="str">
        <f t="shared" si="12"/>
        <v>01</v>
      </c>
    </row>
    <row r="828" spans="1:1" x14ac:dyDescent="0.4">
      <c r="A828" s="14" t="str">
        <f t="shared" si="12"/>
        <v>01</v>
      </c>
    </row>
    <row r="829" spans="1:1" x14ac:dyDescent="0.4">
      <c r="A829" s="14" t="str">
        <f t="shared" si="12"/>
        <v>01</v>
      </c>
    </row>
    <row r="830" spans="1:1" x14ac:dyDescent="0.4">
      <c r="A830" s="14" t="str">
        <f t="shared" si="12"/>
        <v>01</v>
      </c>
    </row>
    <row r="831" spans="1:1" x14ac:dyDescent="0.4">
      <c r="A831" s="14" t="str">
        <f t="shared" si="12"/>
        <v>01</v>
      </c>
    </row>
    <row r="832" spans="1:1" x14ac:dyDescent="0.4">
      <c r="A832" s="14" t="str">
        <f t="shared" si="12"/>
        <v>01</v>
      </c>
    </row>
    <row r="833" spans="1:1" x14ac:dyDescent="0.4">
      <c r="A833" s="14" t="str">
        <f t="shared" si="12"/>
        <v>01</v>
      </c>
    </row>
    <row r="834" spans="1:1" x14ac:dyDescent="0.4">
      <c r="A834" s="14" t="str">
        <f t="shared" si="12"/>
        <v>01</v>
      </c>
    </row>
    <row r="835" spans="1:1" x14ac:dyDescent="0.4">
      <c r="A835" s="14" t="str">
        <f t="shared" ref="A835:A898" si="13">TEXT(L835,"MM")</f>
        <v>01</v>
      </c>
    </row>
    <row r="836" spans="1:1" x14ac:dyDescent="0.4">
      <c r="A836" s="14" t="str">
        <f t="shared" si="13"/>
        <v>01</v>
      </c>
    </row>
    <row r="837" spans="1:1" x14ac:dyDescent="0.4">
      <c r="A837" s="14" t="str">
        <f t="shared" si="13"/>
        <v>01</v>
      </c>
    </row>
    <row r="838" spans="1:1" x14ac:dyDescent="0.4">
      <c r="A838" s="14" t="str">
        <f t="shared" si="13"/>
        <v>01</v>
      </c>
    </row>
    <row r="839" spans="1:1" x14ac:dyDescent="0.4">
      <c r="A839" s="14" t="str">
        <f t="shared" si="13"/>
        <v>01</v>
      </c>
    </row>
    <row r="840" spans="1:1" x14ac:dyDescent="0.4">
      <c r="A840" s="14" t="str">
        <f t="shared" si="13"/>
        <v>01</v>
      </c>
    </row>
    <row r="841" spans="1:1" x14ac:dyDescent="0.4">
      <c r="A841" s="14" t="str">
        <f t="shared" si="13"/>
        <v>01</v>
      </c>
    </row>
    <row r="842" spans="1:1" x14ac:dyDescent="0.4">
      <c r="A842" s="14" t="str">
        <f t="shared" si="13"/>
        <v>01</v>
      </c>
    </row>
    <row r="843" spans="1:1" x14ac:dyDescent="0.4">
      <c r="A843" s="14" t="str">
        <f t="shared" si="13"/>
        <v>01</v>
      </c>
    </row>
    <row r="844" spans="1:1" x14ac:dyDescent="0.4">
      <c r="A844" s="14" t="str">
        <f t="shared" si="13"/>
        <v>01</v>
      </c>
    </row>
    <row r="845" spans="1:1" x14ac:dyDescent="0.4">
      <c r="A845" s="14" t="str">
        <f t="shared" si="13"/>
        <v>01</v>
      </c>
    </row>
    <row r="846" spans="1:1" x14ac:dyDescent="0.4">
      <c r="A846" s="14" t="str">
        <f t="shared" si="13"/>
        <v>01</v>
      </c>
    </row>
    <row r="847" spans="1:1" x14ac:dyDescent="0.4">
      <c r="A847" s="14" t="str">
        <f t="shared" si="13"/>
        <v>01</v>
      </c>
    </row>
    <row r="848" spans="1:1" x14ac:dyDescent="0.4">
      <c r="A848" s="14" t="str">
        <f t="shared" si="13"/>
        <v>01</v>
      </c>
    </row>
    <row r="849" spans="1:1" x14ac:dyDescent="0.4">
      <c r="A849" s="14" t="str">
        <f t="shared" si="13"/>
        <v>01</v>
      </c>
    </row>
    <row r="850" spans="1:1" x14ac:dyDescent="0.4">
      <c r="A850" s="14" t="str">
        <f t="shared" si="13"/>
        <v>01</v>
      </c>
    </row>
    <row r="851" spans="1:1" x14ac:dyDescent="0.4">
      <c r="A851" s="14" t="str">
        <f t="shared" si="13"/>
        <v>01</v>
      </c>
    </row>
    <row r="852" spans="1:1" x14ac:dyDescent="0.4">
      <c r="A852" s="14" t="str">
        <f t="shared" si="13"/>
        <v>01</v>
      </c>
    </row>
    <row r="853" spans="1:1" x14ac:dyDescent="0.4">
      <c r="A853" s="14" t="str">
        <f t="shared" si="13"/>
        <v>01</v>
      </c>
    </row>
    <row r="854" spans="1:1" x14ac:dyDescent="0.4">
      <c r="A854" s="14" t="str">
        <f t="shared" si="13"/>
        <v>01</v>
      </c>
    </row>
    <row r="855" spans="1:1" x14ac:dyDescent="0.4">
      <c r="A855" s="14" t="str">
        <f t="shared" si="13"/>
        <v>01</v>
      </c>
    </row>
    <row r="856" spans="1:1" x14ac:dyDescent="0.4">
      <c r="A856" s="14" t="str">
        <f t="shared" si="13"/>
        <v>01</v>
      </c>
    </row>
    <row r="857" spans="1:1" x14ac:dyDescent="0.4">
      <c r="A857" s="14" t="str">
        <f t="shared" si="13"/>
        <v>01</v>
      </c>
    </row>
    <row r="858" spans="1:1" x14ac:dyDescent="0.4">
      <c r="A858" s="14" t="str">
        <f t="shared" si="13"/>
        <v>01</v>
      </c>
    </row>
    <row r="859" spans="1:1" x14ac:dyDescent="0.4">
      <c r="A859" s="14" t="str">
        <f t="shared" si="13"/>
        <v>01</v>
      </c>
    </row>
    <row r="860" spans="1:1" x14ac:dyDescent="0.4">
      <c r="A860" s="14" t="str">
        <f t="shared" si="13"/>
        <v>01</v>
      </c>
    </row>
    <row r="861" spans="1:1" x14ac:dyDescent="0.4">
      <c r="A861" s="14" t="str">
        <f t="shared" si="13"/>
        <v>01</v>
      </c>
    </row>
    <row r="862" spans="1:1" x14ac:dyDescent="0.4">
      <c r="A862" s="14" t="str">
        <f t="shared" si="13"/>
        <v>01</v>
      </c>
    </row>
    <row r="863" spans="1:1" x14ac:dyDescent="0.4">
      <c r="A863" s="14" t="str">
        <f t="shared" si="13"/>
        <v>01</v>
      </c>
    </row>
    <row r="864" spans="1:1" x14ac:dyDescent="0.4">
      <c r="A864" s="14" t="str">
        <f t="shared" si="13"/>
        <v>01</v>
      </c>
    </row>
    <row r="865" spans="1:1" x14ac:dyDescent="0.4">
      <c r="A865" s="14" t="str">
        <f t="shared" si="13"/>
        <v>01</v>
      </c>
    </row>
    <row r="866" spans="1:1" x14ac:dyDescent="0.4">
      <c r="A866" s="14" t="str">
        <f t="shared" si="13"/>
        <v>01</v>
      </c>
    </row>
    <row r="867" spans="1:1" x14ac:dyDescent="0.4">
      <c r="A867" s="14" t="str">
        <f t="shared" si="13"/>
        <v>01</v>
      </c>
    </row>
    <row r="868" spans="1:1" x14ac:dyDescent="0.4">
      <c r="A868" s="14" t="str">
        <f t="shared" si="13"/>
        <v>01</v>
      </c>
    </row>
    <row r="869" spans="1:1" x14ac:dyDescent="0.4">
      <c r="A869" s="14" t="str">
        <f t="shared" si="13"/>
        <v>01</v>
      </c>
    </row>
    <row r="870" spans="1:1" x14ac:dyDescent="0.4">
      <c r="A870" s="14" t="str">
        <f t="shared" si="13"/>
        <v>01</v>
      </c>
    </row>
    <row r="871" spans="1:1" x14ac:dyDescent="0.4">
      <c r="A871" s="14" t="str">
        <f t="shared" si="13"/>
        <v>01</v>
      </c>
    </row>
    <row r="872" spans="1:1" x14ac:dyDescent="0.4">
      <c r="A872" s="14" t="str">
        <f t="shared" si="13"/>
        <v>01</v>
      </c>
    </row>
    <row r="873" spans="1:1" x14ac:dyDescent="0.4">
      <c r="A873" s="14" t="str">
        <f t="shared" si="13"/>
        <v>01</v>
      </c>
    </row>
    <row r="874" spans="1:1" x14ac:dyDescent="0.4">
      <c r="A874" s="14" t="str">
        <f t="shared" si="13"/>
        <v>01</v>
      </c>
    </row>
    <row r="875" spans="1:1" x14ac:dyDescent="0.4">
      <c r="A875" s="14" t="str">
        <f t="shared" si="13"/>
        <v>01</v>
      </c>
    </row>
    <row r="876" spans="1:1" x14ac:dyDescent="0.4">
      <c r="A876" s="14" t="str">
        <f t="shared" si="13"/>
        <v>01</v>
      </c>
    </row>
    <row r="877" spans="1:1" x14ac:dyDescent="0.4">
      <c r="A877" s="14" t="str">
        <f t="shared" si="13"/>
        <v>01</v>
      </c>
    </row>
    <row r="878" spans="1:1" x14ac:dyDescent="0.4">
      <c r="A878" s="14" t="str">
        <f t="shared" si="13"/>
        <v>01</v>
      </c>
    </row>
    <row r="879" spans="1:1" x14ac:dyDescent="0.4">
      <c r="A879" s="14" t="str">
        <f t="shared" si="13"/>
        <v>01</v>
      </c>
    </row>
    <row r="880" spans="1:1" x14ac:dyDescent="0.4">
      <c r="A880" s="14" t="str">
        <f t="shared" si="13"/>
        <v>01</v>
      </c>
    </row>
    <row r="881" spans="1:1" x14ac:dyDescent="0.4">
      <c r="A881" s="14" t="str">
        <f t="shared" si="13"/>
        <v>01</v>
      </c>
    </row>
    <row r="882" spans="1:1" x14ac:dyDescent="0.4">
      <c r="A882" s="14" t="str">
        <f t="shared" si="13"/>
        <v>01</v>
      </c>
    </row>
    <row r="883" spans="1:1" x14ac:dyDescent="0.4">
      <c r="A883" s="14" t="str">
        <f t="shared" si="13"/>
        <v>01</v>
      </c>
    </row>
    <row r="884" spans="1:1" x14ac:dyDescent="0.4">
      <c r="A884" s="14" t="str">
        <f t="shared" si="13"/>
        <v>01</v>
      </c>
    </row>
    <row r="885" spans="1:1" x14ac:dyDescent="0.4">
      <c r="A885" s="14" t="str">
        <f t="shared" si="13"/>
        <v>01</v>
      </c>
    </row>
    <row r="886" spans="1:1" x14ac:dyDescent="0.4">
      <c r="A886" s="14" t="str">
        <f t="shared" si="13"/>
        <v>01</v>
      </c>
    </row>
    <row r="887" spans="1:1" x14ac:dyDescent="0.4">
      <c r="A887" s="14" t="str">
        <f t="shared" si="13"/>
        <v>01</v>
      </c>
    </row>
    <row r="888" spans="1:1" x14ac:dyDescent="0.4">
      <c r="A888" s="14" t="str">
        <f t="shared" si="13"/>
        <v>01</v>
      </c>
    </row>
    <row r="889" spans="1:1" x14ac:dyDescent="0.4">
      <c r="A889" s="14" t="str">
        <f t="shared" si="13"/>
        <v>01</v>
      </c>
    </row>
    <row r="890" spans="1:1" x14ac:dyDescent="0.4">
      <c r="A890" s="14" t="str">
        <f t="shared" si="13"/>
        <v>01</v>
      </c>
    </row>
    <row r="891" spans="1:1" x14ac:dyDescent="0.4">
      <c r="A891" s="14" t="str">
        <f t="shared" si="13"/>
        <v>01</v>
      </c>
    </row>
    <row r="892" spans="1:1" x14ac:dyDescent="0.4">
      <c r="A892" s="14" t="str">
        <f t="shared" si="13"/>
        <v>01</v>
      </c>
    </row>
    <row r="893" spans="1:1" x14ac:dyDescent="0.4">
      <c r="A893" s="14" t="str">
        <f t="shared" si="13"/>
        <v>01</v>
      </c>
    </row>
    <row r="894" spans="1:1" x14ac:dyDescent="0.4">
      <c r="A894" s="14" t="str">
        <f t="shared" si="13"/>
        <v>01</v>
      </c>
    </row>
    <row r="895" spans="1:1" x14ac:dyDescent="0.4">
      <c r="A895" s="14" t="str">
        <f t="shared" si="13"/>
        <v>01</v>
      </c>
    </row>
    <row r="896" spans="1:1" x14ac:dyDescent="0.4">
      <c r="A896" s="14" t="str">
        <f t="shared" si="13"/>
        <v>01</v>
      </c>
    </row>
    <row r="897" spans="1:1" x14ac:dyDescent="0.4">
      <c r="A897" s="14" t="str">
        <f t="shared" si="13"/>
        <v>01</v>
      </c>
    </row>
    <row r="898" spans="1:1" x14ac:dyDescent="0.4">
      <c r="A898" s="14" t="str">
        <f t="shared" si="13"/>
        <v>01</v>
      </c>
    </row>
    <row r="899" spans="1:1" x14ac:dyDescent="0.4">
      <c r="A899" s="14" t="str">
        <f t="shared" ref="A899:A962" si="14">TEXT(L899,"MM")</f>
        <v>01</v>
      </c>
    </row>
    <row r="900" spans="1:1" x14ac:dyDescent="0.4">
      <c r="A900" s="14" t="str">
        <f t="shared" si="14"/>
        <v>01</v>
      </c>
    </row>
    <row r="901" spans="1:1" x14ac:dyDescent="0.4">
      <c r="A901" s="14" t="str">
        <f t="shared" si="14"/>
        <v>01</v>
      </c>
    </row>
    <row r="902" spans="1:1" x14ac:dyDescent="0.4">
      <c r="A902" s="14" t="str">
        <f t="shared" si="14"/>
        <v>01</v>
      </c>
    </row>
    <row r="903" spans="1:1" x14ac:dyDescent="0.4">
      <c r="A903" s="14" t="str">
        <f t="shared" si="14"/>
        <v>01</v>
      </c>
    </row>
    <row r="904" spans="1:1" x14ac:dyDescent="0.4">
      <c r="A904" s="14" t="str">
        <f t="shared" si="14"/>
        <v>01</v>
      </c>
    </row>
    <row r="905" spans="1:1" x14ac:dyDescent="0.4">
      <c r="A905" s="14" t="str">
        <f t="shared" si="14"/>
        <v>01</v>
      </c>
    </row>
    <row r="906" spans="1:1" x14ac:dyDescent="0.4">
      <c r="A906" s="14" t="str">
        <f t="shared" si="14"/>
        <v>01</v>
      </c>
    </row>
    <row r="907" spans="1:1" x14ac:dyDescent="0.4">
      <c r="A907" s="14" t="str">
        <f t="shared" si="14"/>
        <v>01</v>
      </c>
    </row>
    <row r="908" spans="1:1" x14ac:dyDescent="0.4">
      <c r="A908" s="14" t="str">
        <f t="shared" si="14"/>
        <v>01</v>
      </c>
    </row>
    <row r="909" spans="1:1" x14ac:dyDescent="0.4">
      <c r="A909" s="14" t="str">
        <f t="shared" si="14"/>
        <v>01</v>
      </c>
    </row>
    <row r="910" spans="1:1" x14ac:dyDescent="0.4">
      <c r="A910" s="14" t="str">
        <f t="shared" si="14"/>
        <v>01</v>
      </c>
    </row>
    <row r="911" spans="1:1" x14ac:dyDescent="0.4">
      <c r="A911" s="14" t="str">
        <f t="shared" si="14"/>
        <v>01</v>
      </c>
    </row>
    <row r="912" spans="1:1" x14ac:dyDescent="0.4">
      <c r="A912" s="14" t="str">
        <f t="shared" si="14"/>
        <v>01</v>
      </c>
    </row>
    <row r="913" spans="1:1" x14ac:dyDescent="0.4">
      <c r="A913" s="14" t="str">
        <f t="shared" si="14"/>
        <v>01</v>
      </c>
    </row>
    <row r="914" spans="1:1" x14ac:dyDescent="0.4">
      <c r="A914" s="14" t="str">
        <f t="shared" si="14"/>
        <v>01</v>
      </c>
    </row>
    <row r="915" spans="1:1" x14ac:dyDescent="0.4">
      <c r="A915" s="14" t="str">
        <f t="shared" si="14"/>
        <v>01</v>
      </c>
    </row>
    <row r="916" spans="1:1" x14ac:dyDescent="0.4">
      <c r="A916" s="14" t="str">
        <f t="shared" si="14"/>
        <v>01</v>
      </c>
    </row>
    <row r="917" spans="1:1" x14ac:dyDescent="0.4">
      <c r="A917" s="14" t="str">
        <f t="shared" si="14"/>
        <v>01</v>
      </c>
    </row>
    <row r="918" spans="1:1" x14ac:dyDescent="0.4">
      <c r="A918" s="14" t="str">
        <f t="shared" si="14"/>
        <v>01</v>
      </c>
    </row>
    <row r="919" spans="1:1" x14ac:dyDescent="0.4">
      <c r="A919" s="14" t="str">
        <f t="shared" si="14"/>
        <v>01</v>
      </c>
    </row>
    <row r="920" spans="1:1" x14ac:dyDescent="0.4">
      <c r="A920" s="14" t="str">
        <f t="shared" si="14"/>
        <v>01</v>
      </c>
    </row>
    <row r="921" spans="1:1" x14ac:dyDescent="0.4">
      <c r="A921" s="14" t="str">
        <f t="shared" si="14"/>
        <v>01</v>
      </c>
    </row>
    <row r="922" spans="1:1" x14ac:dyDescent="0.4">
      <c r="A922" s="14" t="str">
        <f t="shared" si="14"/>
        <v>01</v>
      </c>
    </row>
    <row r="923" spans="1:1" x14ac:dyDescent="0.4">
      <c r="A923" s="14" t="str">
        <f t="shared" si="14"/>
        <v>01</v>
      </c>
    </row>
    <row r="924" spans="1:1" x14ac:dyDescent="0.4">
      <c r="A924" s="14" t="str">
        <f t="shared" si="14"/>
        <v>01</v>
      </c>
    </row>
    <row r="925" spans="1:1" x14ac:dyDescent="0.4">
      <c r="A925" s="14" t="str">
        <f t="shared" si="14"/>
        <v>01</v>
      </c>
    </row>
    <row r="926" spans="1:1" x14ac:dyDescent="0.4">
      <c r="A926" s="14" t="str">
        <f t="shared" si="14"/>
        <v>01</v>
      </c>
    </row>
    <row r="927" spans="1:1" x14ac:dyDescent="0.4">
      <c r="A927" s="14" t="str">
        <f t="shared" si="14"/>
        <v>01</v>
      </c>
    </row>
    <row r="928" spans="1:1" x14ac:dyDescent="0.4">
      <c r="A928" s="14" t="str">
        <f t="shared" si="14"/>
        <v>01</v>
      </c>
    </row>
    <row r="929" spans="1:1" x14ac:dyDescent="0.4">
      <c r="A929" s="14" t="str">
        <f t="shared" si="14"/>
        <v>01</v>
      </c>
    </row>
    <row r="930" spans="1:1" x14ac:dyDescent="0.4">
      <c r="A930" s="14" t="str">
        <f t="shared" si="14"/>
        <v>01</v>
      </c>
    </row>
    <row r="931" spans="1:1" x14ac:dyDescent="0.4">
      <c r="A931" s="14" t="str">
        <f t="shared" si="14"/>
        <v>01</v>
      </c>
    </row>
    <row r="932" spans="1:1" x14ac:dyDescent="0.4">
      <c r="A932" s="14" t="str">
        <f t="shared" si="14"/>
        <v>01</v>
      </c>
    </row>
    <row r="933" spans="1:1" x14ac:dyDescent="0.4">
      <c r="A933" s="14" t="str">
        <f t="shared" si="14"/>
        <v>01</v>
      </c>
    </row>
    <row r="934" spans="1:1" x14ac:dyDescent="0.4">
      <c r="A934" s="14" t="str">
        <f t="shared" si="14"/>
        <v>01</v>
      </c>
    </row>
    <row r="935" spans="1:1" x14ac:dyDescent="0.4">
      <c r="A935" s="14" t="str">
        <f t="shared" si="14"/>
        <v>01</v>
      </c>
    </row>
    <row r="936" spans="1:1" x14ac:dyDescent="0.4">
      <c r="A936" s="14" t="str">
        <f t="shared" si="14"/>
        <v>01</v>
      </c>
    </row>
    <row r="937" spans="1:1" x14ac:dyDescent="0.4">
      <c r="A937" s="14" t="str">
        <f t="shared" si="14"/>
        <v>01</v>
      </c>
    </row>
    <row r="938" spans="1:1" x14ac:dyDescent="0.4">
      <c r="A938" s="14" t="str">
        <f t="shared" si="14"/>
        <v>01</v>
      </c>
    </row>
    <row r="939" spans="1:1" x14ac:dyDescent="0.4">
      <c r="A939" s="14" t="str">
        <f t="shared" si="14"/>
        <v>01</v>
      </c>
    </row>
    <row r="940" spans="1:1" x14ac:dyDescent="0.4">
      <c r="A940" s="14" t="str">
        <f t="shared" si="14"/>
        <v>01</v>
      </c>
    </row>
    <row r="941" spans="1:1" x14ac:dyDescent="0.4">
      <c r="A941" s="14" t="str">
        <f t="shared" si="14"/>
        <v>01</v>
      </c>
    </row>
    <row r="942" spans="1:1" x14ac:dyDescent="0.4">
      <c r="A942" s="14" t="str">
        <f t="shared" si="14"/>
        <v>01</v>
      </c>
    </row>
    <row r="943" spans="1:1" x14ac:dyDescent="0.4">
      <c r="A943" s="14" t="str">
        <f t="shared" si="14"/>
        <v>01</v>
      </c>
    </row>
    <row r="944" spans="1:1" x14ac:dyDescent="0.4">
      <c r="A944" s="14" t="str">
        <f t="shared" si="14"/>
        <v>01</v>
      </c>
    </row>
    <row r="945" spans="1:1" x14ac:dyDescent="0.4">
      <c r="A945" s="14" t="str">
        <f t="shared" si="14"/>
        <v>01</v>
      </c>
    </row>
    <row r="946" spans="1:1" x14ac:dyDescent="0.4">
      <c r="A946" s="14" t="str">
        <f t="shared" si="14"/>
        <v>01</v>
      </c>
    </row>
    <row r="947" spans="1:1" x14ac:dyDescent="0.4">
      <c r="A947" s="14" t="str">
        <f t="shared" si="14"/>
        <v>01</v>
      </c>
    </row>
    <row r="948" spans="1:1" x14ac:dyDescent="0.4">
      <c r="A948" s="14" t="str">
        <f t="shared" si="14"/>
        <v>01</v>
      </c>
    </row>
    <row r="949" spans="1:1" x14ac:dyDescent="0.4">
      <c r="A949" s="14" t="str">
        <f t="shared" si="14"/>
        <v>01</v>
      </c>
    </row>
    <row r="950" spans="1:1" x14ac:dyDescent="0.4">
      <c r="A950" s="14" t="str">
        <f t="shared" si="14"/>
        <v>01</v>
      </c>
    </row>
    <row r="951" spans="1:1" x14ac:dyDescent="0.4">
      <c r="A951" s="14" t="str">
        <f t="shared" si="14"/>
        <v>01</v>
      </c>
    </row>
    <row r="952" spans="1:1" x14ac:dyDescent="0.4">
      <c r="A952" s="14" t="str">
        <f t="shared" si="14"/>
        <v>01</v>
      </c>
    </row>
    <row r="953" spans="1:1" x14ac:dyDescent="0.4">
      <c r="A953" s="14" t="str">
        <f t="shared" si="14"/>
        <v>01</v>
      </c>
    </row>
    <row r="954" spans="1:1" x14ac:dyDescent="0.4">
      <c r="A954" s="14" t="str">
        <f t="shared" si="14"/>
        <v>01</v>
      </c>
    </row>
    <row r="955" spans="1:1" x14ac:dyDescent="0.4">
      <c r="A955" s="14" t="str">
        <f t="shared" si="14"/>
        <v>01</v>
      </c>
    </row>
    <row r="956" spans="1:1" x14ac:dyDescent="0.4">
      <c r="A956" s="14" t="str">
        <f t="shared" si="14"/>
        <v>01</v>
      </c>
    </row>
    <row r="957" spans="1:1" x14ac:dyDescent="0.4">
      <c r="A957" s="14" t="str">
        <f t="shared" si="14"/>
        <v>01</v>
      </c>
    </row>
    <row r="958" spans="1:1" x14ac:dyDescent="0.4">
      <c r="A958" s="14" t="str">
        <f t="shared" si="14"/>
        <v>01</v>
      </c>
    </row>
    <row r="959" spans="1:1" x14ac:dyDescent="0.4">
      <c r="A959" s="14" t="str">
        <f t="shared" si="14"/>
        <v>01</v>
      </c>
    </row>
    <row r="960" spans="1:1" x14ac:dyDescent="0.4">
      <c r="A960" s="14" t="str">
        <f t="shared" si="14"/>
        <v>01</v>
      </c>
    </row>
    <row r="961" spans="1:1" x14ac:dyDescent="0.4">
      <c r="A961" s="14" t="str">
        <f t="shared" si="14"/>
        <v>01</v>
      </c>
    </row>
    <row r="962" spans="1:1" x14ac:dyDescent="0.4">
      <c r="A962" s="14" t="str">
        <f t="shared" si="14"/>
        <v>01</v>
      </c>
    </row>
    <row r="963" spans="1:1" x14ac:dyDescent="0.4">
      <c r="A963" s="14" t="str">
        <f t="shared" ref="A963:A1026" si="15">TEXT(L963,"MM")</f>
        <v>01</v>
      </c>
    </row>
    <row r="964" spans="1:1" x14ac:dyDescent="0.4">
      <c r="A964" s="14" t="str">
        <f t="shared" si="15"/>
        <v>01</v>
      </c>
    </row>
    <row r="965" spans="1:1" x14ac:dyDescent="0.4">
      <c r="A965" s="14" t="str">
        <f t="shared" si="15"/>
        <v>01</v>
      </c>
    </row>
    <row r="966" spans="1:1" x14ac:dyDescent="0.4">
      <c r="A966" s="14" t="str">
        <f t="shared" si="15"/>
        <v>01</v>
      </c>
    </row>
    <row r="967" spans="1:1" x14ac:dyDescent="0.4">
      <c r="A967" s="14" t="str">
        <f t="shared" si="15"/>
        <v>01</v>
      </c>
    </row>
    <row r="968" spans="1:1" x14ac:dyDescent="0.4">
      <c r="A968" s="14" t="str">
        <f t="shared" si="15"/>
        <v>01</v>
      </c>
    </row>
    <row r="969" spans="1:1" x14ac:dyDescent="0.4">
      <c r="A969" s="14" t="str">
        <f t="shared" si="15"/>
        <v>01</v>
      </c>
    </row>
    <row r="970" spans="1:1" x14ac:dyDescent="0.4">
      <c r="A970" s="14" t="str">
        <f t="shared" si="15"/>
        <v>01</v>
      </c>
    </row>
    <row r="971" spans="1:1" x14ac:dyDescent="0.4">
      <c r="A971" s="14" t="str">
        <f t="shared" si="15"/>
        <v>01</v>
      </c>
    </row>
    <row r="972" spans="1:1" x14ac:dyDescent="0.4">
      <c r="A972" s="14" t="str">
        <f t="shared" si="15"/>
        <v>01</v>
      </c>
    </row>
    <row r="973" spans="1:1" x14ac:dyDescent="0.4">
      <c r="A973" s="14" t="str">
        <f t="shared" si="15"/>
        <v>01</v>
      </c>
    </row>
    <row r="974" spans="1:1" x14ac:dyDescent="0.4">
      <c r="A974" s="14" t="str">
        <f t="shared" si="15"/>
        <v>01</v>
      </c>
    </row>
    <row r="975" spans="1:1" x14ac:dyDescent="0.4">
      <c r="A975" s="14" t="str">
        <f t="shared" si="15"/>
        <v>01</v>
      </c>
    </row>
    <row r="976" spans="1:1" x14ac:dyDescent="0.4">
      <c r="A976" s="14" t="str">
        <f t="shared" si="15"/>
        <v>01</v>
      </c>
    </row>
    <row r="977" spans="1:1" x14ac:dyDescent="0.4">
      <c r="A977" s="14" t="str">
        <f t="shared" si="15"/>
        <v>01</v>
      </c>
    </row>
    <row r="978" spans="1:1" x14ac:dyDescent="0.4">
      <c r="A978" s="14" t="str">
        <f t="shared" si="15"/>
        <v>01</v>
      </c>
    </row>
    <row r="979" spans="1:1" x14ac:dyDescent="0.4">
      <c r="A979" s="14" t="str">
        <f t="shared" si="15"/>
        <v>01</v>
      </c>
    </row>
    <row r="980" spans="1:1" x14ac:dyDescent="0.4">
      <c r="A980" s="14" t="str">
        <f t="shared" si="15"/>
        <v>01</v>
      </c>
    </row>
    <row r="981" spans="1:1" x14ac:dyDescent="0.4">
      <c r="A981" s="14" t="str">
        <f t="shared" si="15"/>
        <v>01</v>
      </c>
    </row>
    <row r="982" spans="1:1" x14ac:dyDescent="0.4">
      <c r="A982" s="14" t="str">
        <f t="shared" si="15"/>
        <v>01</v>
      </c>
    </row>
    <row r="983" spans="1:1" x14ac:dyDescent="0.4">
      <c r="A983" s="14" t="str">
        <f t="shared" si="15"/>
        <v>01</v>
      </c>
    </row>
    <row r="984" spans="1:1" x14ac:dyDescent="0.4">
      <c r="A984" s="14" t="str">
        <f t="shared" si="15"/>
        <v>01</v>
      </c>
    </row>
    <row r="985" spans="1:1" x14ac:dyDescent="0.4">
      <c r="A985" s="14" t="str">
        <f t="shared" si="15"/>
        <v>01</v>
      </c>
    </row>
    <row r="986" spans="1:1" x14ac:dyDescent="0.4">
      <c r="A986" s="14" t="str">
        <f t="shared" si="15"/>
        <v>01</v>
      </c>
    </row>
    <row r="987" spans="1:1" x14ac:dyDescent="0.4">
      <c r="A987" s="14" t="str">
        <f t="shared" si="15"/>
        <v>01</v>
      </c>
    </row>
    <row r="988" spans="1:1" x14ac:dyDescent="0.4">
      <c r="A988" s="14" t="str">
        <f t="shared" si="15"/>
        <v>01</v>
      </c>
    </row>
    <row r="989" spans="1:1" x14ac:dyDescent="0.4">
      <c r="A989" s="14" t="str">
        <f t="shared" si="15"/>
        <v>01</v>
      </c>
    </row>
    <row r="990" spans="1:1" x14ac:dyDescent="0.4">
      <c r="A990" s="14" t="str">
        <f t="shared" si="15"/>
        <v>01</v>
      </c>
    </row>
    <row r="991" spans="1:1" x14ac:dyDescent="0.4">
      <c r="A991" s="14" t="str">
        <f t="shared" si="15"/>
        <v>01</v>
      </c>
    </row>
    <row r="992" spans="1:1" x14ac:dyDescent="0.4">
      <c r="A992" s="14" t="str">
        <f t="shared" si="15"/>
        <v>01</v>
      </c>
    </row>
    <row r="993" spans="1:1" x14ac:dyDescent="0.4">
      <c r="A993" s="14" t="str">
        <f t="shared" si="15"/>
        <v>01</v>
      </c>
    </row>
    <row r="994" spans="1:1" x14ac:dyDescent="0.4">
      <c r="A994" s="14" t="str">
        <f t="shared" si="15"/>
        <v>01</v>
      </c>
    </row>
    <row r="995" spans="1:1" x14ac:dyDescent="0.4">
      <c r="A995" s="14" t="str">
        <f t="shared" si="15"/>
        <v>01</v>
      </c>
    </row>
    <row r="996" spans="1:1" x14ac:dyDescent="0.4">
      <c r="A996" s="14" t="str">
        <f t="shared" si="15"/>
        <v>01</v>
      </c>
    </row>
    <row r="997" spans="1:1" x14ac:dyDescent="0.4">
      <c r="A997" s="14" t="str">
        <f t="shared" si="15"/>
        <v>01</v>
      </c>
    </row>
    <row r="998" spans="1:1" x14ac:dyDescent="0.4">
      <c r="A998" s="14" t="str">
        <f t="shared" si="15"/>
        <v>01</v>
      </c>
    </row>
    <row r="999" spans="1:1" x14ac:dyDescent="0.4">
      <c r="A999" s="14" t="str">
        <f t="shared" si="15"/>
        <v>01</v>
      </c>
    </row>
    <row r="1000" spans="1:1" x14ac:dyDescent="0.4">
      <c r="A1000" s="14" t="str">
        <f t="shared" si="15"/>
        <v>01</v>
      </c>
    </row>
    <row r="1001" spans="1:1" x14ac:dyDescent="0.4">
      <c r="A1001" s="14" t="str">
        <f t="shared" si="15"/>
        <v>01</v>
      </c>
    </row>
    <row r="1002" spans="1:1" x14ac:dyDescent="0.4">
      <c r="A1002" s="14" t="str">
        <f t="shared" si="15"/>
        <v>01</v>
      </c>
    </row>
    <row r="1003" spans="1:1" x14ac:dyDescent="0.4">
      <c r="A1003" s="14" t="str">
        <f t="shared" si="15"/>
        <v>01</v>
      </c>
    </row>
    <row r="1004" spans="1:1" x14ac:dyDescent="0.4">
      <c r="A1004" s="14" t="str">
        <f t="shared" si="15"/>
        <v>01</v>
      </c>
    </row>
    <row r="1005" spans="1:1" x14ac:dyDescent="0.4">
      <c r="A1005" s="14" t="str">
        <f t="shared" si="15"/>
        <v>01</v>
      </c>
    </row>
    <row r="1006" spans="1:1" x14ac:dyDescent="0.4">
      <c r="A1006" s="14" t="str">
        <f t="shared" si="15"/>
        <v>01</v>
      </c>
    </row>
    <row r="1007" spans="1:1" x14ac:dyDescent="0.4">
      <c r="A1007" s="14" t="str">
        <f t="shared" si="15"/>
        <v>01</v>
      </c>
    </row>
    <row r="1008" spans="1:1" x14ac:dyDescent="0.4">
      <c r="A1008" s="14" t="str">
        <f t="shared" si="15"/>
        <v>01</v>
      </c>
    </row>
    <row r="1009" spans="1:1" x14ac:dyDescent="0.4">
      <c r="A1009" s="14" t="str">
        <f t="shared" si="15"/>
        <v>01</v>
      </c>
    </row>
    <row r="1010" spans="1:1" x14ac:dyDescent="0.4">
      <c r="A1010" s="14" t="str">
        <f t="shared" si="15"/>
        <v>01</v>
      </c>
    </row>
    <row r="1011" spans="1:1" x14ac:dyDescent="0.4">
      <c r="A1011" s="14" t="str">
        <f t="shared" si="15"/>
        <v>01</v>
      </c>
    </row>
    <row r="1012" spans="1:1" x14ac:dyDescent="0.4">
      <c r="A1012" s="14" t="str">
        <f t="shared" si="15"/>
        <v>01</v>
      </c>
    </row>
    <row r="1013" spans="1:1" x14ac:dyDescent="0.4">
      <c r="A1013" s="14" t="str">
        <f t="shared" si="15"/>
        <v>01</v>
      </c>
    </row>
    <row r="1014" spans="1:1" x14ac:dyDescent="0.4">
      <c r="A1014" s="14" t="str">
        <f t="shared" si="15"/>
        <v>01</v>
      </c>
    </row>
    <row r="1015" spans="1:1" x14ac:dyDescent="0.4">
      <c r="A1015" s="14" t="str">
        <f t="shared" si="15"/>
        <v>01</v>
      </c>
    </row>
    <row r="1016" spans="1:1" x14ac:dyDescent="0.4">
      <c r="A1016" s="14" t="str">
        <f t="shared" si="15"/>
        <v>01</v>
      </c>
    </row>
    <row r="1017" spans="1:1" x14ac:dyDescent="0.4">
      <c r="A1017" s="14" t="str">
        <f t="shared" si="15"/>
        <v>01</v>
      </c>
    </row>
    <row r="1018" spans="1:1" x14ac:dyDescent="0.4">
      <c r="A1018" s="14" t="str">
        <f t="shared" si="15"/>
        <v>01</v>
      </c>
    </row>
    <row r="1019" spans="1:1" x14ac:dyDescent="0.4">
      <c r="A1019" s="14" t="str">
        <f t="shared" si="15"/>
        <v>01</v>
      </c>
    </row>
    <row r="1020" spans="1:1" x14ac:dyDescent="0.4">
      <c r="A1020" s="14" t="str">
        <f t="shared" si="15"/>
        <v>01</v>
      </c>
    </row>
    <row r="1021" spans="1:1" x14ac:dyDescent="0.4">
      <c r="A1021" s="14" t="str">
        <f t="shared" si="15"/>
        <v>01</v>
      </c>
    </row>
    <row r="1022" spans="1:1" x14ac:dyDescent="0.4">
      <c r="A1022" s="14" t="str">
        <f t="shared" si="15"/>
        <v>01</v>
      </c>
    </row>
    <row r="1023" spans="1:1" x14ac:dyDescent="0.4">
      <c r="A1023" s="14" t="str">
        <f t="shared" si="15"/>
        <v>01</v>
      </c>
    </row>
    <row r="1024" spans="1:1" x14ac:dyDescent="0.4">
      <c r="A1024" s="14" t="str">
        <f t="shared" si="15"/>
        <v>01</v>
      </c>
    </row>
    <row r="1025" spans="1:1" x14ac:dyDescent="0.4">
      <c r="A1025" s="14" t="str">
        <f t="shared" si="15"/>
        <v>01</v>
      </c>
    </row>
    <row r="1026" spans="1:1" x14ac:dyDescent="0.4">
      <c r="A1026" s="14" t="str">
        <f t="shared" si="15"/>
        <v>01</v>
      </c>
    </row>
    <row r="1027" spans="1:1" x14ac:dyDescent="0.4">
      <c r="A1027" s="14" t="str">
        <f t="shared" ref="A1027:A1090" si="16">TEXT(L1027,"MM")</f>
        <v>01</v>
      </c>
    </row>
    <row r="1028" spans="1:1" x14ac:dyDescent="0.4">
      <c r="A1028" s="14" t="str">
        <f t="shared" si="16"/>
        <v>01</v>
      </c>
    </row>
    <row r="1029" spans="1:1" x14ac:dyDescent="0.4">
      <c r="A1029" s="14" t="str">
        <f t="shared" si="16"/>
        <v>01</v>
      </c>
    </row>
    <row r="1030" spans="1:1" x14ac:dyDescent="0.4">
      <c r="A1030" s="14" t="str">
        <f t="shared" si="16"/>
        <v>01</v>
      </c>
    </row>
    <row r="1031" spans="1:1" x14ac:dyDescent="0.4">
      <c r="A1031" s="14" t="str">
        <f t="shared" si="16"/>
        <v>01</v>
      </c>
    </row>
    <row r="1032" spans="1:1" x14ac:dyDescent="0.4">
      <c r="A1032" s="14" t="str">
        <f t="shared" si="16"/>
        <v>01</v>
      </c>
    </row>
    <row r="1033" spans="1:1" x14ac:dyDescent="0.4">
      <c r="A1033" s="14" t="str">
        <f t="shared" si="16"/>
        <v>01</v>
      </c>
    </row>
    <row r="1034" spans="1:1" x14ac:dyDescent="0.4">
      <c r="A1034" s="14" t="str">
        <f t="shared" si="16"/>
        <v>01</v>
      </c>
    </row>
    <row r="1035" spans="1:1" x14ac:dyDescent="0.4">
      <c r="A1035" s="14" t="str">
        <f t="shared" si="16"/>
        <v>01</v>
      </c>
    </row>
    <row r="1036" spans="1:1" x14ac:dyDescent="0.4">
      <c r="A1036" s="14" t="str">
        <f t="shared" si="16"/>
        <v>01</v>
      </c>
    </row>
    <row r="1037" spans="1:1" x14ac:dyDescent="0.4">
      <c r="A1037" s="14" t="str">
        <f t="shared" si="16"/>
        <v>01</v>
      </c>
    </row>
    <row r="1038" spans="1:1" x14ac:dyDescent="0.4">
      <c r="A1038" s="14" t="str">
        <f t="shared" si="16"/>
        <v>01</v>
      </c>
    </row>
    <row r="1039" spans="1:1" x14ac:dyDescent="0.4">
      <c r="A1039" s="14" t="str">
        <f t="shared" si="16"/>
        <v>01</v>
      </c>
    </row>
    <row r="1040" spans="1:1" x14ac:dyDescent="0.4">
      <c r="A1040" s="14" t="str">
        <f t="shared" si="16"/>
        <v>01</v>
      </c>
    </row>
    <row r="1041" spans="1:1" x14ac:dyDescent="0.4">
      <c r="A1041" s="14" t="str">
        <f t="shared" si="16"/>
        <v>01</v>
      </c>
    </row>
    <row r="1042" spans="1:1" x14ac:dyDescent="0.4">
      <c r="A1042" s="14" t="str">
        <f t="shared" si="16"/>
        <v>01</v>
      </c>
    </row>
    <row r="1043" spans="1:1" x14ac:dyDescent="0.4">
      <c r="A1043" s="14" t="str">
        <f t="shared" si="16"/>
        <v>01</v>
      </c>
    </row>
    <row r="1044" spans="1:1" x14ac:dyDescent="0.4">
      <c r="A1044" s="14" t="str">
        <f t="shared" si="16"/>
        <v>01</v>
      </c>
    </row>
    <row r="1045" spans="1:1" x14ac:dyDescent="0.4">
      <c r="A1045" s="14" t="str">
        <f t="shared" si="16"/>
        <v>01</v>
      </c>
    </row>
    <row r="1046" spans="1:1" x14ac:dyDescent="0.4">
      <c r="A1046" s="14" t="str">
        <f t="shared" si="16"/>
        <v>01</v>
      </c>
    </row>
    <row r="1047" spans="1:1" x14ac:dyDescent="0.4">
      <c r="A1047" s="14" t="str">
        <f t="shared" si="16"/>
        <v>01</v>
      </c>
    </row>
    <row r="1048" spans="1:1" x14ac:dyDescent="0.4">
      <c r="A1048" s="14" t="str">
        <f t="shared" si="16"/>
        <v>01</v>
      </c>
    </row>
    <row r="1049" spans="1:1" x14ac:dyDescent="0.4">
      <c r="A1049" s="14" t="str">
        <f t="shared" si="16"/>
        <v>01</v>
      </c>
    </row>
    <row r="1050" spans="1:1" x14ac:dyDescent="0.4">
      <c r="A1050" s="14" t="str">
        <f t="shared" si="16"/>
        <v>01</v>
      </c>
    </row>
    <row r="1051" spans="1:1" x14ac:dyDescent="0.4">
      <c r="A1051" s="14" t="str">
        <f t="shared" si="16"/>
        <v>01</v>
      </c>
    </row>
    <row r="1052" spans="1:1" x14ac:dyDescent="0.4">
      <c r="A1052" s="14" t="str">
        <f t="shared" si="16"/>
        <v>01</v>
      </c>
    </row>
    <row r="1053" spans="1:1" x14ac:dyDescent="0.4">
      <c r="A1053" s="14" t="str">
        <f t="shared" si="16"/>
        <v>01</v>
      </c>
    </row>
    <row r="1054" spans="1:1" x14ac:dyDescent="0.4">
      <c r="A1054" s="14" t="str">
        <f t="shared" si="16"/>
        <v>01</v>
      </c>
    </row>
    <row r="1055" spans="1:1" x14ac:dyDescent="0.4">
      <c r="A1055" s="14" t="str">
        <f t="shared" si="16"/>
        <v>01</v>
      </c>
    </row>
    <row r="1056" spans="1:1" x14ac:dyDescent="0.4">
      <c r="A1056" s="14" t="str">
        <f t="shared" si="16"/>
        <v>01</v>
      </c>
    </row>
    <row r="1057" spans="1:1" x14ac:dyDescent="0.4">
      <c r="A1057" s="14" t="str">
        <f t="shared" si="16"/>
        <v>01</v>
      </c>
    </row>
    <row r="1058" spans="1:1" x14ac:dyDescent="0.4">
      <c r="A1058" s="14" t="str">
        <f t="shared" si="16"/>
        <v>01</v>
      </c>
    </row>
    <row r="1059" spans="1:1" x14ac:dyDescent="0.4">
      <c r="A1059" s="14" t="str">
        <f t="shared" si="16"/>
        <v>01</v>
      </c>
    </row>
    <row r="1060" spans="1:1" x14ac:dyDescent="0.4">
      <c r="A1060" s="14" t="str">
        <f t="shared" si="16"/>
        <v>01</v>
      </c>
    </row>
    <row r="1061" spans="1:1" x14ac:dyDescent="0.4">
      <c r="A1061" s="14" t="str">
        <f t="shared" si="16"/>
        <v>01</v>
      </c>
    </row>
    <row r="1062" spans="1:1" x14ac:dyDescent="0.4">
      <c r="A1062" s="14" t="str">
        <f t="shared" si="16"/>
        <v>01</v>
      </c>
    </row>
    <row r="1063" spans="1:1" x14ac:dyDescent="0.4">
      <c r="A1063" s="14" t="str">
        <f t="shared" si="16"/>
        <v>01</v>
      </c>
    </row>
    <row r="1064" spans="1:1" x14ac:dyDescent="0.4">
      <c r="A1064" s="14" t="str">
        <f t="shared" si="16"/>
        <v>01</v>
      </c>
    </row>
    <row r="1065" spans="1:1" x14ac:dyDescent="0.4">
      <c r="A1065" s="14" t="str">
        <f t="shared" si="16"/>
        <v>01</v>
      </c>
    </row>
    <row r="1066" spans="1:1" x14ac:dyDescent="0.4">
      <c r="A1066" s="14" t="str">
        <f t="shared" si="16"/>
        <v>01</v>
      </c>
    </row>
    <row r="1067" spans="1:1" x14ac:dyDescent="0.4">
      <c r="A1067" s="14" t="str">
        <f t="shared" si="16"/>
        <v>01</v>
      </c>
    </row>
    <row r="1068" spans="1:1" x14ac:dyDescent="0.4">
      <c r="A1068" s="14" t="str">
        <f t="shared" si="16"/>
        <v>01</v>
      </c>
    </row>
    <row r="1069" spans="1:1" x14ac:dyDescent="0.4">
      <c r="A1069" s="14" t="str">
        <f t="shared" si="16"/>
        <v>01</v>
      </c>
    </row>
    <row r="1070" spans="1:1" x14ac:dyDescent="0.4">
      <c r="A1070" s="14" t="str">
        <f t="shared" si="16"/>
        <v>01</v>
      </c>
    </row>
    <row r="1071" spans="1:1" x14ac:dyDescent="0.4">
      <c r="A1071" s="14" t="str">
        <f t="shared" si="16"/>
        <v>01</v>
      </c>
    </row>
    <row r="1072" spans="1:1" x14ac:dyDescent="0.4">
      <c r="A1072" s="14" t="str">
        <f t="shared" si="16"/>
        <v>01</v>
      </c>
    </row>
    <row r="1073" spans="1:1" x14ac:dyDescent="0.4">
      <c r="A1073" s="14" t="str">
        <f t="shared" si="16"/>
        <v>01</v>
      </c>
    </row>
    <row r="1074" spans="1:1" x14ac:dyDescent="0.4">
      <c r="A1074" s="14" t="str">
        <f t="shared" si="16"/>
        <v>01</v>
      </c>
    </row>
    <row r="1075" spans="1:1" x14ac:dyDescent="0.4">
      <c r="A1075" s="14" t="str">
        <f t="shared" si="16"/>
        <v>01</v>
      </c>
    </row>
    <row r="1076" spans="1:1" x14ac:dyDescent="0.4">
      <c r="A1076" s="14" t="str">
        <f t="shared" si="16"/>
        <v>01</v>
      </c>
    </row>
    <row r="1077" spans="1:1" x14ac:dyDescent="0.4">
      <c r="A1077" s="14" t="str">
        <f t="shared" si="16"/>
        <v>01</v>
      </c>
    </row>
    <row r="1078" spans="1:1" x14ac:dyDescent="0.4">
      <c r="A1078" s="14" t="str">
        <f t="shared" si="16"/>
        <v>01</v>
      </c>
    </row>
    <row r="1079" spans="1:1" x14ac:dyDescent="0.4">
      <c r="A1079" s="14" t="str">
        <f t="shared" si="16"/>
        <v>01</v>
      </c>
    </row>
    <row r="1080" spans="1:1" x14ac:dyDescent="0.4">
      <c r="A1080" s="14" t="str">
        <f t="shared" si="16"/>
        <v>01</v>
      </c>
    </row>
    <row r="1081" spans="1:1" x14ac:dyDescent="0.4">
      <c r="A1081" s="14" t="str">
        <f t="shared" si="16"/>
        <v>01</v>
      </c>
    </row>
    <row r="1082" spans="1:1" x14ac:dyDescent="0.4">
      <c r="A1082" s="14" t="str">
        <f t="shared" si="16"/>
        <v>01</v>
      </c>
    </row>
    <row r="1083" spans="1:1" x14ac:dyDescent="0.4">
      <c r="A1083" s="14" t="str">
        <f t="shared" si="16"/>
        <v>01</v>
      </c>
    </row>
    <row r="1084" spans="1:1" x14ac:dyDescent="0.4">
      <c r="A1084" s="14" t="str">
        <f t="shared" si="16"/>
        <v>01</v>
      </c>
    </row>
    <row r="1085" spans="1:1" x14ac:dyDescent="0.4">
      <c r="A1085" s="14" t="str">
        <f t="shared" si="16"/>
        <v>01</v>
      </c>
    </row>
    <row r="1086" spans="1:1" x14ac:dyDescent="0.4">
      <c r="A1086" s="14" t="str">
        <f t="shared" si="16"/>
        <v>01</v>
      </c>
    </row>
    <row r="1087" spans="1:1" x14ac:dyDescent="0.4">
      <c r="A1087" s="14" t="str">
        <f t="shared" si="16"/>
        <v>01</v>
      </c>
    </row>
    <row r="1088" spans="1:1" x14ac:dyDescent="0.4">
      <c r="A1088" s="14" t="str">
        <f t="shared" si="16"/>
        <v>01</v>
      </c>
    </row>
    <row r="1089" spans="1:1" x14ac:dyDescent="0.4">
      <c r="A1089" s="14" t="str">
        <f t="shared" si="16"/>
        <v>01</v>
      </c>
    </row>
    <row r="1090" spans="1:1" x14ac:dyDescent="0.4">
      <c r="A1090" s="14" t="str">
        <f t="shared" si="16"/>
        <v>01</v>
      </c>
    </row>
    <row r="1091" spans="1:1" x14ac:dyDescent="0.4">
      <c r="A1091" s="14" t="str">
        <f t="shared" ref="A1091:A1154" si="17">TEXT(L1091,"MM")</f>
        <v>01</v>
      </c>
    </row>
    <row r="1092" spans="1:1" x14ac:dyDescent="0.4">
      <c r="A1092" s="14" t="str">
        <f t="shared" si="17"/>
        <v>01</v>
      </c>
    </row>
    <row r="1093" spans="1:1" x14ac:dyDescent="0.4">
      <c r="A1093" s="14" t="str">
        <f t="shared" si="17"/>
        <v>01</v>
      </c>
    </row>
    <row r="1094" spans="1:1" x14ac:dyDescent="0.4">
      <c r="A1094" s="14" t="str">
        <f t="shared" si="17"/>
        <v>01</v>
      </c>
    </row>
    <row r="1095" spans="1:1" x14ac:dyDescent="0.4">
      <c r="A1095" s="14" t="str">
        <f t="shared" si="17"/>
        <v>01</v>
      </c>
    </row>
    <row r="1096" spans="1:1" x14ac:dyDescent="0.4">
      <c r="A1096" s="14" t="str">
        <f t="shared" si="17"/>
        <v>01</v>
      </c>
    </row>
    <row r="1097" spans="1:1" x14ac:dyDescent="0.4">
      <c r="A1097" s="14" t="str">
        <f t="shared" si="17"/>
        <v>01</v>
      </c>
    </row>
    <row r="1098" spans="1:1" x14ac:dyDescent="0.4">
      <c r="A1098" s="14" t="str">
        <f t="shared" si="17"/>
        <v>01</v>
      </c>
    </row>
    <row r="1099" spans="1:1" x14ac:dyDescent="0.4">
      <c r="A1099" s="14" t="str">
        <f t="shared" si="17"/>
        <v>01</v>
      </c>
    </row>
    <row r="1100" spans="1:1" x14ac:dyDescent="0.4">
      <c r="A1100" s="14" t="str">
        <f t="shared" si="17"/>
        <v>01</v>
      </c>
    </row>
    <row r="1101" spans="1:1" x14ac:dyDescent="0.4">
      <c r="A1101" s="14" t="str">
        <f t="shared" si="17"/>
        <v>01</v>
      </c>
    </row>
    <row r="1102" spans="1:1" x14ac:dyDescent="0.4">
      <c r="A1102" s="14" t="str">
        <f t="shared" si="17"/>
        <v>01</v>
      </c>
    </row>
    <row r="1103" spans="1:1" x14ac:dyDescent="0.4">
      <c r="A1103" s="14" t="str">
        <f t="shared" si="17"/>
        <v>01</v>
      </c>
    </row>
    <row r="1104" spans="1:1" x14ac:dyDescent="0.4">
      <c r="A1104" s="14" t="str">
        <f t="shared" si="17"/>
        <v>01</v>
      </c>
    </row>
    <row r="1105" spans="1:1" x14ac:dyDescent="0.4">
      <c r="A1105" s="14" t="str">
        <f t="shared" si="17"/>
        <v>01</v>
      </c>
    </row>
    <row r="1106" spans="1:1" x14ac:dyDescent="0.4">
      <c r="A1106" s="14" t="str">
        <f t="shared" si="17"/>
        <v>01</v>
      </c>
    </row>
    <row r="1107" spans="1:1" x14ac:dyDescent="0.4">
      <c r="A1107" s="14" t="str">
        <f t="shared" si="17"/>
        <v>01</v>
      </c>
    </row>
    <row r="1108" spans="1:1" x14ac:dyDescent="0.4">
      <c r="A1108" s="14" t="str">
        <f t="shared" si="17"/>
        <v>01</v>
      </c>
    </row>
    <row r="1109" spans="1:1" x14ac:dyDescent="0.4">
      <c r="A1109" s="14" t="str">
        <f t="shared" si="17"/>
        <v>01</v>
      </c>
    </row>
    <row r="1110" spans="1:1" x14ac:dyDescent="0.4">
      <c r="A1110" s="14" t="str">
        <f t="shared" si="17"/>
        <v>01</v>
      </c>
    </row>
    <row r="1111" spans="1:1" x14ac:dyDescent="0.4">
      <c r="A1111" s="14" t="str">
        <f t="shared" si="17"/>
        <v>01</v>
      </c>
    </row>
    <row r="1112" spans="1:1" x14ac:dyDescent="0.4">
      <c r="A1112" s="14" t="str">
        <f t="shared" si="17"/>
        <v>01</v>
      </c>
    </row>
    <row r="1113" spans="1:1" x14ac:dyDescent="0.4">
      <c r="A1113" s="14" t="str">
        <f t="shared" si="17"/>
        <v>01</v>
      </c>
    </row>
    <row r="1114" spans="1:1" x14ac:dyDescent="0.4">
      <c r="A1114" s="14" t="str">
        <f t="shared" si="17"/>
        <v>01</v>
      </c>
    </row>
    <row r="1115" spans="1:1" x14ac:dyDescent="0.4">
      <c r="A1115" s="14" t="str">
        <f t="shared" si="17"/>
        <v>01</v>
      </c>
    </row>
    <row r="1116" spans="1:1" x14ac:dyDescent="0.4">
      <c r="A1116" s="14" t="str">
        <f t="shared" si="17"/>
        <v>01</v>
      </c>
    </row>
    <row r="1117" spans="1:1" x14ac:dyDescent="0.4">
      <c r="A1117" s="14" t="str">
        <f t="shared" si="17"/>
        <v>01</v>
      </c>
    </row>
    <row r="1118" spans="1:1" x14ac:dyDescent="0.4">
      <c r="A1118" s="14" t="str">
        <f t="shared" si="17"/>
        <v>01</v>
      </c>
    </row>
    <row r="1119" spans="1:1" x14ac:dyDescent="0.4">
      <c r="A1119" s="14" t="str">
        <f t="shared" si="17"/>
        <v>01</v>
      </c>
    </row>
    <row r="1120" spans="1:1" x14ac:dyDescent="0.4">
      <c r="A1120" s="14" t="str">
        <f t="shared" si="17"/>
        <v>01</v>
      </c>
    </row>
    <row r="1121" spans="1:1" x14ac:dyDescent="0.4">
      <c r="A1121" s="14" t="str">
        <f t="shared" si="17"/>
        <v>01</v>
      </c>
    </row>
    <row r="1122" spans="1:1" x14ac:dyDescent="0.4">
      <c r="A1122" s="14" t="str">
        <f t="shared" si="17"/>
        <v>01</v>
      </c>
    </row>
    <row r="1123" spans="1:1" x14ac:dyDescent="0.4">
      <c r="A1123" s="14" t="str">
        <f t="shared" si="17"/>
        <v>01</v>
      </c>
    </row>
    <row r="1124" spans="1:1" x14ac:dyDescent="0.4">
      <c r="A1124" s="14" t="str">
        <f t="shared" si="17"/>
        <v>01</v>
      </c>
    </row>
    <row r="1125" spans="1:1" x14ac:dyDescent="0.4">
      <c r="A1125" s="14" t="str">
        <f t="shared" si="17"/>
        <v>01</v>
      </c>
    </row>
    <row r="1126" spans="1:1" x14ac:dyDescent="0.4">
      <c r="A1126" s="14" t="str">
        <f t="shared" si="17"/>
        <v>01</v>
      </c>
    </row>
    <row r="1127" spans="1:1" x14ac:dyDescent="0.4">
      <c r="A1127" s="14" t="str">
        <f t="shared" si="17"/>
        <v>01</v>
      </c>
    </row>
    <row r="1128" spans="1:1" x14ac:dyDescent="0.4">
      <c r="A1128" s="14" t="str">
        <f t="shared" si="17"/>
        <v>01</v>
      </c>
    </row>
    <row r="1129" spans="1:1" x14ac:dyDescent="0.4">
      <c r="A1129" s="14" t="str">
        <f t="shared" si="17"/>
        <v>01</v>
      </c>
    </row>
    <row r="1130" spans="1:1" x14ac:dyDescent="0.4">
      <c r="A1130" s="14" t="str">
        <f t="shared" si="17"/>
        <v>01</v>
      </c>
    </row>
    <row r="1131" spans="1:1" x14ac:dyDescent="0.4">
      <c r="A1131" s="14" t="str">
        <f t="shared" si="17"/>
        <v>01</v>
      </c>
    </row>
    <row r="1132" spans="1:1" x14ac:dyDescent="0.4">
      <c r="A1132" s="14" t="str">
        <f t="shared" si="17"/>
        <v>01</v>
      </c>
    </row>
    <row r="1133" spans="1:1" x14ac:dyDescent="0.4">
      <c r="A1133" s="14" t="str">
        <f t="shared" si="17"/>
        <v>01</v>
      </c>
    </row>
    <row r="1134" spans="1:1" x14ac:dyDescent="0.4">
      <c r="A1134" s="14" t="str">
        <f t="shared" si="17"/>
        <v>01</v>
      </c>
    </row>
    <row r="1135" spans="1:1" x14ac:dyDescent="0.4">
      <c r="A1135" s="14" t="str">
        <f t="shared" si="17"/>
        <v>01</v>
      </c>
    </row>
    <row r="1136" spans="1:1" x14ac:dyDescent="0.4">
      <c r="A1136" s="14" t="str">
        <f t="shared" si="17"/>
        <v>01</v>
      </c>
    </row>
    <row r="1137" spans="1:1" x14ac:dyDescent="0.4">
      <c r="A1137" s="14" t="str">
        <f t="shared" si="17"/>
        <v>01</v>
      </c>
    </row>
    <row r="1138" spans="1:1" x14ac:dyDescent="0.4">
      <c r="A1138" s="14" t="str">
        <f t="shared" si="17"/>
        <v>01</v>
      </c>
    </row>
    <row r="1139" spans="1:1" x14ac:dyDescent="0.4">
      <c r="A1139" s="14" t="str">
        <f t="shared" si="17"/>
        <v>01</v>
      </c>
    </row>
    <row r="1140" spans="1:1" x14ac:dyDescent="0.4">
      <c r="A1140" s="14" t="str">
        <f t="shared" si="17"/>
        <v>01</v>
      </c>
    </row>
    <row r="1141" spans="1:1" x14ac:dyDescent="0.4">
      <c r="A1141" s="14" t="str">
        <f t="shared" si="17"/>
        <v>01</v>
      </c>
    </row>
    <row r="1142" spans="1:1" x14ac:dyDescent="0.4">
      <c r="A1142" s="14" t="str">
        <f t="shared" si="17"/>
        <v>01</v>
      </c>
    </row>
    <row r="1143" spans="1:1" x14ac:dyDescent="0.4">
      <c r="A1143" s="14" t="str">
        <f t="shared" si="17"/>
        <v>01</v>
      </c>
    </row>
    <row r="1144" spans="1:1" x14ac:dyDescent="0.4">
      <c r="A1144" s="14" t="str">
        <f t="shared" si="17"/>
        <v>01</v>
      </c>
    </row>
    <row r="1145" spans="1:1" x14ac:dyDescent="0.4">
      <c r="A1145" s="14" t="str">
        <f t="shared" si="17"/>
        <v>01</v>
      </c>
    </row>
    <row r="1146" spans="1:1" x14ac:dyDescent="0.4">
      <c r="A1146" s="14" t="str">
        <f t="shared" si="17"/>
        <v>01</v>
      </c>
    </row>
    <row r="1147" spans="1:1" x14ac:dyDescent="0.4">
      <c r="A1147" s="14" t="str">
        <f t="shared" si="17"/>
        <v>01</v>
      </c>
    </row>
    <row r="1148" spans="1:1" x14ac:dyDescent="0.4">
      <c r="A1148" s="14" t="str">
        <f t="shared" si="17"/>
        <v>01</v>
      </c>
    </row>
    <row r="1149" spans="1:1" x14ac:dyDescent="0.4">
      <c r="A1149" s="14" t="str">
        <f t="shared" si="17"/>
        <v>01</v>
      </c>
    </row>
    <row r="1150" spans="1:1" x14ac:dyDescent="0.4">
      <c r="A1150" s="14" t="str">
        <f t="shared" si="17"/>
        <v>01</v>
      </c>
    </row>
    <row r="1151" spans="1:1" x14ac:dyDescent="0.4">
      <c r="A1151" s="14" t="str">
        <f t="shared" si="17"/>
        <v>01</v>
      </c>
    </row>
    <row r="1152" spans="1:1" x14ac:dyDescent="0.4">
      <c r="A1152" s="14" t="str">
        <f t="shared" si="17"/>
        <v>01</v>
      </c>
    </row>
    <row r="1153" spans="1:1" x14ac:dyDescent="0.4">
      <c r="A1153" s="14" t="str">
        <f t="shared" si="17"/>
        <v>01</v>
      </c>
    </row>
    <row r="1154" spans="1:1" x14ac:dyDescent="0.4">
      <c r="A1154" s="14" t="str">
        <f t="shared" si="17"/>
        <v>01</v>
      </c>
    </row>
    <row r="1155" spans="1:1" x14ac:dyDescent="0.4">
      <c r="A1155" s="14" t="str">
        <f t="shared" ref="A1155:A1218" si="18">TEXT(L1155,"MM")</f>
        <v>01</v>
      </c>
    </row>
    <row r="1156" spans="1:1" x14ac:dyDescent="0.4">
      <c r="A1156" s="14" t="str">
        <f t="shared" si="18"/>
        <v>01</v>
      </c>
    </row>
    <row r="1157" spans="1:1" x14ac:dyDescent="0.4">
      <c r="A1157" s="14" t="str">
        <f t="shared" si="18"/>
        <v>01</v>
      </c>
    </row>
    <row r="1158" spans="1:1" x14ac:dyDescent="0.4">
      <c r="A1158" s="14" t="str">
        <f t="shared" si="18"/>
        <v>01</v>
      </c>
    </row>
    <row r="1159" spans="1:1" x14ac:dyDescent="0.4">
      <c r="A1159" s="14" t="str">
        <f t="shared" si="18"/>
        <v>01</v>
      </c>
    </row>
    <row r="1160" spans="1:1" x14ac:dyDescent="0.4">
      <c r="A1160" s="14" t="str">
        <f t="shared" si="18"/>
        <v>01</v>
      </c>
    </row>
    <row r="1161" spans="1:1" x14ac:dyDescent="0.4">
      <c r="A1161" s="14" t="str">
        <f t="shared" si="18"/>
        <v>01</v>
      </c>
    </row>
    <row r="1162" spans="1:1" x14ac:dyDescent="0.4">
      <c r="A1162" s="14" t="str">
        <f t="shared" si="18"/>
        <v>01</v>
      </c>
    </row>
    <row r="1163" spans="1:1" x14ac:dyDescent="0.4">
      <c r="A1163" s="14" t="str">
        <f t="shared" si="18"/>
        <v>01</v>
      </c>
    </row>
    <row r="1164" spans="1:1" x14ac:dyDescent="0.4">
      <c r="A1164" s="14" t="str">
        <f t="shared" si="18"/>
        <v>01</v>
      </c>
    </row>
    <row r="1165" spans="1:1" x14ac:dyDescent="0.4">
      <c r="A1165" s="14" t="str">
        <f t="shared" si="18"/>
        <v>01</v>
      </c>
    </row>
    <row r="1166" spans="1:1" x14ac:dyDescent="0.4">
      <c r="A1166" s="14" t="str">
        <f t="shared" si="18"/>
        <v>01</v>
      </c>
    </row>
    <row r="1167" spans="1:1" x14ac:dyDescent="0.4">
      <c r="A1167" s="14" t="str">
        <f t="shared" si="18"/>
        <v>01</v>
      </c>
    </row>
    <row r="1168" spans="1:1" x14ac:dyDescent="0.4">
      <c r="A1168" s="14" t="str">
        <f t="shared" si="18"/>
        <v>01</v>
      </c>
    </row>
    <row r="1169" spans="1:1" x14ac:dyDescent="0.4">
      <c r="A1169" s="14" t="str">
        <f t="shared" si="18"/>
        <v>01</v>
      </c>
    </row>
    <row r="1170" spans="1:1" x14ac:dyDescent="0.4">
      <c r="A1170" s="14" t="str">
        <f t="shared" si="18"/>
        <v>01</v>
      </c>
    </row>
    <row r="1171" spans="1:1" x14ac:dyDescent="0.4">
      <c r="A1171" s="14" t="str">
        <f t="shared" si="18"/>
        <v>01</v>
      </c>
    </row>
    <row r="1172" spans="1:1" x14ac:dyDescent="0.4">
      <c r="A1172" s="14" t="str">
        <f t="shared" si="18"/>
        <v>01</v>
      </c>
    </row>
    <row r="1173" spans="1:1" x14ac:dyDescent="0.4">
      <c r="A1173" s="14" t="str">
        <f t="shared" si="18"/>
        <v>01</v>
      </c>
    </row>
    <row r="1174" spans="1:1" x14ac:dyDescent="0.4">
      <c r="A1174" s="14" t="str">
        <f t="shared" si="18"/>
        <v>01</v>
      </c>
    </row>
    <row r="1175" spans="1:1" x14ac:dyDescent="0.4">
      <c r="A1175" s="14" t="str">
        <f t="shared" si="18"/>
        <v>01</v>
      </c>
    </row>
    <row r="1176" spans="1:1" x14ac:dyDescent="0.4">
      <c r="A1176" s="14" t="str">
        <f t="shared" si="18"/>
        <v>01</v>
      </c>
    </row>
    <row r="1177" spans="1:1" x14ac:dyDescent="0.4">
      <c r="A1177" s="14" t="str">
        <f t="shared" si="18"/>
        <v>01</v>
      </c>
    </row>
    <row r="1178" spans="1:1" x14ac:dyDescent="0.4">
      <c r="A1178" s="14" t="str">
        <f t="shared" si="18"/>
        <v>01</v>
      </c>
    </row>
    <row r="1179" spans="1:1" x14ac:dyDescent="0.4">
      <c r="A1179" s="14" t="str">
        <f t="shared" si="18"/>
        <v>01</v>
      </c>
    </row>
    <row r="1180" spans="1:1" x14ac:dyDescent="0.4">
      <c r="A1180" s="14" t="str">
        <f t="shared" si="18"/>
        <v>01</v>
      </c>
    </row>
    <row r="1181" spans="1:1" x14ac:dyDescent="0.4">
      <c r="A1181" s="14" t="str">
        <f t="shared" si="18"/>
        <v>01</v>
      </c>
    </row>
    <row r="1182" spans="1:1" x14ac:dyDescent="0.4">
      <c r="A1182" s="14" t="str">
        <f t="shared" si="18"/>
        <v>01</v>
      </c>
    </row>
    <row r="1183" spans="1:1" x14ac:dyDescent="0.4">
      <c r="A1183" s="14" t="str">
        <f t="shared" si="18"/>
        <v>01</v>
      </c>
    </row>
    <row r="1184" spans="1:1" x14ac:dyDescent="0.4">
      <c r="A1184" s="14" t="str">
        <f t="shared" si="18"/>
        <v>01</v>
      </c>
    </row>
    <row r="1185" spans="1:1" x14ac:dyDescent="0.4">
      <c r="A1185" s="14" t="str">
        <f t="shared" si="18"/>
        <v>01</v>
      </c>
    </row>
    <row r="1186" spans="1:1" x14ac:dyDescent="0.4">
      <c r="A1186" s="14" t="str">
        <f t="shared" si="18"/>
        <v>01</v>
      </c>
    </row>
    <row r="1187" spans="1:1" x14ac:dyDescent="0.4">
      <c r="A1187" s="14" t="str">
        <f t="shared" si="18"/>
        <v>01</v>
      </c>
    </row>
    <row r="1188" spans="1:1" x14ac:dyDescent="0.4">
      <c r="A1188" s="14" t="str">
        <f t="shared" si="18"/>
        <v>01</v>
      </c>
    </row>
    <row r="1189" spans="1:1" x14ac:dyDescent="0.4">
      <c r="A1189" s="14" t="str">
        <f t="shared" si="18"/>
        <v>01</v>
      </c>
    </row>
    <row r="1190" spans="1:1" x14ac:dyDescent="0.4">
      <c r="A1190" s="14" t="str">
        <f t="shared" si="18"/>
        <v>01</v>
      </c>
    </row>
    <row r="1191" spans="1:1" x14ac:dyDescent="0.4">
      <c r="A1191" s="14" t="str">
        <f t="shared" si="18"/>
        <v>01</v>
      </c>
    </row>
    <row r="1192" spans="1:1" x14ac:dyDescent="0.4">
      <c r="A1192" s="14" t="str">
        <f t="shared" si="18"/>
        <v>01</v>
      </c>
    </row>
    <row r="1193" spans="1:1" x14ac:dyDescent="0.4">
      <c r="A1193" s="14" t="str">
        <f t="shared" si="18"/>
        <v>01</v>
      </c>
    </row>
    <row r="1194" spans="1:1" x14ac:dyDescent="0.4">
      <c r="A1194" s="14" t="str">
        <f t="shared" si="18"/>
        <v>01</v>
      </c>
    </row>
    <row r="1195" spans="1:1" x14ac:dyDescent="0.4">
      <c r="A1195" s="14" t="str">
        <f t="shared" si="18"/>
        <v>01</v>
      </c>
    </row>
    <row r="1196" spans="1:1" x14ac:dyDescent="0.4">
      <c r="A1196" s="14" t="str">
        <f t="shared" si="18"/>
        <v>01</v>
      </c>
    </row>
    <row r="1197" spans="1:1" x14ac:dyDescent="0.4">
      <c r="A1197" s="14" t="str">
        <f t="shared" si="18"/>
        <v>01</v>
      </c>
    </row>
    <row r="1198" spans="1:1" x14ac:dyDescent="0.4">
      <c r="A1198" s="14" t="str">
        <f t="shared" si="18"/>
        <v>01</v>
      </c>
    </row>
    <row r="1199" spans="1:1" x14ac:dyDescent="0.4">
      <c r="A1199" s="14" t="str">
        <f t="shared" si="18"/>
        <v>01</v>
      </c>
    </row>
    <row r="1200" spans="1:1" x14ac:dyDescent="0.4">
      <c r="A1200" s="14" t="str">
        <f t="shared" si="18"/>
        <v>01</v>
      </c>
    </row>
    <row r="1201" spans="1:1" x14ac:dyDescent="0.4">
      <c r="A1201" s="14" t="str">
        <f t="shared" si="18"/>
        <v>01</v>
      </c>
    </row>
    <row r="1202" spans="1:1" x14ac:dyDescent="0.4">
      <c r="A1202" s="14" t="str">
        <f t="shared" si="18"/>
        <v>01</v>
      </c>
    </row>
    <row r="1203" spans="1:1" x14ac:dyDescent="0.4">
      <c r="A1203" s="14" t="str">
        <f t="shared" si="18"/>
        <v>01</v>
      </c>
    </row>
    <row r="1204" spans="1:1" x14ac:dyDescent="0.4">
      <c r="A1204" s="14" t="str">
        <f t="shared" si="18"/>
        <v>01</v>
      </c>
    </row>
    <row r="1205" spans="1:1" x14ac:dyDescent="0.4">
      <c r="A1205" s="14" t="str">
        <f t="shared" si="18"/>
        <v>01</v>
      </c>
    </row>
    <row r="1206" spans="1:1" x14ac:dyDescent="0.4">
      <c r="A1206" s="14" t="str">
        <f t="shared" si="18"/>
        <v>01</v>
      </c>
    </row>
    <row r="1207" spans="1:1" x14ac:dyDescent="0.4">
      <c r="A1207" s="14" t="str">
        <f t="shared" si="18"/>
        <v>01</v>
      </c>
    </row>
    <row r="1208" spans="1:1" x14ac:dyDescent="0.4">
      <c r="A1208" s="14" t="str">
        <f t="shared" si="18"/>
        <v>01</v>
      </c>
    </row>
    <row r="1209" spans="1:1" x14ac:dyDescent="0.4">
      <c r="A1209" s="14" t="str">
        <f t="shared" si="18"/>
        <v>01</v>
      </c>
    </row>
    <row r="1210" spans="1:1" x14ac:dyDescent="0.4">
      <c r="A1210" s="14" t="str">
        <f t="shared" si="18"/>
        <v>01</v>
      </c>
    </row>
    <row r="1211" spans="1:1" x14ac:dyDescent="0.4">
      <c r="A1211" s="14" t="str">
        <f t="shared" si="18"/>
        <v>01</v>
      </c>
    </row>
    <row r="1212" spans="1:1" x14ac:dyDescent="0.4">
      <c r="A1212" s="14" t="str">
        <f t="shared" si="18"/>
        <v>01</v>
      </c>
    </row>
    <row r="1213" spans="1:1" x14ac:dyDescent="0.4">
      <c r="A1213" s="14" t="str">
        <f t="shared" si="18"/>
        <v>01</v>
      </c>
    </row>
    <row r="1214" spans="1:1" x14ac:dyDescent="0.4">
      <c r="A1214" s="14" t="str">
        <f t="shared" si="18"/>
        <v>01</v>
      </c>
    </row>
    <row r="1215" spans="1:1" x14ac:dyDescent="0.4">
      <c r="A1215" s="14" t="str">
        <f t="shared" si="18"/>
        <v>01</v>
      </c>
    </row>
    <row r="1216" spans="1:1" x14ac:dyDescent="0.4">
      <c r="A1216" s="14" t="str">
        <f t="shared" si="18"/>
        <v>01</v>
      </c>
    </row>
    <row r="1217" spans="1:1" x14ac:dyDescent="0.4">
      <c r="A1217" s="14" t="str">
        <f t="shared" si="18"/>
        <v>01</v>
      </c>
    </row>
    <row r="1218" spans="1:1" x14ac:dyDescent="0.4">
      <c r="A1218" s="14" t="str">
        <f t="shared" si="18"/>
        <v>01</v>
      </c>
    </row>
    <row r="1219" spans="1:1" x14ac:dyDescent="0.4">
      <c r="A1219" s="14" t="str">
        <f t="shared" ref="A1219:A1282" si="19">TEXT(L1219,"MM")</f>
        <v>01</v>
      </c>
    </row>
    <row r="1220" spans="1:1" x14ac:dyDescent="0.4">
      <c r="A1220" s="14" t="str">
        <f t="shared" si="19"/>
        <v>01</v>
      </c>
    </row>
    <row r="1221" spans="1:1" x14ac:dyDescent="0.4">
      <c r="A1221" s="14" t="str">
        <f t="shared" si="19"/>
        <v>01</v>
      </c>
    </row>
    <row r="1222" spans="1:1" x14ac:dyDescent="0.4">
      <c r="A1222" s="14" t="str">
        <f t="shared" si="19"/>
        <v>01</v>
      </c>
    </row>
    <row r="1223" spans="1:1" x14ac:dyDescent="0.4">
      <c r="A1223" s="14" t="str">
        <f t="shared" si="19"/>
        <v>01</v>
      </c>
    </row>
    <row r="1224" spans="1:1" x14ac:dyDescent="0.4">
      <c r="A1224" s="14" t="str">
        <f t="shared" si="19"/>
        <v>01</v>
      </c>
    </row>
    <row r="1225" spans="1:1" x14ac:dyDescent="0.4">
      <c r="A1225" s="14" t="str">
        <f t="shared" si="19"/>
        <v>01</v>
      </c>
    </row>
    <row r="1226" spans="1:1" x14ac:dyDescent="0.4">
      <c r="A1226" s="14" t="str">
        <f t="shared" si="19"/>
        <v>01</v>
      </c>
    </row>
    <row r="1227" spans="1:1" x14ac:dyDescent="0.4">
      <c r="A1227" s="14" t="str">
        <f t="shared" si="19"/>
        <v>01</v>
      </c>
    </row>
    <row r="1228" spans="1:1" x14ac:dyDescent="0.4">
      <c r="A1228" s="14" t="str">
        <f t="shared" si="19"/>
        <v>01</v>
      </c>
    </row>
    <row r="1229" spans="1:1" x14ac:dyDescent="0.4">
      <c r="A1229" s="14" t="str">
        <f t="shared" si="19"/>
        <v>01</v>
      </c>
    </row>
    <row r="1230" spans="1:1" x14ac:dyDescent="0.4">
      <c r="A1230" s="14" t="str">
        <f t="shared" si="19"/>
        <v>01</v>
      </c>
    </row>
    <row r="1231" spans="1:1" x14ac:dyDescent="0.4">
      <c r="A1231" s="14" t="str">
        <f t="shared" si="19"/>
        <v>01</v>
      </c>
    </row>
    <row r="1232" spans="1:1" x14ac:dyDescent="0.4">
      <c r="A1232" s="14" t="str">
        <f t="shared" si="19"/>
        <v>01</v>
      </c>
    </row>
    <row r="1233" spans="1:1" x14ac:dyDescent="0.4">
      <c r="A1233" s="14" t="str">
        <f t="shared" si="19"/>
        <v>01</v>
      </c>
    </row>
    <row r="1234" spans="1:1" x14ac:dyDescent="0.4">
      <c r="A1234" s="14" t="str">
        <f t="shared" si="19"/>
        <v>01</v>
      </c>
    </row>
    <row r="1235" spans="1:1" x14ac:dyDescent="0.4">
      <c r="A1235" s="14" t="str">
        <f t="shared" si="19"/>
        <v>01</v>
      </c>
    </row>
    <row r="1236" spans="1:1" x14ac:dyDescent="0.4">
      <c r="A1236" s="14" t="str">
        <f t="shared" si="19"/>
        <v>01</v>
      </c>
    </row>
    <row r="1237" spans="1:1" x14ac:dyDescent="0.4">
      <c r="A1237" s="14" t="str">
        <f t="shared" si="19"/>
        <v>01</v>
      </c>
    </row>
    <row r="1238" spans="1:1" x14ac:dyDescent="0.4">
      <c r="A1238" s="14" t="str">
        <f t="shared" si="19"/>
        <v>01</v>
      </c>
    </row>
    <row r="1239" spans="1:1" x14ac:dyDescent="0.4">
      <c r="A1239" s="14" t="str">
        <f t="shared" si="19"/>
        <v>01</v>
      </c>
    </row>
    <row r="1240" spans="1:1" x14ac:dyDescent="0.4">
      <c r="A1240" s="14" t="str">
        <f t="shared" si="19"/>
        <v>01</v>
      </c>
    </row>
    <row r="1241" spans="1:1" x14ac:dyDescent="0.4">
      <c r="A1241" s="14" t="str">
        <f t="shared" si="19"/>
        <v>01</v>
      </c>
    </row>
    <row r="1242" spans="1:1" x14ac:dyDescent="0.4">
      <c r="A1242" s="14" t="str">
        <f t="shared" si="19"/>
        <v>01</v>
      </c>
    </row>
    <row r="1243" spans="1:1" x14ac:dyDescent="0.4">
      <c r="A1243" s="14" t="str">
        <f t="shared" si="19"/>
        <v>01</v>
      </c>
    </row>
    <row r="1244" spans="1:1" x14ac:dyDescent="0.4">
      <c r="A1244" s="14" t="str">
        <f t="shared" si="19"/>
        <v>01</v>
      </c>
    </row>
    <row r="1245" spans="1:1" x14ac:dyDescent="0.4">
      <c r="A1245" s="14" t="str">
        <f t="shared" si="19"/>
        <v>01</v>
      </c>
    </row>
    <row r="1246" spans="1:1" x14ac:dyDescent="0.4">
      <c r="A1246" s="14" t="str">
        <f t="shared" si="19"/>
        <v>01</v>
      </c>
    </row>
    <row r="1247" spans="1:1" x14ac:dyDescent="0.4">
      <c r="A1247" s="14" t="str">
        <f t="shared" si="19"/>
        <v>01</v>
      </c>
    </row>
    <row r="1248" spans="1:1" x14ac:dyDescent="0.4">
      <c r="A1248" s="14" t="str">
        <f t="shared" si="19"/>
        <v>01</v>
      </c>
    </row>
    <row r="1249" spans="1:1" x14ac:dyDescent="0.4">
      <c r="A1249" s="14" t="str">
        <f t="shared" si="19"/>
        <v>01</v>
      </c>
    </row>
    <row r="1250" spans="1:1" x14ac:dyDescent="0.4">
      <c r="A1250" s="14" t="str">
        <f t="shared" si="19"/>
        <v>01</v>
      </c>
    </row>
    <row r="1251" spans="1:1" x14ac:dyDescent="0.4">
      <c r="A1251" s="14" t="str">
        <f t="shared" si="19"/>
        <v>01</v>
      </c>
    </row>
    <row r="1252" spans="1:1" x14ac:dyDescent="0.4">
      <c r="A1252" s="14" t="str">
        <f t="shared" si="19"/>
        <v>01</v>
      </c>
    </row>
    <row r="1253" spans="1:1" x14ac:dyDescent="0.4">
      <c r="A1253" s="14" t="str">
        <f t="shared" si="19"/>
        <v>01</v>
      </c>
    </row>
    <row r="1254" spans="1:1" x14ac:dyDescent="0.4">
      <c r="A1254" s="14" t="str">
        <f t="shared" si="19"/>
        <v>01</v>
      </c>
    </row>
    <row r="1255" spans="1:1" x14ac:dyDescent="0.4">
      <c r="A1255" s="14" t="str">
        <f t="shared" si="19"/>
        <v>01</v>
      </c>
    </row>
    <row r="1256" spans="1:1" x14ac:dyDescent="0.4">
      <c r="A1256" s="14" t="str">
        <f t="shared" si="19"/>
        <v>01</v>
      </c>
    </row>
    <row r="1257" spans="1:1" x14ac:dyDescent="0.4">
      <c r="A1257" s="14" t="str">
        <f t="shared" si="19"/>
        <v>01</v>
      </c>
    </row>
    <row r="1258" spans="1:1" x14ac:dyDescent="0.4">
      <c r="A1258" s="14" t="str">
        <f t="shared" si="19"/>
        <v>01</v>
      </c>
    </row>
    <row r="1259" spans="1:1" x14ac:dyDescent="0.4">
      <c r="A1259" s="14" t="str">
        <f t="shared" si="19"/>
        <v>01</v>
      </c>
    </row>
    <row r="1260" spans="1:1" x14ac:dyDescent="0.4">
      <c r="A1260" s="14" t="str">
        <f t="shared" si="19"/>
        <v>01</v>
      </c>
    </row>
    <row r="1261" spans="1:1" x14ac:dyDescent="0.4">
      <c r="A1261" s="14" t="str">
        <f t="shared" si="19"/>
        <v>01</v>
      </c>
    </row>
    <row r="1262" spans="1:1" x14ac:dyDescent="0.4">
      <c r="A1262" s="14" t="str">
        <f t="shared" si="19"/>
        <v>01</v>
      </c>
    </row>
    <row r="1263" spans="1:1" x14ac:dyDescent="0.4">
      <c r="A1263" s="14" t="str">
        <f t="shared" si="19"/>
        <v>01</v>
      </c>
    </row>
    <row r="1264" spans="1:1" x14ac:dyDescent="0.4">
      <c r="A1264" s="14" t="str">
        <f t="shared" si="19"/>
        <v>01</v>
      </c>
    </row>
    <row r="1265" spans="1:1" x14ac:dyDescent="0.4">
      <c r="A1265" s="14" t="str">
        <f t="shared" si="19"/>
        <v>01</v>
      </c>
    </row>
    <row r="1266" spans="1:1" x14ac:dyDescent="0.4">
      <c r="A1266" s="14" t="str">
        <f t="shared" si="19"/>
        <v>01</v>
      </c>
    </row>
    <row r="1267" spans="1:1" x14ac:dyDescent="0.4">
      <c r="A1267" s="14" t="str">
        <f t="shared" si="19"/>
        <v>01</v>
      </c>
    </row>
    <row r="1268" spans="1:1" x14ac:dyDescent="0.4">
      <c r="A1268" s="14" t="str">
        <f t="shared" si="19"/>
        <v>01</v>
      </c>
    </row>
    <row r="1269" spans="1:1" x14ac:dyDescent="0.4">
      <c r="A1269" s="14" t="str">
        <f t="shared" si="19"/>
        <v>01</v>
      </c>
    </row>
    <row r="1270" spans="1:1" x14ac:dyDescent="0.4">
      <c r="A1270" s="14" t="str">
        <f t="shared" si="19"/>
        <v>01</v>
      </c>
    </row>
    <row r="1271" spans="1:1" x14ac:dyDescent="0.4">
      <c r="A1271" s="14" t="str">
        <f t="shared" si="19"/>
        <v>01</v>
      </c>
    </row>
    <row r="1272" spans="1:1" x14ac:dyDescent="0.4">
      <c r="A1272" s="14" t="str">
        <f t="shared" si="19"/>
        <v>01</v>
      </c>
    </row>
    <row r="1273" spans="1:1" x14ac:dyDescent="0.4">
      <c r="A1273" s="14" t="str">
        <f t="shared" si="19"/>
        <v>01</v>
      </c>
    </row>
    <row r="1274" spans="1:1" x14ac:dyDescent="0.4">
      <c r="A1274" s="14" t="str">
        <f t="shared" si="19"/>
        <v>01</v>
      </c>
    </row>
    <row r="1275" spans="1:1" x14ac:dyDescent="0.4">
      <c r="A1275" s="14" t="str">
        <f t="shared" si="19"/>
        <v>01</v>
      </c>
    </row>
    <row r="1276" spans="1:1" x14ac:dyDescent="0.4">
      <c r="A1276" s="14" t="str">
        <f t="shared" si="19"/>
        <v>01</v>
      </c>
    </row>
    <row r="1277" spans="1:1" x14ac:dyDescent="0.4">
      <c r="A1277" s="14" t="str">
        <f t="shared" si="19"/>
        <v>01</v>
      </c>
    </row>
    <row r="1278" spans="1:1" x14ac:dyDescent="0.4">
      <c r="A1278" s="14" t="str">
        <f t="shared" si="19"/>
        <v>01</v>
      </c>
    </row>
    <row r="1279" spans="1:1" x14ac:dyDescent="0.4">
      <c r="A1279" s="14" t="str">
        <f t="shared" si="19"/>
        <v>01</v>
      </c>
    </row>
    <row r="1280" spans="1:1" x14ac:dyDescent="0.4">
      <c r="A1280" s="14" t="str">
        <f t="shared" si="19"/>
        <v>01</v>
      </c>
    </row>
    <row r="1281" spans="1:1" x14ac:dyDescent="0.4">
      <c r="A1281" s="14" t="str">
        <f t="shared" si="19"/>
        <v>01</v>
      </c>
    </row>
    <row r="1282" spans="1:1" x14ac:dyDescent="0.4">
      <c r="A1282" s="14" t="str">
        <f t="shared" si="19"/>
        <v>01</v>
      </c>
    </row>
    <row r="1283" spans="1:1" x14ac:dyDescent="0.4">
      <c r="A1283" s="14" t="str">
        <f t="shared" ref="A1283:A1346" si="20">TEXT(L1283,"MM")</f>
        <v>01</v>
      </c>
    </row>
    <row r="1284" spans="1:1" x14ac:dyDescent="0.4">
      <c r="A1284" s="14" t="str">
        <f t="shared" si="20"/>
        <v>01</v>
      </c>
    </row>
    <row r="1285" spans="1:1" x14ac:dyDescent="0.4">
      <c r="A1285" s="14" t="str">
        <f t="shared" si="20"/>
        <v>01</v>
      </c>
    </row>
    <row r="1286" spans="1:1" x14ac:dyDescent="0.4">
      <c r="A1286" s="14" t="str">
        <f t="shared" si="20"/>
        <v>01</v>
      </c>
    </row>
    <row r="1287" spans="1:1" x14ac:dyDescent="0.4">
      <c r="A1287" s="14" t="str">
        <f t="shared" si="20"/>
        <v>01</v>
      </c>
    </row>
    <row r="1288" spans="1:1" x14ac:dyDescent="0.4">
      <c r="A1288" s="14" t="str">
        <f t="shared" si="20"/>
        <v>01</v>
      </c>
    </row>
    <row r="1289" spans="1:1" x14ac:dyDescent="0.4">
      <c r="A1289" s="14" t="str">
        <f t="shared" si="20"/>
        <v>01</v>
      </c>
    </row>
    <row r="1290" spans="1:1" x14ac:dyDescent="0.4">
      <c r="A1290" s="14" t="str">
        <f t="shared" si="20"/>
        <v>01</v>
      </c>
    </row>
    <row r="1291" spans="1:1" x14ac:dyDescent="0.4">
      <c r="A1291" s="14" t="str">
        <f t="shared" si="20"/>
        <v>01</v>
      </c>
    </row>
    <row r="1292" spans="1:1" x14ac:dyDescent="0.4">
      <c r="A1292" s="14" t="str">
        <f t="shared" si="20"/>
        <v>01</v>
      </c>
    </row>
    <row r="1293" spans="1:1" x14ac:dyDescent="0.4">
      <c r="A1293" s="14" t="str">
        <f t="shared" si="20"/>
        <v>01</v>
      </c>
    </row>
    <row r="1294" spans="1:1" x14ac:dyDescent="0.4">
      <c r="A1294" s="14" t="str">
        <f t="shared" si="20"/>
        <v>01</v>
      </c>
    </row>
    <row r="1295" spans="1:1" x14ac:dyDescent="0.4">
      <c r="A1295" s="14" t="str">
        <f t="shared" si="20"/>
        <v>01</v>
      </c>
    </row>
    <row r="1296" spans="1:1" x14ac:dyDescent="0.4">
      <c r="A1296" s="14" t="str">
        <f t="shared" si="20"/>
        <v>01</v>
      </c>
    </row>
    <row r="1297" spans="1:1" x14ac:dyDescent="0.4">
      <c r="A1297" s="14" t="str">
        <f t="shared" si="20"/>
        <v>01</v>
      </c>
    </row>
    <row r="1298" spans="1:1" x14ac:dyDescent="0.4">
      <c r="A1298" s="14" t="str">
        <f t="shared" si="20"/>
        <v>01</v>
      </c>
    </row>
    <row r="1299" spans="1:1" x14ac:dyDescent="0.4">
      <c r="A1299" s="14" t="str">
        <f t="shared" si="20"/>
        <v>01</v>
      </c>
    </row>
    <row r="1300" spans="1:1" x14ac:dyDescent="0.4">
      <c r="A1300" s="14" t="str">
        <f t="shared" si="20"/>
        <v>01</v>
      </c>
    </row>
    <row r="1301" spans="1:1" x14ac:dyDescent="0.4">
      <c r="A1301" s="14" t="str">
        <f t="shared" si="20"/>
        <v>01</v>
      </c>
    </row>
    <row r="1302" spans="1:1" x14ac:dyDescent="0.4">
      <c r="A1302" s="14" t="str">
        <f t="shared" si="20"/>
        <v>01</v>
      </c>
    </row>
    <row r="1303" spans="1:1" x14ac:dyDescent="0.4">
      <c r="A1303" s="14" t="str">
        <f t="shared" si="20"/>
        <v>01</v>
      </c>
    </row>
    <row r="1304" spans="1:1" x14ac:dyDescent="0.4">
      <c r="A1304" s="14" t="str">
        <f t="shared" si="20"/>
        <v>01</v>
      </c>
    </row>
    <row r="1305" spans="1:1" x14ac:dyDescent="0.4">
      <c r="A1305" s="14" t="str">
        <f t="shared" si="20"/>
        <v>01</v>
      </c>
    </row>
    <row r="1306" spans="1:1" x14ac:dyDescent="0.4">
      <c r="A1306" s="14" t="str">
        <f t="shared" si="20"/>
        <v>01</v>
      </c>
    </row>
    <row r="1307" spans="1:1" x14ac:dyDescent="0.4">
      <c r="A1307" s="14" t="str">
        <f t="shared" si="20"/>
        <v>01</v>
      </c>
    </row>
    <row r="1308" spans="1:1" x14ac:dyDescent="0.4">
      <c r="A1308" s="14" t="str">
        <f t="shared" si="20"/>
        <v>01</v>
      </c>
    </row>
    <row r="1309" spans="1:1" x14ac:dyDescent="0.4">
      <c r="A1309" s="14" t="str">
        <f t="shared" si="20"/>
        <v>01</v>
      </c>
    </row>
    <row r="1310" spans="1:1" x14ac:dyDescent="0.4">
      <c r="A1310" s="14" t="str">
        <f t="shared" si="20"/>
        <v>01</v>
      </c>
    </row>
    <row r="1311" spans="1:1" x14ac:dyDescent="0.4">
      <c r="A1311" s="14" t="str">
        <f t="shared" si="20"/>
        <v>01</v>
      </c>
    </row>
    <row r="1312" spans="1:1" x14ac:dyDescent="0.4">
      <c r="A1312" s="14" t="str">
        <f t="shared" si="20"/>
        <v>01</v>
      </c>
    </row>
    <row r="1313" spans="1:1" x14ac:dyDescent="0.4">
      <c r="A1313" s="14" t="str">
        <f t="shared" si="20"/>
        <v>01</v>
      </c>
    </row>
    <row r="1314" spans="1:1" x14ac:dyDescent="0.4">
      <c r="A1314" s="14" t="str">
        <f t="shared" si="20"/>
        <v>01</v>
      </c>
    </row>
    <row r="1315" spans="1:1" x14ac:dyDescent="0.4">
      <c r="A1315" s="14" t="str">
        <f t="shared" si="20"/>
        <v>01</v>
      </c>
    </row>
    <row r="1316" spans="1:1" x14ac:dyDescent="0.4">
      <c r="A1316" s="14" t="str">
        <f t="shared" si="20"/>
        <v>01</v>
      </c>
    </row>
    <row r="1317" spans="1:1" x14ac:dyDescent="0.4">
      <c r="A1317" s="14" t="str">
        <f t="shared" si="20"/>
        <v>01</v>
      </c>
    </row>
    <row r="1318" spans="1:1" x14ac:dyDescent="0.4">
      <c r="A1318" s="14" t="str">
        <f t="shared" si="20"/>
        <v>01</v>
      </c>
    </row>
    <row r="1319" spans="1:1" x14ac:dyDescent="0.4">
      <c r="A1319" s="14" t="str">
        <f t="shared" si="20"/>
        <v>01</v>
      </c>
    </row>
    <row r="1320" spans="1:1" x14ac:dyDescent="0.4">
      <c r="A1320" s="14" t="str">
        <f t="shared" si="20"/>
        <v>01</v>
      </c>
    </row>
    <row r="1321" spans="1:1" x14ac:dyDescent="0.4">
      <c r="A1321" s="14" t="str">
        <f t="shared" si="20"/>
        <v>01</v>
      </c>
    </row>
    <row r="1322" spans="1:1" x14ac:dyDescent="0.4">
      <c r="A1322" s="14" t="str">
        <f t="shared" si="20"/>
        <v>01</v>
      </c>
    </row>
    <row r="1323" spans="1:1" x14ac:dyDescent="0.4">
      <c r="A1323" s="14" t="str">
        <f t="shared" si="20"/>
        <v>01</v>
      </c>
    </row>
    <row r="1324" spans="1:1" x14ac:dyDescent="0.4">
      <c r="A1324" s="14" t="str">
        <f t="shared" si="20"/>
        <v>01</v>
      </c>
    </row>
    <row r="1325" spans="1:1" x14ac:dyDescent="0.4">
      <c r="A1325" s="14" t="str">
        <f t="shared" si="20"/>
        <v>01</v>
      </c>
    </row>
    <row r="1326" spans="1:1" x14ac:dyDescent="0.4">
      <c r="A1326" s="14" t="str">
        <f t="shared" si="20"/>
        <v>01</v>
      </c>
    </row>
    <row r="1327" spans="1:1" x14ac:dyDescent="0.4">
      <c r="A1327" s="14" t="str">
        <f t="shared" si="20"/>
        <v>01</v>
      </c>
    </row>
    <row r="1328" spans="1:1" x14ac:dyDescent="0.4">
      <c r="A1328" s="14" t="str">
        <f t="shared" si="20"/>
        <v>01</v>
      </c>
    </row>
    <row r="1329" spans="1:1" x14ac:dyDescent="0.4">
      <c r="A1329" s="14" t="str">
        <f t="shared" si="20"/>
        <v>01</v>
      </c>
    </row>
    <row r="1330" spans="1:1" x14ac:dyDescent="0.4">
      <c r="A1330" s="14" t="str">
        <f t="shared" si="20"/>
        <v>01</v>
      </c>
    </row>
    <row r="1331" spans="1:1" x14ac:dyDescent="0.4">
      <c r="A1331" s="14" t="str">
        <f t="shared" si="20"/>
        <v>01</v>
      </c>
    </row>
    <row r="1332" spans="1:1" x14ac:dyDescent="0.4">
      <c r="A1332" s="14" t="str">
        <f t="shared" si="20"/>
        <v>01</v>
      </c>
    </row>
    <row r="1333" spans="1:1" x14ac:dyDescent="0.4">
      <c r="A1333" s="14" t="str">
        <f t="shared" si="20"/>
        <v>01</v>
      </c>
    </row>
    <row r="1334" spans="1:1" x14ac:dyDescent="0.4">
      <c r="A1334" s="14" t="str">
        <f t="shared" si="20"/>
        <v>01</v>
      </c>
    </row>
    <row r="1335" spans="1:1" x14ac:dyDescent="0.4">
      <c r="A1335" s="14" t="str">
        <f t="shared" si="20"/>
        <v>01</v>
      </c>
    </row>
    <row r="1336" spans="1:1" x14ac:dyDescent="0.4">
      <c r="A1336" s="14" t="str">
        <f t="shared" si="20"/>
        <v>01</v>
      </c>
    </row>
    <row r="1337" spans="1:1" x14ac:dyDescent="0.4">
      <c r="A1337" s="14" t="str">
        <f t="shared" si="20"/>
        <v>01</v>
      </c>
    </row>
    <row r="1338" spans="1:1" x14ac:dyDescent="0.4">
      <c r="A1338" s="14" t="str">
        <f t="shared" si="20"/>
        <v>01</v>
      </c>
    </row>
    <row r="1339" spans="1:1" x14ac:dyDescent="0.4">
      <c r="A1339" s="14" t="str">
        <f t="shared" si="20"/>
        <v>01</v>
      </c>
    </row>
    <row r="1340" spans="1:1" x14ac:dyDescent="0.4">
      <c r="A1340" s="14" t="str">
        <f t="shared" si="20"/>
        <v>01</v>
      </c>
    </row>
    <row r="1341" spans="1:1" x14ac:dyDescent="0.4">
      <c r="A1341" s="14" t="str">
        <f t="shared" si="20"/>
        <v>01</v>
      </c>
    </row>
    <row r="1342" spans="1:1" x14ac:dyDescent="0.4">
      <c r="A1342" s="14" t="str">
        <f t="shared" si="20"/>
        <v>01</v>
      </c>
    </row>
    <row r="1343" spans="1:1" x14ac:dyDescent="0.4">
      <c r="A1343" s="14" t="str">
        <f t="shared" si="20"/>
        <v>01</v>
      </c>
    </row>
    <row r="1344" spans="1:1" x14ac:dyDescent="0.4">
      <c r="A1344" s="14" t="str">
        <f t="shared" si="20"/>
        <v>01</v>
      </c>
    </row>
    <row r="1345" spans="1:1" x14ac:dyDescent="0.4">
      <c r="A1345" s="14" t="str">
        <f t="shared" si="20"/>
        <v>01</v>
      </c>
    </row>
    <row r="1346" spans="1:1" x14ac:dyDescent="0.4">
      <c r="A1346" s="14" t="str">
        <f t="shared" si="20"/>
        <v>01</v>
      </c>
    </row>
    <row r="1347" spans="1:1" x14ac:dyDescent="0.4">
      <c r="A1347" s="14" t="str">
        <f t="shared" ref="A1347:A1410" si="21">TEXT(L1347,"MM")</f>
        <v>01</v>
      </c>
    </row>
    <row r="1348" spans="1:1" x14ac:dyDescent="0.4">
      <c r="A1348" s="14" t="str">
        <f t="shared" si="21"/>
        <v>01</v>
      </c>
    </row>
    <row r="1349" spans="1:1" x14ac:dyDescent="0.4">
      <c r="A1349" s="14" t="str">
        <f t="shared" si="21"/>
        <v>01</v>
      </c>
    </row>
    <row r="1350" spans="1:1" x14ac:dyDescent="0.4">
      <c r="A1350" s="14" t="str">
        <f t="shared" si="21"/>
        <v>01</v>
      </c>
    </row>
    <row r="1351" spans="1:1" x14ac:dyDescent="0.4">
      <c r="A1351" s="14" t="str">
        <f t="shared" si="21"/>
        <v>01</v>
      </c>
    </row>
    <row r="1352" spans="1:1" x14ac:dyDescent="0.4">
      <c r="A1352" s="14" t="str">
        <f t="shared" si="21"/>
        <v>01</v>
      </c>
    </row>
    <row r="1353" spans="1:1" x14ac:dyDescent="0.4">
      <c r="A1353" s="14" t="str">
        <f t="shared" si="21"/>
        <v>01</v>
      </c>
    </row>
    <row r="1354" spans="1:1" x14ac:dyDescent="0.4">
      <c r="A1354" s="14" t="str">
        <f t="shared" si="21"/>
        <v>01</v>
      </c>
    </row>
    <row r="1355" spans="1:1" x14ac:dyDescent="0.4">
      <c r="A1355" s="14" t="str">
        <f t="shared" si="21"/>
        <v>01</v>
      </c>
    </row>
    <row r="1356" spans="1:1" x14ac:dyDescent="0.4">
      <c r="A1356" s="14" t="str">
        <f t="shared" si="21"/>
        <v>01</v>
      </c>
    </row>
    <row r="1357" spans="1:1" x14ac:dyDescent="0.4">
      <c r="A1357" s="14" t="str">
        <f t="shared" si="21"/>
        <v>01</v>
      </c>
    </row>
    <row r="1358" spans="1:1" x14ac:dyDescent="0.4">
      <c r="A1358" s="14" t="str">
        <f t="shared" si="21"/>
        <v>01</v>
      </c>
    </row>
    <row r="1359" spans="1:1" x14ac:dyDescent="0.4">
      <c r="A1359" s="14" t="str">
        <f t="shared" si="21"/>
        <v>01</v>
      </c>
    </row>
    <row r="1360" spans="1:1" x14ac:dyDescent="0.4">
      <c r="A1360" s="14" t="str">
        <f t="shared" si="21"/>
        <v>01</v>
      </c>
    </row>
    <row r="1361" spans="1:1" x14ac:dyDescent="0.4">
      <c r="A1361" s="14" t="str">
        <f t="shared" si="21"/>
        <v>01</v>
      </c>
    </row>
    <row r="1362" spans="1:1" x14ac:dyDescent="0.4">
      <c r="A1362" s="14" t="str">
        <f t="shared" si="21"/>
        <v>01</v>
      </c>
    </row>
    <row r="1363" spans="1:1" x14ac:dyDescent="0.4">
      <c r="A1363" s="14" t="str">
        <f t="shared" si="21"/>
        <v>01</v>
      </c>
    </row>
    <row r="1364" spans="1:1" x14ac:dyDescent="0.4">
      <c r="A1364" s="14" t="str">
        <f t="shared" si="21"/>
        <v>01</v>
      </c>
    </row>
    <row r="1365" spans="1:1" x14ac:dyDescent="0.4">
      <c r="A1365" s="14" t="str">
        <f t="shared" si="21"/>
        <v>01</v>
      </c>
    </row>
    <row r="1366" spans="1:1" x14ac:dyDescent="0.4">
      <c r="A1366" s="14" t="str">
        <f t="shared" si="21"/>
        <v>01</v>
      </c>
    </row>
    <row r="1367" spans="1:1" x14ac:dyDescent="0.4">
      <c r="A1367" s="14" t="str">
        <f t="shared" si="21"/>
        <v>01</v>
      </c>
    </row>
    <row r="1368" spans="1:1" x14ac:dyDescent="0.4">
      <c r="A1368" s="14" t="str">
        <f t="shared" si="21"/>
        <v>01</v>
      </c>
    </row>
    <row r="1369" spans="1:1" x14ac:dyDescent="0.4">
      <c r="A1369" s="14" t="str">
        <f t="shared" si="21"/>
        <v>01</v>
      </c>
    </row>
    <row r="1370" spans="1:1" x14ac:dyDescent="0.4">
      <c r="A1370" s="14" t="str">
        <f t="shared" si="21"/>
        <v>01</v>
      </c>
    </row>
    <row r="1371" spans="1:1" x14ac:dyDescent="0.4">
      <c r="A1371" s="14" t="str">
        <f t="shared" si="21"/>
        <v>01</v>
      </c>
    </row>
    <row r="1372" spans="1:1" x14ac:dyDescent="0.4">
      <c r="A1372" s="14" t="str">
        <f t="shared" si="21"/>
        <v>01</v>
      </c>
    </row>
    <row r="1373" spans="1:1" x14ac:dyDescent="0.4">
      <c r="A1373" s="14" t="str">
        <f t="shared" si="21"/>
        <v>01</v>
      </c>
    </row>
    <row r="1374" spans="1:1" x14ac:dyDescent="0.4">
      <c r="A1374" s="14" t="str">
        <f t="shared" si="21"/>
        <v>01</v>
      </c>
    </row>
    <row r="1375" spans="1:1" x14ac:dyDescent="0.4">
      <c r="A1375" s="14" t="str">
        <f t="shared" si="21"/>
        <v>01</v>
      </c>
    </row>
    <row r="1376" spans="1:1" x14ac:dyDescent="0.4">
      <c r="A1376" s="14" t="str">
        <f t="shared" si="21"/>
        <v>01</v>
      </c>
    </row>
    <row r="1377" spans="1:1" x14ac:dyDescent="0.4">
      <c r="A1377" s="14" t="str">
        <f t="shared" si="21"/>
        <v>01</v>
      </c>
    </row>
    <row r="1378" spans="1:1" x14ac:dyDescent="0.4">
      <c r="A1378" s="14" t="str">
        <f t="shared" si="21"/>
        <v>01</v>
      </c>
    </row>
    <row r="1379" spans="1:1" x14ac:dyDescent="0.4">
      <c r="A1379" s="14" t="str">
        <f t="shared" si="21"/>
        <v>01</v>
      </c>
    </row>
    <row r="1380" spans="1:1" x14ac:dyDescent="0.4">
      <c r="A1380" s="14" t="str">
        <f t="shared" si="21"/>
        <v>01</v>
      </c>
    </row>
    <row r="1381" spans="1:1" x14ac:dyDescent="0.4">
      <c r="A1381" s="14" t="str">
        <f t="shared" si="21"/>
        <v>01</v>
      </c>
    </row>
    <row r="1382" spans="1:1" x14ac:dyDescent="0.4">
      <c r="A1382" s="14" t="str">
        <f t="shared" si="21"/>
        <v>01</v>
      </c>
    </row>
    <row r="1383" spans="1:1" x14ac:dyDescent="0.4">
      <c r="A1383" s="14" t="str">
        <f t="shared" si="21"/>
        <v>01</v>
      </c>
    </row>
    <row r="1384" spans="1:1" x14ac:dyDescent="0.4">
      <c r="A1384" s="14" t="str">
        <f t="shared" si="21"/>
        <v>01</v>
      </c>
    </row>
    <row r="1385" spans="1:1" x14ac:dyDescent="0.4">
      <c r="A1385" s="14" t="str">
        <f t="shared" si="21"/>
        <v>01</v>
      </c>
    </row>
    <row r="1386" spans="1:1" x14ac:dyDescent="0.4">
      <c r="A1386" s="14" t="str">
        <f t="shared" si="21"/>
        <v>01</v>
      </c>
    </row>
    <row r="1387" spans="1:1" x14ac:dyDescent="0.4">
      <c r="A1387" s="14" t="str">
        <f t="shared" si="21"/>
        <v>01</v>
      </c>
    </row>
    <row r="1388" spans="1:1" x14ac:dyDescent="0.4">
      <c r="A1388" s="14" t="str">
        <f t="shared" si="21"/>
        <v>01</v>
      </c>
    </row>
    <row r="1389" spans="1:1" x14ac:dyDescent="0.4">
      <c r="A1389" s="14" t="str">
        <f t="shared" si="21"/>
        <v>01</v>
      </c>
    </row>
    <row r="1390" spans="1:1" x14ac:dyDescent="0.4">
      <c r="A1390" s="14" t="str">
        <f t="shared" si="21"/>
        <v>01</v>
      </c>
    </row>
    <row r="1391" spans="1:1" x14ac:dyDescent="0.4">
      <c r="A1391" s="14" t="str">
        <f t="shared" si="21"/>
        <v>01</v>
      </c>
    </row>
    <row r="1392" spans="1:1" x14ac:dyDescent="0.4">
      <c r="A1392" s="14" t="str">
        <f t="shared" si="21"/>
        <v>01</v>
      </c>
    </row>
    <row r="1393" spans="1:1" x14ac:dyDescent="0.4">
      <c r="A1393" s="14" t="str">
        <f t="shared" si="21"/>
        <v>01</v>
      </c>
    </row>
    <row r="1394" spans="1:1" x14ac:dyDescent="0.4">
      <c r="A1394" s="14" t="str">
        <f t="shared" si="21"/>
        <v>01</v>
      </c>
    </row>
    <row r="1395" spans="1:1" x14ac:dyDescent="0.4">
      <c r="A1395" s="14" t="str">
        <f t="shared" si="21"/>
        <v>01</v>
      </c>
    </row>
    <row r="1396" spans="1:1" x14ac:dyDescent="0.4">
      <c r="A1396" s="14" t="str">
        <f t="shared" si="21"/>
        <v>01</v>
      </c>
    </row>
    <row r="1397" spans="1:1" x14ac:dyDescent="0.4">
      <c r="A1397" s="14" t="str">
        <f t="shared" si="21"/>
        <v>01</v>
      </c>
    </row>
    <row r="1398" spans="1:1" x14ac:dyDescent="0.4">
      <c r="A1398" s="14" t="str">
        <f t="shared" si="21"/>
        <v>01</v>
      </c>
    </row>
    <row r="1399" spans="1:1" x14ac:dyDescent="0.4">
      <c r="A1399" s="14" t="str">
        <f t="shared" si="21"/>
        <v>01</v>
      </c>
    </row>
    <row r="1400" spans="1:1" x14ac:dyDescent="0.4">
      <c r="A1400" s="14" t="str">
        <f t="shared" si="21"/>
        <v>01</v>
      </c>
    </row>
    <row r="1401" spans="1:1" x14ac:dyDescent="0.4">
      <c r="A1401" s="14" t="str">
        <f t="shared" si="21"/>
        <v>01</v>
      </c>
    </row>
    <row r="1402" spans="1:1" x14ac:dyDescent="0.4">
      <c r="A1402" s="14" t="str">
        <f t="shared" si="21"/>
        <v>01</v>
      </c>
    </row>
    <row r="1403" spans="1:1" x14ac:dyDescent="0.4">
      <c r="A1403" s="14" t="str">
        <f t="shared" si="21"/>
        <v>01</v>
      </c>
    </row>
    <row r="1404" spans="1:1" x14ac:dyDescent="0.4">
      <c r="A1404" s="14" t="str">
        <f t="shared" si="21"/>
        <v>01</v>
      </c>
    </row>
    <row r="1405" spans="1:1" x14ac:dyDescent="0.4">
      <c r="A1405" s="14" t="str">
        <f t="shared" si="21"/>
        <v>01</v>
      </c>
    </row>
    <row r="1406" spans="1:1" x14ac:dyDescent="0.4">
      <c r="A1406" s="14" t="str">
        <f t="shared" si="21"/>
        <v>01</v>
      </c>
    </row>
    <row r="1407" spans="1:1" x14ac:dyDescent="0.4">
      <c r="A1407" s="14" t="str">
        <f t="shared" si="21"/>
        <v>01</v>
      </c>
    </row>
    <row r="1408" spans="1:1" x14ac:dyDescent="0.4">
      <c r="A1408" s="14" t="str">
        <f t="shared" si="21"/>
        <v>01</v>
      </c>
    </row>
    <row r="1409" spans="1:1" x14ac:dyDescent="0.4">
      <c r="A1409" s="14" t="str">
        <f t="shared" si="21"/>
        <v>01</v>
      </c>
    </row>
    <row r="1410" spans="1:1" x14ac:dyDescent="0.4">
      <c r="A1410" s="14" t="str">
        <f t="shared" si="21"/>
        <v>01</v>
      </c>
    </row>
    <row r="1411" spans="1:1" x14ac:dyDescent="0.4">
      <c r="A1411" s="14" t="str">
        <f t="shared" ref="A1411:A1474" si="22">TEXT(L1411,"MM")</f>
        <v>01</v>
      </c>
    </row>
    <row r="1412" spans="1:1" x14ac:dyDescent="0.4">
      <c r="A1412" s="14" t="str">
        <f t="shared" si="22"/>
        <v>01</v>
      </c>
    </row>
    <row r="1413" spans="1:1" x14ac:dyDescent="0.4">
      <c r="A1413" s="14" t="str">
        <f t="shared" si="22"/>
        <v>01</v>
      </c>
    </row>
    <row r="1414" spans="1:1" x14ac:dyDescent="0.4">
      <c r="A1414" s="14" t="str">
        <f t="shared" si="22"/>
        <v>01</v>
      </c>
    </row>
    <row r="1415" spans="1:1" x14ac:dyDescent="0.4">
      <c r="A1415" s="14" t="str">
        <f t="shared" si="22"/>
        <v>01</v>
      </c>
    </row>
    <row r="1416" spans="1:1" x14ac:dyDescent="0.4">
      <c r="A1416" s="14" t="str">
        <f t="shared" si="22"/>
        <v>01</v>
      </c>
    </row>
    <row r="1417" spans="1:1" x14ac:dyDescent="0.4">
      <c r="A1417" s="14" t="str">
        <f t="shared" si="22"/>
        <v>01</v>
      </c>
    </row>
    <row r="1418" spans="1:1" x14ac:dyDescent="0.4">
      <c r="A1418" s="14" t="str">
        <f t="shared" si="22"/>
        <v>01</v>
      </c>
    </row>
    <row r="1419" spans="1:1" x14ac:dyDescent="0.4">
      <c r="A1419" s="14" t="str">
        <f t="shared" si="22"/>
        <v>01</v>
      </c>
    </row>
    <row r="1420" spans="1:1" x14ac:dyDescent="0.4">
      <c r="A1420" s="14" t="str">
        <f t="shared" si="22"/>
        <v>01</v>
      </c>
    </row>
    <row r="1421" spans="1:1" x14ac:dyDescent="0.4">
      <c r="A1421" s="14" t="str">
        <f t="shared" si="22"/>
        <v>01</v>
      </c>
    </row>
    <row r="1422" spans="1:1" x14ac:dyDescent="0.4">
      <c r="A1422" s="14" t="str">
        <f t="shared" si="22"/>
        <v>01</v>
      </c>
    </row>
    <row r="1423" spans="1:1" x14ac:dyDescent="0.4">
      <c r="A1423" s="14" t="str">
        <f t="shared" si="22"/>
        <v>01</v>
      </c>
    </row>
    <row r="1424" spans="1:1" x14ac:dyDescent="0.4">
      <c r="A1424" s="14" t="str">
        <f t="shared" si="22"/>
        <v>01</v>
      </c>
    </row>
    <row r="1425" spans="1:1" x14ac:dyDescent="0.4">
      <c r="A1425" s="14" t="str">
        <f t="shared" si="22"/>
        <v>01</v>
      </c>
    </row>
    <row r="1426" spans="1:1" x14ac:dyDescent="0.4">
      <c r="A1426" s="14" t="str">
        <f t="shared" si="22"/>
        <v>01</v>
      </c>
    </row>
    <row r="1427" spans="1:1" x14ac:dyDescent="0.4">
      <c r="A1427" s="14" t="str">
        <f t="shared" si="22"/>
        <v>01</v>
      </c>
    </row>
    <row r="1428" spans="1:1" x14ac:dyDescent="0.4">
      <c r="A1428" s="14" t="str">
        <f t="shared" si="22"/>
        <v>01</v>
      </c>
    </row>
    <row r="1429" spans="1:1" x14ac:dyDescent="0.4">
      <c r="A1429" s="14" t="str">
        <f t="shared" si="22"/>
        <v>01</v>
      </c>
    </row>
    <row r="1430" spans="1:1" x14ac:dyDescent="0.4">
      <c r="A1430" s="14" t="str">
        <f t="shared" si="22"/>
        <v>01</v>
      </c>
    </row>
    <row r="1431" spans="1:1" x14ac:dyDescent="0.4">
      <c r="A1431" s="14" t="str">
        <f t="shared" si="22"/>
        <v>01</v>
      </c>
    </row>
    <row r="1432" spans="1:1" x14ac:dyDescent="0.4">
      <c r="A1432" s="14" t="str">
        <f t="shared" si="22"/>
        <v>01</v>
      </c>
    </row>
    <row r="1433" spans="1:1" x14ac:dyDescent="0.4">
      <c r="A1433" s="14" t="str">
        <f t="shared" si="22"/>
        <v>01</v>
      </c>
    </row>
    <row r="1434" spans="1:1" x14ac:dyDescent="0.4">
      <c r="A1434" s="14" t="str">
        <f t="shared" si="22"/>
        <v>01</v>
      </c>
    </row>
    <row r="1435" spans="1:1" x14ac:dyDescent="0.4">
      <c r="A1435" s="14" t="str">
        <f t="shared" si="22"/>
        <v>01</v>
      </c>
    </row>
    <row r="1436" spans="1:1" x14ac:dyDescent="0.4">
      <c r="A1436" s="14" t="str">
        <f t="shared" si="22"/>
        <v>01</v>
      </c>
    </row>
    <row r="1437" spans="1:1" x14ac:dyDescent="0.4">
      <c r="A1437" s="14" t="str">
        <f t="shared" si="22"/>
        <v>01</v>
      </c>
    </row>
    <row r="1438" spans="1:1" x14ac:dyDescent="0.4">
      <c r="A1438" s="14" t="str">
        <f t="shared" si="22"/>
        <v>01</v>
      </c>
    </row>
    <row r="1439" spans="1:1" x14ac:dyDescent="0.4">
      <c r="A1439" s="14" t="str">
        <f t="shared" si="22"/>
        <v>01</v>
      </c>
    </row>
    <row r="1440" spans="1:1" x14ac:dyDescent="0.4">
      <c r="A1440" s="14" t="str">
        <f t="shared" si="22"/>
        <v>01</v>
      </c>
    </row>
    <row r="1441" spans="1:1" x14ac:dyDescent="0.4">
      <c r="A1441" s="14" t="str">
        <f t="shared" si="22"/>
        <v>01</v>
      </c>
    </row>
    <row r="1442" spans="1:1" x14ac:dyDescent="0.4">
      <c r="A1442" s="14" t="str">
        <f t="shared" si="22"/>
        <v>01</v>
      </c>
    </row>
    <row r="1443" spans="1:1" x14ac:dyDescent="0.4">
      <c r="A1443" s="14" t="str">
        <f t="shared" si="22"/>
        <v>01</v>
      </c>
    </row>
    <row r="1444" spans="1:1" x14ac:dyDescent="0.4">
      <c r="A1444" s="14" t="str">
        <f t="shared" si="22"/>
        <v>01</v>
      </c>
    </row>
    <row r="1445" spans="1:1" x14ac:dyDescent="0.4">
      <c r="A1445" s="14" t="str">
        <f t="shared" si="22"/>
        <v>01</v>
      </c>
    </row>
    <row r="1446" spans="1:1" x14ac:dyDescent="0.4">
      <c r="A1446" s="14" t="str">
        <f t="shared" si="22"/>
        <v>01</v>
      </c>
    </row>
    <row r="1447" spans="1:1" x14ac:dyDescent="0.4">
      <c r="A1447" s="14" t="str">
        <f t="shared" si="22"/>
        <v>01</v>
      </c>
    </row>
    <row r="1448" spans="1:1" x14ac:dyDescent="0.4">
      <c r="A1448" s="14" t="str">
        <f t="shared" si="22"/>
        <v>01</v>
      </c>
    </row>
    <row r="1449" spans="1:1" x14ac:dyDescent="0.4">
      <c r="A1449" s="14" t="str">
        <f t="shared" si="22"/>
        <v>01</v>
      </c>
    </row>
    <row r="1450" spans="1:1" x14ac:dyDescent="0.4">
      <c r="A1450" s="14" t="str">
        <f t="shared" si="22"/>
        <v>01</v>
      </c>
    </row>
    <row r="1451" spans="1:1" x14ac:dyDescent="0.4">
      <c r="A1451" s="14" t="str">
        <f t="shared" si="22"/>
        <v>01</v>
      </c>
    </row>
    <row r="1452" spans="1:1" x14ac:dyDescent="0.4">
      <c r="A1452" s="14" t="str">
        <f t="shared" si="22"/>
        <v>01</v>
      </c>
    </row>
    <row r="1453" spans="1:1" x14ac:dyDescent="0.4">
      <c r="A1453" s="14" t="str">
        <f t="shared" si="22"/>
        <v>01</v>
      </c>
    </row>
    <row r="1454" spans="1:1" x14ac:dyDescent="0.4">
      <c r="A1454" s="14" t="str">
        <f t="shared" si="22"/>
        <v>01</v>
      </c>
    </row>
    <row r="1455" spans="1:1" x14ac:dyDescent="0.4">
      <c r="A1455" s="14" t="str">
        <f t="shared" si="22"/>
        <v>01</v>
      </c>
    </row>
    <row r="1456" spans="1:1" x14ac:dyDescent="0.4">
      <c r="A1456" s="14" t="str">
        <f t="shared" si="22"/>
        <v>01</v>
      </c>
    </row>
    <row r="1457" spans="1:1" x14ac:dyDescent="0.4">
      <c r="A1457" s="14" t="str">
        <f t="shared" si="22"/>
        <v>01</v>
      </c>
    </row>
    <row r="1458" spans="1:1" x14ac:dyDescent="0.4">
      <c r="A1458" s="14" t="str">
        <f t="shared" si="22"/>
        <v>01</v>
      </c>
    </row>
    <row r="1459" spans="1:1" x14ac:dyDescent="0.4">
      <c r="A1459" s="14" t="str">
        <f t="shared" si="22"/>
        <v>01</v>
      </c>
    </row>
    <row r="1460" spans="1:1" x14ac:dyDescent="0.4">
      <c r="A1460" s="14" t="str">
        <f t="shared" si="22"/>
        <v>01</v>
      </c>
    </row>
    <row r="1461" spans="1:1" x14ac:dyDescent="0.4">
      <c r="A1461" s="14" t="str">
        <f t="shared" si="22"/>
        <v>01</v>
      </c>
    </row>
    <row r="1462" spans="1:1" x14ac:dyDescent="0.4">
      <c r="A1462" s="14" t="str">
        <f t="shared" si="22"/>
        <v>01</v>
      </c>
    </row>
    <row r="1463" spans="1:1" x14ac:dyDescent="0.4">
      <c r="A1463" s="14" t="str">
        <f t="shared" si="22"/>
        <v>01</v>
      </c>
    </row>
    <row r="1464" spans="1:1" x14ac:dyDescent="0.4">
      <c r="A1464" s="14" t="str">
        <f t="shared" si="22"/>
        <v>01</v>
      </c>
    </row>
    <row r="1465" spans="1:1" x14ac:dyDescent="0.4">
      <c r="A1465" s="14" t="str">
        <f t="shared" si="22"/>
        <v>01</v>
      </c>
    </row>
    <row r="1466" spans="1:1" x14ac:dyDescent="0.4">
      <c r="A1466" s="14" t="str">
        <f t="shared" si="22"/>
        <v>01</v>
      </c>
    </row>
    <row r="1467" spans="1:1" x14ac:dyDescent="0.4">
      <c r="A1467" s="14" t="str">
        <f t="shared" si="22"/>
        <v>01</v>
      </c>
    </row>
    <row r="1468" spans="1:1" x14ac:dyDescent="0.4">
      <c r="A1468" s="14" t="str">
        <f t="shared" si="22"/>
        <v>01</v>
      </c>
    </row>
    <row r="1469" spans="1:1" x14ac:dyDescent="0.4">
      <c r="A1469" s="14" t="str">
        <f t="shared" si="22"/>
        <v>01</v>
      </c>
    </row>
    <row r="1470" spans="1:1" x14ac:dyDescent="0.4">
      <c r="A1470" s="14" t="str">
        <f t="shared" si="22"/>
        <v>01</v>
      </c>
    </row>
    <row r="1471" spans="1:1" x14ac:dyDescent="0.4">
      <c r="A1471" s="14" t="str">
        <f t="shared" si="22"/>
        <v>01</v>
      </c>
    </row>
    <row r="1472" spans="1:1" x14ac:dyDescent="0.4">
      <c r="A1472" s="14" t="str">
        <f t="shared" si="22"/>
        <v>01</v>
      </c>
    </row>
    <row r="1473" spans="1:1" x14ac:dyDescent="0.4">
      <c r="A1473" s="14" t="str">
        <f t="shared" si="22"/>
        <v>01</v>
      </c>
    </row>
    <row r="1474" spans="1:1" x14ac:dyDescent="0.4">
      <c r="A1474" s="14" t="str">
        <f t="shared" si="22"/>
        <v>01</v>
      </c>
    </row>
    <row r="1475" spans="1:1" x14ac:dyDescent="0.4">
      <c r="A1475" s="14" t="str">
        <f t="shared" ref="A1475:A1538" si="23">TEXT(L1475,"MM")</f>
        <v>01</v>
      </c>
    </row>
    <row r="1476" spans="1:1" x14ac:dyDescent="0.4">
      <c r="A1476" s="14" t="str">
        <f t="shared" si="23"/>
        <v>01</v>
      </c>
    </row>
    <row r="1477" spans="1:1" x14ac:dyDescent="0.4">
      <c r="A1477" s="14" t="str">
        <f t="shared" si="23"/>
        <v>01</v>
      </c>
    </row>
    <row r="1478" spans="1:1" x14ac:dyDescent="0.4">
      <c r="A1478" s="14" t="str">
        <f t="shared" si="23"/>
        <v>01</v>
      </c>
    </row>
    <row r="1479" spans="1:1" x14ac:dyDescent="0.4">
      <c r="A1479" s="14" t="str">
        <f t="shared" si="23"/>
        <v>01</v>
      </c>
    </row>
    <row r="1480" spans="1:1" x14ac:dyDescent="0.4">
      <c r="A1480" s="14" t="str">
        <f t="shared" si="23"/>
        <v>01</v>
      </c>
    </row>
    <row r="1481" spans="1:1" x14ac:dyDescent="0.4">
      <c r="A1481" s="14" t="str">
        <f t="shared" si="23"/>
        <v>01</v>
      </c>
    </row>
    <row r="1482" spans="1:1" x14ac:dyDescent="0.4">
      <c r="A1482" s="14" t="str">
        <f t="shared" si="23"/>
        <v>01</v>
      </c>
    </row>
    <row r="1483" spans="1:1" x14ac:dyDescent="0.4">
      <c r="A1483" s="14" t="str">
        <f t="shared" si="23"/>
        <v>01</v>
      </c>
    </row>
    <row r="1484" spans="1:1" x14ac:dyDescent="0.4">
      <c r="A1484" s="14" t="str">
        <f t="shared" si="23"/>
        <v>01</v>
      </c>
    </row>
    <row r="1485" spans="1:1" x14ac:dyDescent="0.4">
      <c r="A1485" s="14" t="str">
        <f t="shared" si="23"/>
        <v>01</v>
      </c>
    </row>
    <row r="1486" spans="1:1" x14ac:dyDescent="0.4">
      <c r="A1486" s="14" t="str">
        <f t="shared" si="23"/>
        <v>01</v>
      </c>
    </row>
    <row r="1487" spans="1:1" x14ac:dyDescent="0.4">
      <c r="A1487" s="14" t="str">
        <f t="shared" si="23"/>
        <v>01</v>
      </c>
    </row>
    <row r="1488" spans="1:1" x14ac:dyDescent="0.4">
      <c r="A1488" s="14" t="str">
        <f t="shared" si="23"/>
        <v>01</v>
      </c>
    </row>
    <row r="1489" spans="1:1" x14ac:dyDescent="0.4">
      <c r="A1489" s="14" t="str">
        <f t="shared" si="23"/>
        <v>01</v>
      </c>
    </row>
    <row r="1490" spans="1:1" x14ac:dyDescent="0.4">
      <c r="A1490" s="14" t="str">
        <f t="shared" si="23"/>
        <v>01</v>
      </c>
    </row>
    <row r="1491" spans="1:1" x14ac:dyDescent="0.4">
      <c r="A1491" s="14" t="str">
        <f t="shared" si="23"/>
        <v>01</v>
      </c>
    </row>
    <row r="1492" spans="1:1" x14ac:dyDescent="0.4">
      <c r="A1492" s="14" t="str">
        <f t="shared" si="23"/>
        <v>01</v>
      </c>
    </row>
    <row r="1493" spans="1:1" x14ac:dyDescent="0.4">
      <c r="A1493" s="14" t="str">
        <f t="shared" si="23"/>
        <v>01</v>
      </c>
    </row>
    <row r="1494" spans="1:1" x14ac:dyDescent="0.4">
      <c r="A1494" s="14" t="str">
        <f t="shared" si="23"/>
        <v>01</v>
      </c>
    </row>
    <row r="1495" spans="1:1" x14ac:dyDescent="0.4">
      <c r="A1495" s="14" t="str">
        <f t="shared" si="23"/>
        <v>01</v>
      </c>
    </row>
    <row r="1496" spans="1:1" x14ac:dyDescent="0.4">
      <c r="A1496" s="14" t="str">
        <f t="shared" si="23"/>
        <v>01</v>
      </c>
    </row>
    <row r="1497" spans="1:1" x14ac:dyDescent="0.4">
      <c r="A1497" s="14" t="str">
        <f t="shared" si="23"/>
        <v>01</v>
      </c>
    </row>
    <row r="1498" spans="1:1" x14ac:dyDescent="0.4">
      <c r="A1498" s="14" t="str">
        <f t="shared" si="23"/>
        <v>01</v>
      </c>
    </row>
    <row r="1499" spans="1:1" x14ac:dyDescent="0.4">
      <c r="A1499" s="14" t="str">
        <f t="shared" si="23"/>
        <v>01</v>
      </c>
    </row>
    <row r="1500" spans="1:1" x14ac:dyDescent="0.4">
      <c r="A1500" s="14" t="str">
        <f t="shared" si="23"/>
        <v>01</v>
      </c>
    </row>
    <row r="1501" spans="1:1" x14ac:dyDescent="0.4">
      <c r="A1501" s="14" t="str">
        <f t="shared" si="23"/>
        <v>01</v>
      </c>
    </row>
    <row r="1502" spans="1:1" x14ac:dyDescent="0.4">
      <c r="A1502" s="14" t="str">
        <f t="shared" si="23"/>
        <v>01</v>
      </c>
    </row>
    <row r="1503" spans="1:1" x14ac:dyDescent="0.4">
      <c r="A1503" s="14" t="str">
        <f t="shared" si="23"/>
        <v>01</v>
      </c>
    </row>
    <row r="1504" spans="1:1" x14ac:dyDescent="0.4">
      <c r="A1504" s="14" t="str">
        <f t="shared" si="23"/>
        <v>01</v>
      </c>
    </row>
    <row r="1505" spans="1:1" x14ac:dyDescent="0.4">
      <c r="A1505" s="14" t="str">
        <f t="shared" si="23"/>
        <v>01</v>
      </c>
    </row>
    <row r="1506" spans="1:1" x14ac:dyDescent="0.4">
      <c r="A1506" s="14" t="str">
        <f t="shared" si="23"/>
        <v>01</v>
      </c>
    </row>
    <row r="1507" spans="1:1" x14ac:dyDescent="0.4">
      <c r="A1507" s="14" t="str">
        <f t="shared" si="23"/>
        <v>01</v>
      </c>
    </row>
    <row r="1508" spans="1:1" x14ac:dyDescent="0.4">
      <c r="A1508" s="14" t="str">
        <f t="shared" si="23"/>
        <v>01</v>
      </c>
    </row>
    <row r="1509" spans="1:1" x14ac:dyDescent="0.4">
      <c r="A1509" s="14" t="str">
        <f t="shared" si="23"/>
        <v>01</v>
      </c>
    </row>
    <row r="1510" spans="1:1" x14ac:dyDescent="0.4">
      <c r="A1510" s="14" t="str">
        <f t="shared" si="23"/>
        <v>01</v>
      </c>
    </row>
    <row r="1511" spans="1:1" x14ac:dyDescent="0.4">
      <c r="A1511" s="14" t="str">
        <f t="shared" si="23"/>
        <v>01</v>
      </c>
    </row>
    <row r="1512" spans="1:1" x14ac:dyDescent="0.4">
      <c r="A1512" s="14" t="str">
        <f t="shared" si="23"/>
        <v>01</v>
      </c>
    </row>
    <row r="1513" spans="1:1" x14ac:dyDescent="0.4">
      <c r="A1513" s="14" t="str">
        <f t="shared" si="23"/>
        <v>01</v>
      </c>
    </row>
    <row r="1514" spans="1:1" x14ac:dyDescent="0.4">
      <c r="A1514" s="14" t="str">
        <f t="shared" si="23"/>
        <v>01</v>
      </c>
    </row>
    <row r="1515" spans="1:1" x14ac:dyDescent="0.4">
      <c r="A1515" s="14" t="str">
        <f t="shared" si="23"/>
        <v>01</v>
      </c>
    </row>
    <row r="1516" spans="1:1" x14ac:dyDescent="0.4">
      <c r="A1516" s="14" t="str">
        <f t="shared" si="23"/>
        <v>01</v>
      </c>
    </row>
    <row r="1517" spans="1:1" x14ac:dyDescent="0.4">
      <c r="A1517" s="14" t="str">
        <f t="shared" si="23"/>
        <v>01</v>
      </c>
    </row>
    <row r="1518" spans="1:1" x14ac:dyDescent="0.4">
      <c r="A1518" s="14" t="str">
        <f t="shared" si="23"/>
        <v>01</v>
      </c>
    </row>
    <row r="1519" spans="1:1" x14ac:dyDescent="0.4">
      <c r="A1519" s="14" t="str">
        <f t="shared" si="23"/>
        <v>01</v>
      </c>
    </row>
    <row r="1520" spans="1:1" x14ac:dyDescent="0.4">
      <c r="A1520" s="14" t="str">
        <f t="shared" si="23"/>
        <v>01</v>
      </c>
    </row>
    <row r="1521" spans="1:1" x14ac:dyDescent="0.4">
      <c r="A1521" s="14" t="str">
        <f t="shared" si="23"/>
        <v>01</v>
      </c>
    </row>
    <row r="1522" spans="1:1" x14ac:dyDescent="0.4">
      <c r="A1522" s="14" t="str">
        <f t="shared" si="23"/>
        <v>01</v>
      </c>
    </row>
    <row r="1523" spans="1:1" x14ac:dyDescent="0.4">
      <c r="A1523" s="14" t="str">
        <f t="shared" si="23"/>
        <v>01</v>
      </c>
    </row>
    <row r="1524" spans="1:1" x14ac:dyDescent="0.4">
      <c r="A1524" s="14" t="str">
        <f t="shared" si="23"/>
        <v>01</v>
      </c>
    </row>
    <row r="1525" spans="1:1" x14ac:dyDescent="0.4">
      <c r="A1525" s="14" t="str">
        <f t="shared" si="23"/>
        <v>01</v>
      </c>
    </row>
    <row r="1526" spans="1:1" x14ac:dyDescent="0.4">
      <c r="A1526" s="14" t="str">
        <f t="shared" si="23"/>
        <v>01</v>
      </c>
    </row>
    <row r="1527" spans="1:1" x14ac:dyDescent="0.4">
      <c r="A1527" s="14" t="str">
        <f t="shared" si="23"/>
        <v>01</v>
      </c>
    </row>
    <row r="1528" spans="1:1" x14ac:dyDescent="0.4">
      <c r="A1528" s="14" t="str">
        <f t="shared" si="23"/>
        <v>01</v>
      </c>
    </row>
    <row r="1529" spans="1:1" x14ac:dyDescent="0.4">
      <c r="A1529" s="14" t="str">
        <f t="shared" si="23"/>
        <v>01</v>
      </c>
    </row>
    <row r="1530" spans="1:1" x14ac:dyDescent="0.4">
      <c r="A1530" s="14" t="str">
        <f t="shared" si="23"/>
        <v>01</v>
      </c>
    </row>
    <row r="1531" spans="1:1" x14ac:dyDescent="0.4">
      <c r="A1531" s="14" t="str">
        <f t="shared" si="23"/>
        <v>01</v>
      </c>
    </row>
    <row r="1532" spans="1:1" x14ac:dyDescent="0.4">
      <c r="A1532" s="14" t="str">
        <f t="shared" si="23"/>
        <v>01</v>
      </c>
    </row>
    <row r="1533" spans="1:1" x14ac:dyDescent="0.4">
      <c r="A1533" s="14" t="str">
        <f t="shared" si="23"/>
        <v>01</v>
      </c>
    </row>
    <row r="1534" spans="1:1" x14ac:dyDescent="0.4">
      <c r="A1534" s="14" t="str">
        <f t="shared" si="23"/>
        <v>01</v>
      </c>
    </row>
    <row r="1535" spans="1:1" x14ac:dyDescent="0.4">
      <c r="A1535" s="14" t="str">
        <f t="shared" si="23"/>
        <v>01</v>
      </c>
    </row>
    <row r="1536" spans="1:1" x14ac:dyDescent="0.4">
      <c r="A1536" s="14" t="str">
        <f t="shared" si="23"/>
        <v>01</v>
      </c>
    </row>
    <row r="1537" spans="1:1" x14ac:dyDescent="0.4">
      <c r="A1537" s="14" t="str">
        <f t="shared" si="23"/>
        <v>01</v>
      </c>
    </row>
    <row r="1538" spans="1:1" x14ac:dyDescent="0.4">
      <c r="A1538" s="14" t="str">
        <f t="shared" si="23"/>
        <v>01</v>
      </c>
    </row>
    <row r="1539" spans="1:1" x14ac:dyDescent="0.4">
      <c r="A1539" s="14" t="str">
        <f t="shared" ref="A1539:A1602" si="24">TEXT(L1539,"MM")</f>
        <v>01</v>
      </c>
    </row>
    <row r="1540" spans="1:1" x14ac:dyDescent="0.4">
      <c r="A1540" s="14" t="str">
        <f t="shared" si="24"/>
        <v>01</v>
      </c>
    </row>
    <row r="1541" spans="1:1" x14ac:dyDescent="0.4">
      <c r="A1541" s="14" t="str">
        <f t="shared" si="24"/>
        <v>01</v>
      </c>
    </row>
    <row r="1542" spans="1:1" x14ac:dyDescent="0.4">
      <c r="A1542" s="14" t="str">
        <f t="shared" si="24"/>
        <v>01</v>
      </c>
    </row>
    <row r="1543" spans="1:1" x14ac:dyDescent="0.4">
      <c r="A1543" s="14" t="str">
        <f t="shared" si="24"/>
        <v>01</v>
      </c>
    </row>
    <row r="1544" spans="1:1" x14ac:dyDescent="0.4">
      <c r="A1544" s="14" t="str">
        <f t="shared" si="24"/>
        <v>01</v>
      </c>
    </row>
    <row r="1545" spans="1:1" x14ac:dyDescent="0.4">
      <c r="A1545" s="14" t="str">
        <f t="shared" si="24"/>
        <v>01</v>
      </c>
    </row>
    <row r="1546" spans="1:1" x14ac:dyDescent="0.4">
      <c r="A1546" s="14" t="str">
        <f t="shared" si="24"/>
        <v>01</v>
      </c>
    </row>
    <row r="1547" spans="1:1" x14ac:dyDescent="0.4">
      <c r="A1547" s="14" t="str">
        <f t="shared" si="24"/>
        <v>01</v>
      </c>
    </row>
    <row r="1548" spans="1:1" x14ac:dyDescent="0.4">
      <c r="A1548" s="14" t="str">
        <f t="shared" si="24"/>
        <v>01</v>
      </c>
    </row>
    <row r="1549" spans="1:1" x14ac:dyDescent="0.4">
      <c r="A1549" s="14" t="str">
        <f t="shared" si="24"/>
        <v>01</v>
      </c>
    </row>
    <row r="1550" spans="1:1" x14ac:dyDescent="0.4">
      <c r="A1550" s="14" t="str">
        <f t="shared" si="24"/>
        <v>01</v>
      </c>
    </row>
    <row r="1551" spans="1:1" x14ac:dyDescent="0.4">
      <c r="A1551" s="14" t="str">
        <f t="shared" si="24"/>
        <v>01</v>
      </c>
    </row>
    <row r="1552" spans="1:1" x14ac:dyDescent="0.4">
      <c r="A1552" s="14" t="str">
        <f t="shared" si="24"/>
        <v>01</v>
      </c>
    </row>
    <row r="1553" spans="1:1" x14ac:dyDescent="0.4">
      <c r="A1553" s="14" t="str">
        <f t="shared" si="24"/>
        <v>01</v>
      </c>
    </row>
    <row r="1554" spans="1:1" x14ac:dyDescent="0.4">
      <c r="A1554" s="14" t="str">
        <f t="shared" si="24"/>
        <v>01</v>
      </c>
    </row>
    <row r="1555" spans="1:1" x14ac:dyDescent="0.4">
      <c r="A1555" s="14" t="str">
        <f t="shared" si="24"/>
        <v>01</v>
      </c>
    </row>
    <row r="1556" spans="1:1" x14ac:dyDescent="0.4">
      <c r="A1556" s="14" t="str">
        <f t="shared" si="24"/>
        <v>01</v>
      </c>
    </row>
    <row r="1557" spans="1:1" x14ac:dyDescent="0.4">
      <c r="A1557" s="14" t="str">
        <f t="shared" si="24"/>
        <v>01</v>
      </c>
    </row>
    <row r="1558" spans="1:1" x14ac:dyDescent="0.4">
      <c r="A1558" s="14" t="str">
        <f t="shared" si="24"/>
        <v>01</v>
      </c>
    </row>
    <row r="1559" spans="1:1" x14ac:dyDescent="0.4">
      <c r="A1559" s="14" t="str">
        <f t="shared" si="24"/>
        <v>01</v>
      </c>
    </row>
    <row r="1560" spans="1:1" x14ac:dyDescent="0.4">
      <c r="A1560" s="14" t="str">
        <f t="shared" si="24"/>
        <v>01</v>
      </c>
    </row>
    <row r="1561" spans="1:1" x14ac:dyDescent="0.4">
      <c r="A1561" s="14" t="str">
        <f t="shared" si="24"/>
        <v>01</v>
      </c>
    </row>
    <row r="1562" spans="1:1" x14ac:dyDescent="0.4">
      <c r="A1562" s="14" t="str">
        <f t="shared" si="24"/>
        <v>01</v>
      </c>
    </row>
    <row r="1563" spans="1:1" x14ac:dyDescent="0.4">
      <c r="A1563" s="14" t="str">
        <f t="shared" si="24"/>
        <v>01</v>
      </c>
    </row>
    <row r="1564" spans="1:1" x14ac:dyDescent="0.4">
      <c r="A1564" s="14" t="str">
        <f t="shared" si="24"/>
        <v>01</v>
      </c>
    </row>
    <row r="1565" spans="1:1" x14ac:dyDescent="0.4">
      <c r="A1565" s="14" t="str">
        <f t="shared" si="24"/>
        <v>01</v>
      </c>
    </row>
    <row r="1566" spans="1:1" x14ac:dyDescent="0.4">
      <c r="A1566" s="14" t="str">
        <f t="shared" si="24"/>
        <v>01</v>
      </c>
    </row>
    <row r="1567" spans="1:1" x14ac:dyDescent="0.4">
      <c r="A1567" s="14" t="str">
        <f t="shared" si="24"/>
        <v>01</v>
      </c>
    </row>
    <row r="1568" spans="1:1" x14ac:dyDescent="0.4">
      <c r="A1568" s="14" t="str">
        <f t="shared" si="24"/>
        <v>01</v>
      </c>
    </row>
    <row r="1569" spans="1:1" x14ac:dyDescent="0.4">
      <c r="A1569" s="14" t="str">
        <f t="shared" si="24"/>
        <v>01</v>
      </c>
    </row>
    <row r="1570" spans="1:1" x14ac:dyDescent="0.4">
      <c r="A1570" s="14" t="str">
        <f t="shared" si="24"/>
        <v>01</v>
      </c>
    </row>
    <row r="1571" spans="1:1" x14ac:dyDescent="0.4">
      <c r="A1571" s="14" t="str">
        <f t="shared" si="24"/>
        <v>01</v>
      </c>
    </row>
    <row r="1572" spans="1:1" x14ac:dyDescent="0.4">
      <c r="A1572" s="14" t="str">
        <f t="shared" si="24"/>
        <v>01</v>
      </c>
    </row>
    <row r="1573" spans="1:1" x14ac:dyDescent="0.4">
      <c r="A1573" s="14" t="str">
        <f t="shared" si="24"/>
        <v>01</v>
      </c>
    </row>
    <row r="1574" spans="1:1" x14ac:dyDescent="0.4">
      <c r="A1574" s="14" t="str">
        <f t="shared" si="24"/>
        <v>01</v>
      </c>
    </row>
    <row r="1575" spans="1:1" x14ac:dyDescent="0.4">
      <c r="A1575" s="14" t="str">
        <f t="shared" si="24"/>
        <v>01</v>
      </c>
    </row>
    <row r="1576" spans="1:1" x14ac:dyDescent="0.4">
      <c r="A1576" s="14" t="str">
        <f t="shared" si="24"/>
        <v>01</v>
      </c>
    </row>
    <row r="1577" spans="1:1" x14ac:dyDescent="0.4">
      <c r="A1577" s="14" t="str">
        <f t="shared" si="24"/>
        <v>01</v>
      </c>
    </row>
    <row r="1578" spans="1:1" x14ac:dyDescent="0.4">
      <c r="A1578" s="14" t="str">
        <f t="shared" si="24"/>
        <v>01</v>
      </c>
    </row>
    <row r="1579" spans="1:1" x14ac:dyDescent="0.4">
      <c r="A1579" s="14" t="str">
        <f t="shared" si="24"/>
        <v>01</v>
      </c>
    </row>
    <row r="1580" spans="1:1" x14ac:dyDescent="0.4">
      <c r="A1580" s="14" t="str">
        <f t="shared" si="24"/>
        <v>01</v>
      </c>
    </row>
    <row r="1581" spans="1:1" x14ac:dyDescent="0.4">
      <c r="A1581" s="14" t="str">
        <f t="shared" si="24"/>
        <v>01</v>
      </c>
    </row>
    <row r="1582" spans="1:1" x14ac:dyDescent="0.4">
      <c r="A1582" s="14" t="str">
        <f t="shared" si="24"/>
        <v>01</v>
      </c>
    </row>
    <row r="1583" spans="1:1" x14ac:dyDescent="0.4">
      <c r="A1583" s="14" t="str">
        <f t="shared" si="24"/>
        <v>01</v>
      </c>
    </row>
    <row r="1584" spans="1:1" x14ac:dyDescent="0.4">
      <c r="A1584" s="14" t="str">
        <f t="shared" si="24"/>
        <v>01</v>
      </c>
    </row>
    <row r="1585" spans="1:1" x14ac:dyDescent="0.4">
      <c r="A1585" s="14" t="str">
        <f t="shared" si="24"/>
        <v>01</v>
      </c>
    </row>
    <row r="1586" spans="1:1" x14ac:dyDescent="0.4">
      <c r="A1586" s="14" t="str">
        <f t="shared" si="24"/>
        <v>01</v>
      </c>
    </row>
    <row r="1587" spans="1:1" x14ac:dyDescent="0.4">
      <c r="A1587" s="14" t="str">
        <f t="shared" si="24"/>
        <v>01</v>
      </c>
    </row>
    <row r="1588" spans="1:1" x14ac:dyDescent="0.4">
      <c r="A1588" s="14" t="str">
        <f t="shared" si="24"/>
        <v>01</v>
      </c>
    </row>
    <row r="1589" spans="1:1" x14ac:dyDescent="0.4">
      <c r="A1589" s="14" t="str">
        <f t="shared" si="24"/>
        <v>01</v>
      </c>
    </row>
    <row r="1590" spans="1:1" x14ac:dyDescent="0.4">
      <c r="A1590" s="14" t="str">
        <f t="shared" si="24"/>
        <v>01</v>
      </c>
    </row>
    <row r="1591" spans="1:1" x14ac:dyDescent="0.4">
      <c r="A1591" s="14" t="str">
        <f t="shared" si="24"/>
        <v>01</v>
      </c>
    </row>
    <row r="1592" spans="1:1" x14ac:dyDescent="0.4">
      <c r="A1592" s="14" t="str">
        <f t="shared" si="24"/>
        <v>01</v>
      </c>
    </row>
    <row r="1593" spans="1:1" x14ac:dyDescent="0.4">
      <c r="A1593" s="14" t="str">
        <f t="shared" si="24"/>
        <v>01</v>
      </c>
    </row>
    <row r="1594" spans="1:1" x14ac:dyDescent="0.4">
      <c r="A1594" s="14" t="str">
        <f t="shared" si="24"/>
        <v>01</v>
      </c>
    </row>
    <row r="1595" spans="1:1" x14ac:dyDescent="0.4">
      <c r="A1595" s="14" t="str">
        <f t="shared" si="24"/>
        <v>01</v>
      </c>
    </row>
    <row r="1596" spans="1:1" x14ac:dyDescent="0.4">
      <c r="A1596" s="14" t="str">
        <f t="shared" si="24"/>
        <v>01</v>
      </c>
    </row>
    <row r="1597" spans="1:1" x14ac:dyDescent="0.4">
      <c r="A1597" s="14" t="str">
        <f t="shared" si="24"/>
        <v>01</v>
      </c>
    </row>
    <row r="1598" spans="1:1" x14ac:dyDescent="0.4">
      <c r="A1598" s="14" t="str">
        <f t="shared" si="24"/>
        <v>01</v>
      </c>
    </row>
    <row r="1599" spans="1:1" x14ac:dyDescent="0.4">
      <c r="A1599" s="14" t="str">
        <f t="shared" si="24"/>
        <v>01</v>
      </c>
    </row>
    <row r="1600" spans="1:1" x14ac:dyDescent="0.4">
      <c r="A1600" s="14" t="str">
        <f t="shared" si="24"/>
        <v>01</v>
      </c>
    </row>
    <row r="1601" spans="1:1" x14ac:dyDescent="0.4">
      <c r="A1601" s="14" t="str">
        <f t="shared" si="24"/>
        <v>01</v>
      </c>
    </row>
    <row r="1602" spans="1:1" x14ac:dyDescent="0.4">
      <c r="A1602" s="14" t="str">
        <f t="shared" si="24"/>
        <v>01</v>
      </c>
    </row>
    <row r="1603" spans="1:1" x14ac:dyDescent="0.4">
      <c r="A1603" s="14" t="str">
        <f t="shared" ref="A1603:A1666" si="25">TEXT(L1603,"MM")</f>
        <v>01</v>
      </c>
    </row>
    <row r="1604" spans="1:1" x14ac:dyDescent="0.4">
      <c r="A1604" s="14" t="str">
        <f t="shared" si="25"/>
        <v>01</v>
      </c>
    </row>
    <row r="1605" spans="1:1" x14ac:dyDescent="0.4">
      <c r="A1605" s="14" t="str">
        <f t="shared" si="25"/>
        <v>01</v>
      </c>
    </row>
    <row r="1606" spans="1:1" x14ac:dyDescent="0.4">
      <c r="A1606" s="14" t="str">
        <f t="shared" si="25"/>
        <v>01</v>
      </c>
    </row>
    <row r="1607" spans="1:1" x14ac:dyDescent="0.4">
      <c r="A1607" s="14" t="str">
        <f t="shared" si="25"/>
        <v>01</v>
      </c>
    </row>
    <row r="1608" spans="1:1" x14ac:dyDescent="0.4">
      <c r="A1608" s="14" t="str">
        <f t="shared" si="25"/>
        <v>01</v>
      </c>
    </row>
    <row r="1609" spans="1:1" x14ac:dyDescent="0.4">
      <c r="A1609" s="14" t="str">
        <f t="shared" si="25"/>
        <v>01</v>
      </c>
    </row>
    <row r="1610" spans="1:1" x14ac:dyDescent="0.4">
      <c r="A1610" s="14" t="str">
        <f t="shared" si="25"/>
        <v>01</v>
      </c>
    </row>
    <row r="1611" spans="1:1" x14ac:dyDescent="0.4">
      <c r="A1611" s="14" t="str">
        <f t="shared" si="25"/>
        <v>01</v>
      </c>
    </row>
    <row r="1612" spans="1:1" x14ac:dyDescent="0.4">
      <c r="A1612" s="14" t="str">
        <f t="shared" si="25"/>
        <v>01</v>
      </c>
    </row>
    <row r="1613" spans="1:1" x14ac:dyDescent="0.4">
      <c r="A1613" s="14" t="str">
        <f t="shared" si="25"/>
        <v>01</v>
      </c>
    </row>
    <row r="1614" spans="1:1" x14ac:dyDescent="0.4">
      <c r="A1614" s="14" t="str">
        <f t="shared" si="25"/>
        <v>01</v>
      </c>
    </row>
    <row r="1615" spans="1:1" x14ac:dyDescent="0.4">
      <c r="A1615" s="14" t="str">
        <f t="shared" si="25"/>
        <v>01</v>
      </c>
    </row>
    <row r="1616" spans="1:1" x14ac:dyDescent="0.4">
      <c r="A1616" s="14" t="str">
        <f t="shared" si="25"/>
        <v>01</v>
      </c>
    </row>
    <row r="1617" spans="1:1" x14ac:dyDescent="0.4">
      <c r="A1617" s="14" t="str">
        <f t="shared" si="25"/>
        <v>01</v>
      </c>
    </row>
    <row r="1618" spans="1:1" x14ac:dyDescent="0.4">
      <c r="A1618" s="14" t="str">
        <f t="shared" si="25"/>
        <v>01</v>
      </c>
    </row>
    <row r="1619" spans="1:1" x14ac:dyDescent="0.4">
      <c r="A1619" s="14" t="str">
        <f t="shared" si="25"/>
        <v>01</v>
      </c>
    </row>
    <row r="1620" spans="1:1" x14ac:dyDescent="0.4">
      <c r="A1620" s="14" t="str">
        <f t="shared" si="25"/>
        <v>01</v>
      </c>
    </row>
    <row r="1621" spans="1:1" x14ac:dyDescent="0.4">
      <c r="A1621" s="14" t="str">
        <f t="shared" si="25"/>
        <v>01</v>
      </c>
    </row>
    <row r="1622" spans="1:1" x14ac:dyDescent="0.4">
      <c r="A1622" s="14" t="str">
        <f t="shared" si="25"/>
        <v>01</v>
      </c>
    </row>
    <row r="1623" spans="1:1" x14ac:dyDescent="0.4">
      <c r="A1623" s="14" t="str">
        <f t="shared" si="25"/>
        <v>01</v>
      </c>
    </row>
    <row r="1624" spans="1:1" x14ac:dyDescent="0.4">
      <c r="A1624" s="14" t="str">
        <f t="shared" si="25"/>
        <v>01</v>
      </c>
    </row>
    <row r="1625" spans="1:1" x14ac:dyDescent="0.4">
      <c r="A1625" s="14" t="str">
        <f t="shared" si="25"/>
        <v>01</v>
      </c>
    </row>
    <row r="1626" spans="1:1" x14ac:dyDescent="0.4">
      <c r="A1626" s="14" t="str">
        <f t="shared" si="25"/>
        <v>01</v>
      </c>
    </row>
    <row r="1627" spans="1:1" x14ac:dyDescent="0.4">
      <c r="A1627" s="14" t="str">
        <f t="shared" si="25"/>
        <v>01</v>
      </c>
    </row>
    <row r="1628" spans="1:1" x14ac:dyDescent="0.4">
      <c r="A1628" s="14" t="str">
        <f t="shared" si="25"/>
        <v>01</v>
      </c>
    </row>
    <row r="1629" spans="1:1" x14ac:dyDescent="0.4">
      <c r="A1629" s="14" t="str">
        <f t="shared" si="25"/>
        <v>01</v>
      </c>
    </row>
    <row r="1630" spans="1:1" x14ac:dyDescent="0.4">
      <c r="A1630" s="14" t="str">
        <f t="shared" si="25"/>
        <v>01</v>
      </c>
    </row>
    <row r="1631" spans="1:1" x14ac:dyDescent="0.4">
      <c r="A1631" s="14" t="str">
        <f t="shared" si="25"/>
        <v>01</v>
      </c>
    </row>
    <row r="1632" spans="1:1" x14ac:dyDescent="0.4">
      <c r="A1632" s="14" t="str">
        <f t="shared" si="25"/>
        <v>01</v>
      </c>
    </row>
    <row r="1633" spans="1:1" x14ac:dyDescent="0.4">
      <c r="A1633" s="14" t="str">
        <f t="shared" si="25"/>
        <v>01</v>
      </c>
    </row>
    <row r="1634" spans="1:1" x14ac:dyDescent="0.4">
      <c r="A1634" s="14" t="str">
        <f t="shared" si="25"/>
        <v>01</v>
      </c>
    </row>
    <row r="1635" spans="1:1" x14ac:dyDescent="0.4">
      <c r="A1635" s="14" t="str">
        <f t="shared" si="25"/>
        <v>01</v>
      </c>
    </row>
    <row r="1636" spans="1:1" x14ac:dyDescent="0.4">
      <c r="A1636" s="14" t="str">
        <f t="shared" si="25"/>
        <v>01</v>
      </c>
    </row>
    <row r="1637" spans="1:1" x14ac:dyDescent="0.4">
      <c r="A1637" s="14" t="str">
        <f t="shared" si="25"/>
        <v>01</v>
      </c>
    </row>
    <row r="1638" spans="1:1" x14ac:dyDescent="0.4">
      <c r="A1638" s="14" t="str">
        <f t="shared" si="25"/>
        <v>01</v>
      </c>
    </row>
    <row r="1639" spans="1:1" x14ac:dyDescent="0.4">
      <c r="A1639" s="14" t="str">
        <f t="shared" si="25"/>
        <v>01</v>
      </c>
    </row>
    <row r="1640" spans="1:1" x14ac:dyDescent="0.4">
      <c r="A1640" s="14" t="str">
        <f t="shared" si="25"/>
        <v>01</v>
      </c>
    </row>
    <row r="1641" spans="1:1" x14ac:dyDescent="0.4">
      <c r="A1641" s="14" t="str">
        <f t="shared" si="25"/>
        <v>01</v>
      </c>
    </row>
    <row r="1642" spans="1:1" x14ac:dyDescent="0.4">
      <c r="A1642" s="14" t="str">
        <f t="shared" si="25"/>
        <v>01</v>
      </c>
    </row>
    <row r="1643" spans="1:1" x14ac:dyDescent="0.4">
      <c r="A1643" s="14" t="str">
        <f t="shared" si="25"/>
        <v>01</v>
      </c>
    </row>
    <row r="1644" spans="1:1" x14ac:dyDescent="0.4">
      <c r="A1644" s="14" t="str">
        <f t="shared" si="25"/>
        <v>01</v>
      </c>
    </row>
    <row r="1645" spans="1:1" x14ac:dyDescent="0.4">
      <c r="A1645" s="14" t="str">
        <f t="shared" si="25"/>
        <v>01</v>
      </c>
    </row>
    <row r="1646" spans="1:1" x14ac:dyDescent="0.4">
      <c r="A1646" s="14" t="str">
        <f t="shared" si="25"/>
        <v>01</v>
      </c>
    </row>
    <row r="1647" spans="1:1" x14ac:dyDescent="0.4">
      <c r="A1647" s="14" t="str">
        <f t="shared" si="25"/>
        <v>01</v>
      </c>
    </row>
    <row r="1648" spans="1:1" x14ac:dyDescent="0.4">
      <c r="A1648" s="14" t="str">
        <f t="shared" si="25"/>
        <v>01</v>
      </c>
    </row>
    <row r="1649" spans="1:1" x14ac:dyDescent="0.4">
      <c r="A1649" s="14" t="str">
        <f t="shared" si="25"/>
        <v>01</v>
      </c>
    </row>
    <row r="1650" spans="1:1" x14ac:dyDescent="0.4">
      <c r="A1650" s="14" t="str">
        <f t="shared" si="25"/>
        <v>01</v>
      </c>
    </row>
    <row r="1651" spans="1:1" x14ac:dyDescent="0.4">
      <c r="A1651" s="14" t="str">
        <f t="shared" si="25"/>
        <v>01</v>
      </c>
    </row>
    <row r="1652" spans="1:1" x14ac:dyDescent="0.4">
      <c r="A1652" s="14" t="str">
        <f t="shared" si="25"/>
        <v>01</v>
      </c>
    </row>
    <row r="1653" spans="1:1" x14ac:dyDescent="0.4">
      <c r="A1653" s="14" t="str">
        <f t="shared" si="25"/>
        <v>01</v>
      </c>
    </row>
    <row r="1654" spans="1:1" x14ac:dyDescent="0.4">
      <c r="A1654" s="14" t="str">
        <f t="shared" si="25"/>
        <v>01</v>
      </c>
    </row>
    <row r="1655" spans="1:1" x14ac:dyDescent="0.4">
      <c r="A1655" s="14" t="str">
        <f t="shared" si="25"/>
        <v>01</v>
      </c>
    </row>
    <row r="1656" spans="1:1" x14ac:dyDescent="0.4">
      <c r="A1656" s="14" t="str">
        <f t="shared" si="25"/>
        <v>01</v>
      </c>
    </row>
    <row r="1657" spans="1:1" x14ac:dyDescent="0.4">
      <c r="A1657" s="14" t="str">
        <f t="shared" si="25"/>
        <v>01</v>
      </c>
    </row>
    <row r="1658" spans="1:1" x14ac:dyDescent="0.4">
      <c r="A1658" s="14" t="str">
        <f t="shared" si="25"/>
        <v>01</v>
      </c>
    </row>
    <row r="1659" spans="1:1" x14ac:dyDescent="0.4">
      <c r="A1659" s="14" t="str">
        <f t="shared" si="25"/>
        <v>01</v>
      </c>
    </row>
    <row r="1660" spans="1:1" x14ac:dyDescent="0.4">
      <c r="A1660" s="14" t="str">
        <f t="shared" si="25"/>
        <v>01</v>
      </c>
    </row>
    <row r="1661" spans="1:1" x14ac:dyDescent="0.4">
      <c r="A1661" s="14" t="str">
        <f t="shared" si="25"/>
        <v>01</v>
      </c>
    </row>
    <row r="1662" spans="1:1" x14ac:dyDescent="0.4">
      <c r="A1662" s="14" t="str">
        <f t="shared" si="25"/>
        <v>01</v>
      </c>
    </row>
    <row r="1663" spans="1:1" x14ac:dyDescent="0.4">
      <c r="A1663" s="14" t="str">
        <f t="shared" si="25"/>
        <v>01</v>
      </c>
    </row>
    <row r="1664" spans="1:1" x14ac:dyDescent="0.4">
      <c r="A1664" s="14" t="str">
        <f t="shared" si="25"/>
        <v>01</v>
      </c>
    </row>
    <row r="1665" spans="1:1" x14ac:dyDescent="0.4">
      <c r="A1665" s="14" t="str">
        <f t="shared" si="25"/>
        <v>01</v>
      </c>
    </row>
    <row r="1666" spans="1:1" x14ac:dyDescent="0.4">
      <c r="A1666" s="14" t="str">
        <f t="shared" si="25"/>
        <v>01</v>
      </c>
    </row>
    <row r="1667" spans="1:1" x14ac:dyDescent="0.4">
      <c r="A1667" s="14" t="str">
        <f t="shared" ref="A1667:A1730" si="26">TEXT(L1667,"MM")</f>
        <v>01</v>
      </c>
    </row>
    <row r="1668" spans="1:1" x14ac:dyDescent="0.4">
      <c r="A1668" s="14" t="str">
        <f t="shared" si="26"/>
        <v>01</v>
      </c>
    </row>
    <row r="1669" spans="1:1" x14ac:dyDescent="0.4">
      <c r="A1669" s="14" t="str">
        <f t="shared" si="26"/>
        <v>01</v>
      </c>
    </row>
    <row r="1670" spans="1:1" x14ac:dyDescent="0.4">
      <c r="A1670" s="14" t="str">
        <f t="shared" si="26"/>
        <v>01</v>
      </c>
    </row>
    <row r="1671" spans="1:1" x14ac:dyDescent="0.4">
      <c r="A1671" s="14" t="str">
        <f t="shared" si="26"/>
        <v>01</v>
      </c>
    </row>
    <row r="1672" spans="1:1" x14ac:dyDescent="0.4">
      <c r="A1672" s="14" t="str">
        <f t="shared" si="26"/>
        <v>01</v>
      </c>
    </row>
    <row r="1673" spans="1:1" x14ac:dyDescent="0.4">
      <c r="A1673" s="14" t="str">
        <f t="shared" si="26"/>
        <v>01</v>
      </c>
    </row>
    <row r="1674" spans="1:1" x14ac:dyDescent="0.4">
      <c r="A1674" s="14" t="str">
        <f t="shared" si="26"/>
        <v>01</v>
      </c>
    </row>
    <row r="1675" spans="1:1" x14ac:dyDescent="0.4">
      <c r="A1675" s="14" t="str">
        <f t="shared" si="26"/>
        <v>01</v>
      </c>
    </row>
    <row r="1676" spans="1:1" x14ac:dyDescent="0.4">
      <c r="A1676" s="14" t="str">
        <f t="shared" si="26"/>
        <v>01</v>
      </c>
    </row>
    <row r="1677" spans="1:1" x14ac:dyDescent="0.4">
      <c r="A1677" s="14" t="str">
        <f t="shared" si="26"/>
        <v>01</v>
      </c>
    </row>
    <row r="1678" spans="1:1" x14ac:dyDescent="0.4">
      <c r="A1678" s="14" t="str">
        <f t="shared" si="26"/>
        <v>01</v>
      </c>
    </row>
    <row r="1679" spans="1:1" x14ac:dyDescent="0.4">
      <c r="A1679" s="14" t="str">
        <f t="shared" si="26"/>
        <v>01</v>
      </c>
    </row>
    <row r="1680" spans="1:1" x14ac:dyDescent="0.4">
      <c r="A1680" s="14" t="str">
        <f t="shared" si="26"/>
        <v>01</v>
      </c>
    </row>
    <row r="1681" spans="1:1" x14ac:dyDescent="0.4">
      <c r="A1681" s="14" t="str">
        <f t="shared" si="26"/>
        <v>01</v>
      </c>
    </row>
    <row r="1682" spans="1:1" x14ac:dyDescent="0.4">
      <c r="A1682" s="14" t="str">
        <f t="shared" si="26"/>
        <v>01</v>
      </c>
    </row>
    <row r="1683" spans="1:1" x14ac:dyDescent="0.4">
      <c r="A1683" s="14" t="str">
        <f t="shared" si="26"/>
        <v>01</v>
      </c>
    </row>
    <row r="1684" spans="1:1" x14ac:dyDescent="0.4">
      <c r="A1684" s="14" t="str">
        <f t="shared" si="26"/>
        <v>01</v>
      </c>
    </row>
    <row r="1685" spans="1:1" x14ac:dyDescent="0.4">
      <c r="A1685" s="14" t="str">
        <f t="shared" si="26"/>
        <v>01</v>
      </c>
    </row>
    <row r="1686" spans="1:1" x14ac:dyDescent="0.4">
      <c r="A1686" s="14" t="str">
        <f t="shared" si="26"/>
        <v>01</v>
      </c>
    </row>
    <row r="1687" spans="1:1" x14ac:dyDescent="0.4">
      <c r="A1687" s="14" t="str">
        <f t="shared" si="26"/>
        <v>01</v>
      </c>
    </row>
    <row r="1688" spans="1:1" x14ac:dyDescent="0.4">
      <c r="A1688" s="14" t="str">
        <f t="shared" si="26"/>
        <v>01</v>
      </c>
    </row>
    <row r="1689" spans="1:1" x14ac:dyDescent="0.4">
      <c r="A1689" s="14" t="str">
        <f t="shared" si="26"/>
        <v>01</v>
      </c>
    </row>
    <row r="1690" spans="1:1" x14ac:dyDescent="0.4">
      <c r="A1690" s="14" t="str">
        <f t="shared" si="26"/>
        <v>01</v>
      </c>
    </row>
    <row r="1691" spans="1:1" x14ac:dyDescent="0.4">
      <c r="A1691" s="14" t="str">
        <f t="shared" si="26"/>
        <v>01</v>
      </c>
    </row>
    <row r="1692" spans="1:1" x14ac:dyDescent="0.4">
      <c r="A1692" s="14" t="str">
        <f t="shared" si="26"/>
        <v>01</v>
      </c>
    </row>
    <row r="1693" spans="1:1" x14ac:dyDescent="0.4">
      <c r="A1693" s="14" t="str">
        <f t="shared" si="26"/>
        <v>01</v>
      </c>
    </row>
    <row r="1694" spans="1:1" x14ac:dyDescent="0.4">
      <c r="A1694" s="14" t="str">
        <f t="shared" si="26"/>
        <v>01</v>
      </c>
    </row>
    <row r="1695" spans="1:1" x14ac:dyDescent="0.4">
      <c r="A1695" s="14" t="str">
        <f t="shared" si="26"/>
        <v>01</v>
      </c>
    </row>
    <row r="1696" spans="1:1" x14ac:dyDescent="0.4">
      <c r="A1696" s="14" t="str">
        <f t="shared" si="26"/>
        <v>01</v>
      </c>
    </row>
    <row r="1697" spans="1:1" x14ac:dyDescent="0.4">
      <c r="A1697" s="14" t="str">
        <f t="shared" si="26"/>
        <v>01</v>
      </c>
    </row>
    <row r="1698" spans="1:1" x14ac:dyDescent="0.4">
      <c r="A1698" s="14" t="str">
        <f t="shared" si="26"/>
        <v>01</v>
      </c>
    </row>
    <row r="1699" spans="1:1" x14ac:dyDescent="0.4">
      <c r="A1699" s="14" t="str">
        <f t="shared" si="26"/>
        <v>01</v>
      </c>
    </row>
    <row r="1700" spans="1:1" x14ac:dyDescent="0.4">
      <c r="A1700" s="14" t="str">
        <f t="shared" si="26"/>
        <v>01</v>
      </c>
    </row>
    <row r="1701" spans="1:1" x14ac:dyDescent="0.4">
      <c r="A1701" s="14" t="str">
        <f t="shared" si="26"/>
        <v>01</v>
      </c>
    </row>
    <row r="1702" spans="1:1" x14ac:dyDescent="0.4">
      <c r="A1702" s="14" t="str">
        <f t="shared" si="26"/>
        <v>01</v>
      </c>
    </row>
    <row r="1703" spans="1:1" x14ac:dyDescent="0.4">
      <c r="A1703" s="14" t="str">
        <f t="shared" si="26"/>
        <v>01</v>
      </c>
    </row>
    <row r="1704" spans="1:1" x14ac:dyDescent="0.4">
      <c r="A1704" s="14" t="str">
        <f t="shared" si="26"/>
        <v>01</v>
      </c>
    </row>
    <row r="1705" spans="1:1" x14ac:dyDescent="0.4">
      <c r="A1705" s="14" t="str">
        <f t="shared" si="26"/>
        <v>01</v>
      </c>
    </row>
    <row r="1706" spans="1:1" x14ac:dyDescent="0.4">
      <c r="A1706" s="14" t="str">
        <f t="shared" si="26"/>
        <v>01</v>
      </c>
    </row>
    <row r="1707" spans="1:1" x14ac:dyDescent="0.4">
      <c r="A1707" s="14" t="str">
        <f t="shared" si="26"/>
        <v>01</v>
      </c>
    </row>
    <row r="1708" spans="1:1" x14ac:dyDescent="0.4">
      <c r="A1708" s="14" t="str">
        <f t="shared" si="26"/>
        <v>01</v>
      </c>
    </row>
    <row r="1709" spans="1:1" x14ac:dyDescent="0.4">
      <c r="A1709" s="14" t="str">
        <f t="shared" si="26"/>
        <v>01</v>
      </c>
    </row>
    <row r="1710" spans="1:1" x14ac:dyDescent="0.4">
      <c r="A1710" s="14" t="str">
        <f t="shared" si="26"/>
        <v>01</v>
      </c>
    </row>
    <row r="1711" spans="1:1" x14ac:dyDescent="0.4">
      <c r="A1711" s="14" t="str">
        <f t="shared" si="26"/>
        <v>01</v>
      </c>
    </row>
    <row r="1712" spans="1:1" x14ac:dyDescent="0.4">
      <c r="A1712" s="14" t="str">
        <f t="shared" si="26"/>
        <v>01</v>
      </c>
    </row>
    <row r="1713" spans="1:1" x14ac:dyDescent="0.4">
      <c r="A1713" s="14" t="str">
        <f t="shared" si="26"/>
        <v>01</v>
      </c>
    </row>
    <row r="1714" spans="1:1" x14ac:dyDescent="0.4">
      <c r="A1714" s="14" t="str">
        <f t="shared" si="26"/>
        <v>01</v>
      </c>
    </row>
    <row r="1715" spans="1:1" x14ac:dyDescent="0.4">
      <c r="A1715" s="14" t="str">
        <f t="shared" si="26"/>
        <v>01</v>
      </c>
    </row>
    <row r="1716" spans="1:1" x14ac:dyDescent="0.4">
      <c r="A1716" s="14" t="str">
        <f t="shared" si="26"/>
        <v>01</v>
      </c>
    </row>
    <row r="1717" spans="1:1" x14ac:dyDescent="0.4">
      <c r="A1717" s="14" t="str">
        <f t="shared" si="26"/>
        <v>01</v>
      </c>
    </row>
    <row r="1718" spans="1:1" x14ac:dyDescent="0.4">
      <c r="A1718" s="14" t="str">
        <f t="shared" si="26"/>
        <v>01</v>
      </c>
    </row>
    <row r="1719" spans="1:1" x14ac:dyDescent="0.4">
      <c r="A1719" s="14" t="str">
        <f t="shared" si="26"/>
        <v>01</v>
      </c>
    </row>
    <row r="1720" spans="1:1" x14ac:dyDescent="0.4">
      <c r="A1720" s="14" t="str">
        <f t="shared" si="26"/>
        <v>01</v>
      </c>
    </row>
    <row r="1721" spans="1:1" x14ac:dyDescent="0.4">
      <c r="A1721" s="14" t="str">
        <f t="shared" si="26"/>
        <v>01</v>
      </c>
    </row>
    <row r="1722" spans="1:1" x14ac:dyDescent="0.4">
      <c r="A1722" s="14" t="str">
        <f t="shared" si="26"/>
        <v>01</v>
      </c>
    </row>
    <row r="1723" spans="1:1" x14ac:dyDescent="0.4">
      <c r="A1723" s="14" t="str">
        <f t="shared" si="26"/>
        <v>01</v>
      </c>
    </row>
    <row r="1724" spans="1:1" x14ac:dyDescent="0.4">
      <c r="A1724" s="14" t="str">
        <f t="shared" si="26"/>
        <v>01</v>
      </c>
    </row>
    <row r="1725" spans="1:1" x14ac:dyDescent="0.4">
      <c r="A1725" s="14" t="str">
        <f t="shared" si="26"/>
        <v>01</v>
      </c>
    </row>
    <row r="1726" spans="1:1" x14ac:dyDescent="0.4">
      <c r="A1726" s="14" t="str">
        <f t="shared" si="26"/>
        <v>01</v>
      </c>
    </row>
    <row r="1727" spans="1:1" x14ac:dyDescent="0.4">
      <c r="A1727" s="14" t="str">
        <f t="shared" si="26"/>
        <v>01</v>
      </c>
    </row>
    <row r="1728" spans="1:1" x14ac:dyDescent="0.4">
      <c r="A1728" s="14" t="str">
        <f t="shared" si="26"/>
        <v>01</v>
      </c>
    </row>
    <row r="1729" spans="1:1" x14ac:dyDescent="0.4">
      <c r="A1729" s="14" t="str">
        <f t="shared" si="26"/>
        <v>01</v>
      </c>
    </row>
    <row r="1730" spans="1:1" x14ac:dyDescent="0.4">
      <c r="A1730" s="14" t="str">
        <f t="shared" si="26"/>
        <v>01</v>
      </c>
    </row>
    <row r="1731" spans="1:1" x14ac:dyDescent="0.4">
      <c r="A1731" s="14" t="str">
        <f t="shared" ref="A1731:A1794" si="27">TEXT(L1731,"MM")</f>
        <v>01</v>
      </c>
    </row>
    <row r="1732" spans="1:1" x14ac:dyDescent="0.4">
      <c r="A1732" s="14" t="str">
        <f t="shared" si="27"/>
        <v>01</v>
      </c>
    </row>
    <row r="1733" spans="1:1" x14ac:dyDescent="0.4">
      <c r="A1733" s="14" t="str">
        <f t="shared" si="27"/>
        <v>01</v>
      </c>
    </row>
    <row r="1734" spans="1:1" x14ac:dyDescent="0.4">
      <c r="A1734" s="14" t="str">
        <f t="shared" si="27"/>
        <v>01</v>
      </c>
    </row>
    <row r="1735" spans="1:1" x14ac:dyDescent="0.4">
      <c r="A1735" s="14" t="str">
        <f t="shared" si="27"/>
        <v>01</v>
      </c>
    </row>
    <row r="1736" spans="1:1" x14ac:dyDescent="0.4">
      <c r="A1736" s="14" t="str">
        <f t="shared" si="27"/>
        <v>01</v>
      </c>
    </row>
    <row r="1737" spans="1:1" x14ac:dyDescent="0.4">
      <c r="A1737" s="14" t="str">
        <f t="shared" si="27"/>
        <v>01</v>
      </c>
    </row>
    <row r="1738" spans="1:1" x14ac:dyDescent="0.4">
      <c r="A1738" s="14" t="str">
        <f t="shared" si="27"/>
        <v>01</v>
      </c>
    </row>
    <row r="1739" spans="1:1" x14ac:dyDescent="0.4">
      <c r="A1739" s="14" t="str">
        <f t="shared" si="27"/>
        <v>01</v>
      </c>
    </row>
    <row r="1740" spans="1:1" x14ac:dyDescent="0.4">
      <c r="A1740" s="14" t="str">
        <f t="shared" si="27"/>
        <v>01</v>
      </c>
    </row>
    <row r="1741" spans="1:1" x14ac:dyDescent="0.4">
      <c r="A1741" s="14" t="str">
        <f t="shared" si="27"/>
        <v>01</v>
      </c>
    </row>
    <row r="1742" spans="1:1" x14ac:dyDescent="0.4">
      <c r="A1742" s="14" t="str">
        <f t="shared" si="27"/>
        <v>01</v>
      </c>
    </row>
    <row r="1743" spans="1:1" x14ac:dyDescent="0.4">
      <c r="A1743" s="14" t="str">
        <f t="shared" si="27"/>
        <v>01</v>
      </c>
    </row>
    <row r="1744" spans="1:1" x14ac:dyDescent="0.4">
      <c r="A1744" s="14" t="str">
        <f t="shared" si="27"/>
        <v>01</v>
      </c>
    </row>
    <row r="1745" spans="1:1" x14ac:dyDescent="0.4">
      <c r="A1745" s="14" t="str">
        <f t="shared" si="27"/>
        <v>01</v>
      </c>
    </row>
    <row r="1746" spans="1:1" x14ac:dyDescent="0.4">
      <c r="A1746" s="14" t="str">
        <f t="shared" si="27"/>
        <v>01</v>
      </c>
    </row>
    <row r="1747" spans="1:1" x14ac:dyDescent="0.4">
      <c r="A1747" s="14" t="str">
        <f t="shared" si="27"/>
        <v>01</v>
      </c>
    </row>
    <row r="1748" spans="1:1" x14ac:dyDescent="0.4">
      <c r="A1748" s="14" t="str">
        <f t="shared" si="27"/>
        <v>01</v>
      </c>
    </row>
    <row r="1749" spans="1:1" x14ac:dyDescent="0.4">
      <c r="A1749" s="14" t="str">
        <f t="shared" si="27"/>
        <v>01</v>
      </c>
    </row>
    <row r="1750" spans="1:1" x14ac:dyDescent="0.4">
      <c r="A1750" s="14" t="str">
        <f t="shared" si="27"/>
        <v>01</v>
      </c>
    </row>
    <row r="1751" spans="1:1" x14ac:dyDescent="0.4">
      <c r="A1751" s="14" t="str">
        <f t="shared" si="27"/>
        <v>01</v>
      </c>
    </row>
    <row r="1752" spans="1:1" x14ac:dyDescent="0.4">
      <c r="A1752" s="14" t="str">
        <f t="shared" si="27"/>
        <v>01</v>
      </c>
    </row>
    <row r="1753" spans="1:1" x14ac:dyDescent="0.4">
      <c r="A1753" s="14" t="str">
        <f t="shared" si="27"/>
        <v>01</v>
      </c>
    </row>
    <row r="1754" spans="1:1" x14ac:dyDescent="0.4">
      <c r="A1754" s="14" t="str">
        <f t="shared" si="27"/>
        <v>01</v>
      </c>
    </row>
    <row r="1755" spans="1:1" x14ac:dyDescent="0.4">
      <c r="A1755" s="14" t="str">
        <f t="shared" si="27"/>
        <v>01</v>
      </c>
    </row>
    <row r="1756" spans="1:1" x14ac:dyDescent="0.4">
      <c r="A1756" s="14" t="str">
        <f t="shared" si="27"/>
        <v>01</v>
      </c>
    </row>
    <row r="1757" spans="1:1" x14ac:dyDescent="0.4">
      <c r="A1757" s="14" t="str">
        <f t="shared" si="27"/>
        <v>01</v>
      </c>
    </row>
    <row r="1758" spans="1:1" x14ac:dyDescent="0.4">
      <c r="A1758" s="14" t="str">
        <f t="shared" si="27"/>
        <v>01</v>
      </c>
    </row>
    <row r="1759" spans="1:1" x14ac:dyDescent="0.4">
      <c r="A1759" s="14" t="str">
        <f t="shared" si="27"/>
        <v>01</v>
      </c>
    </row>
    <row r="1760" spans="1:1" x14ac:dyDescent="0.4">
      <c r="A1760" s="14" t="str">
        <f t="shared" si="27"/>
        <v>01</v>
      </c>
    </row>
    <row r="1761" spans="1:1" x14ac:dyDescent="0.4">
      <c r="A1761" s="14" t="str">
        <f t="shared" si="27"/>
        <v>01</v>
      </c>
    </row>
    <row r="1762" spans="1:1" x14ac:dyDescent="0.4">
      <c r="A1762" s="14" t="str">
        <f t="shared" si="27"/>
        <v>01</v>
      </c>
    </row>
    <row r="1763" spans="1:1" x14ac:dyDescent="0.4">
      <c r="A1763" s="14" t="str">
        <f t="shared" si="27"/>
        <v>01</v>
      </c>
    </row>
    <row r="1764" spans="1:1" x14ac:dyDescent="0.4">
      <c r="A1764" s="14" t="str">
        <f t="shared" si="27"/>
        <v>01</v>
      </c>
    </row>
    <row r="1765" spans="1:1" x14ac:dyDescent="0.4">
      <c r="A1765" s="14" t="str">
        <f t="shared" si="27"/>
        <v>01</v>
      </c>
    </row>
    <row r="1766" spans="1:1" x14ac:dyDescent="0.4">
      <c r="A1766" s="14" t="str">
        <f t="shared" si="27"/>
        <v>01</v>
      </c>
    </row>
    <row r="1767" spans="1:1" x14ac:dyDescent="0.4">
      <c r="A1767" s="14" t="str">
        <f t="shared" si="27"/>
        <v>01</v>
      </c>
    </row>
    <row r="1768" spans="1:1" x14ac:dyDescent="0.4">
      <c r="A1768" s="14" t="str">
        <f t="shared" si="27"/>
        <v>01</v>
      </c>
    </row>
    <row r="1769" spans="1:1" x14ac:dyDescent="0.4">
      <c r="A1769" s="14" t="str">
        <f t="shared" si="27"/>
        <v>01</v>
      </c>
    </row>
    <row r="1770" spans="1:1" x14ac:dyDescent="0.4">
      <c r="A1770" s="14" t="str">
        <f t="shared" si="27"/>
        <v>01</v>
      </c>
    </row>
    <row r="1771" spans="1:1" x14ac:dyDescent="0.4">
      <c r="A1771" s="14" t="str">
        <f t="shared" si="27"/>
        <v>01</v>
      </c>
    </row>
    <row r="1772" spans="1:1" x14ac:dyDescent="0.4">
      <c r="A1772" s="14" t="str">
        <f t="shared" si="27"/>
        <v>01</v>
      </c>
    </row>
    <row r="1773" spans="1:1" x14ac:dyDescent="0.4">
      <c r="A1773" s="14" t="str">
        <f t="shared" si="27"/>
        <v>01</v>
      </c>
    </row>
    <row r="1774" spans="1:1" x14ac:dyDescent="0.4">
      <c r="A1774" s="14" t="str">
        <f t="shared" si="27"/>
        <v>01</v>
      </c>
    </row>
    <row r="1775" spans="1:1" x14ac:dyDescent="0.4">
      <c r="A1775" s="14" t="str">
        <f t="shared" si="27"/>
        <v>01</v>
      </c>
    </row>
    <row r="1776" spans="1:1" x14ac:dyDescent="0.4">
      <c r="A1776" s="14" t="str">
        <f t="shared" si="27"/>
        <v>01</v>
      </c>
    </row>
    <row r="1777" spans="1:1" x14ac:dyDescent="0.4">
      <c r="A1777" s="14" t="str">
        <f t="shared" si="27"/>
        <v>01</v>
      </c>
    </row>
    <row r="1778" spans="1:1" x14ac:dyDescent="0.4">
      <c r="A1778" s="14" t="str">
        <f t="shared" si="27"/>
        <v>01</v>
      </c>
    </row>
    <row r="1779" spans="1:1" x14ac:dyDescent="0.4">
      <c r="A1779" s="14" t="str">
        <f t="shared" si="27"/>
        <v>01</v>
      </c>
    </row>
    <row r="1780" spans="1:1" x14ac:dyDescent="0.4">
      <c r="A1780" s="14" t="str">
        <f t="shared" si="27"/>
        <v>01</v>
      </c>
    </row>
    <row r="1781" spans="1:1" x14ac:dyDescent="0.4">
      <c r="A1781" s="14" t="str">
        <f t="shared" si="27"/>
        <v>01</v>
      </c>
    </row>
    <row r="1782" spans="1:1" x14ac:dyDescent="0.4">
      <c r="A1782" s="14" t="str">
        <f t="shared" si="27"/>
        <v>01</v>
      </c>
    </row>
    <row r="1783" spans="1:1" x14ac:dyDescent="0.4">
      <c r="A1783" s="14" t="str">
        <f t="shared" si="27"/>
        <v>01</v>
      </c>
    </row>
    <row r="1784" spans="1:1" x14ac:dyDescent="0.4">
      <c r="A1784" s="14" t="str">
        <f t="shared" si="27"/>
        <v>01</v>
      </c>
    </row>
    <row r="1785" spans="1:1" x14ac:dyDescent="0.4">
      <c r="A1785" s="14" t="str">
        <f t="shared" si="27"/>
        <v>01</v>
      </c>
    </row>
    <row r="1786" spans="1:1" x14ac:dyDescent="0.4">
      <c r="A1786" s="14" t="str">
        <f t="shared" si="27"/>
        <v>01</v>
      </c>
    </row>
    <row r="1787" spans="1:1" x14ac:dyDescent="0.4">
      <c r="A1787" s="14" t="str">
        <f t="shared" si="27"/>
        <v>01</v>
      </c>
    </row>
    <row r="1788" spans="1:1" x14ac:dyDescent="0.4">
      <c r="A1788" s="14" t="str">
        <f t="shared" si="27"/>
        <v>01</v>
      </c>
    </row>
    <row r="1789" spans="1:1" x14ac:dyDescent="0.4">
      <c r="A1789" s="14" t="str">
        <f t="shared" si="27"/>
        <v>01</v>
      </c>
    </row>
    <row r="1790" spans="1:1" x14ac:dyDescent="0.4">
      <c r="A1790" s="14" t="str">
        <f t="shared" si="27"/>
        <v>01</v>
      </c>
    </row>
    <row r="1791" spans="1:1" x14ac:dyDescent="0.4">
      <c r="A1791" s="14" t="str">
        <f t="shared" si="27"/>
        <v>01</v>
      </c>
    </row>
    <row r="1792" spans="1:1" x14ac:dyDescent="0.4">
      <c r="A1792" s="14" t="str">
        <f t="shared" si="27"/>
        <v>01</v>
      </c>
    </row>
    <row r="1793" spans="1:1" x14ac:dyDescent="0.4">
      <c r="A1793" s="14" t="str">
        <f t="shared" si="27"/>
        <v>01</v>
      </c>
    </row>
    <row r="1794" spans="1:1" x14ac:dyDescent="0.4">
      <c r="A1794" s="14" t="str">
        <f t="shared" si="27"/>
        <v>01</v>
      </c>
    </row>
    <row r="1795" spans="1:1" x14ac:dyDescent="0.4">
      <c r="A1795" s="14" t="str">
        <f t="shared" ref="A1795:A1858" si="28">TEXT(L1795,"MM")</f>
        <v>01</v>
      </c>
    </row>
    <row r="1796" spans="1:1" x14ac:dyDescent="0.4">
      <c r="A1796" s="14" t="str">
        <f t="shared" si="28"/>
        <v>01</v>
      </c>
    </row>
    <row r="1797" spans="1:1" x14ac:dyDescent="0.4">
      <c r="A1797" s="14" t="str">
        <f t="shared" si="28"/>
        <v>01</v>
      </c>
    </row>
    <row r="1798" spans="1:1" x14ac:dyDescent="0.4">
      <c r="A1798" s="14" t="str">
        <f t="shared" si="28"/>
        <v>01</v>
      </c>
    </row>
    <row r="1799" spans="1:1" x14ac:dyDescent="0.4">
      <c r="A1799" s="14" t="str">
        <f t="shared" si="28"/>
        <v>01</v>
      </c>
    </row>
    <row r="1800" spans="1:1" x14ac:dyDescent="0.4">
      <c r="A1800" s="14" t="str">
        <f t="shared" si="28"/>
        <v>01</v>
      </c>
    </row>
    <row r="1801" spans="1:1" x14ac:dyDescent="0.4">
      <c r="A1801" s="14" t="str">
        <f t="shared" si="28"/>
        <v>01</v>
      </c>
    </row>
    <row r="1802" spans="1:1" x14ac:dyDescent="0.4">
      <c r="A1802" s="14" t="str">
        <f t="shared" si="28"/>
        <v>01</v>
      </c>
    </row>
    <row r="1803" spans="1:1" x14ac:dyDescent="0.4">
      <c r="A1803" s="14" t="str">
        <f t="shared" si="28"/>
        <v>01</v>
      </c>
    </row>
    <row r="1804" spans="1:1" x14ac:dyDescent="0.4">
      <c r="A1804" s="14" t="str">
        <f t="shared" si="28"/>
        <v>01</v>
      </c>
    </row>
    <row r="1805" spans="1:1" x14ac:dyDescent="0.4">
      <c r="A1805" s="14" t="str">
        <f t="shared" si="28"/>
        <v>01</v>
      </c>
    </row>
    <row r="1806" spans="1:1" x14ac:dyDescent="0.4">
      <c r="A1806" s="14" t="str">
        <f t="shared" si="28"/>
        <v>01</v>
      </c>
    </row>
    <row r="1807" spans="1:1" x14ac:dyDescent="0.4">
      <c r="A1807" s="14" t="str">
        <f t="shared" si="28"/>
        <v>01</v>
      </c>
    </row>
    <row r="1808" spans="1:1" x14ac:dyDescent="0.4">
      <c r="A1808" s="14" t="str">
        <f t="shared" si="28"/>
        <v>01</v>
      </c>
    </row>
    <row r="1809" spans="1:1" x14ac:dyDescent="0.4">
      <c r="A1809" s="14" t="str">
        <f t="shared" si="28"/>
        <v>01</v>
      </c>
    </row>
    <row r="1810" spans="1:1" x14ac:dyDescent="0.4">
      <c r="A1810" s="14" t="str">
        <f t="shared" si="28"/>
        <v>01</v>
      </c>
    </row>
    <row r="1811" spans="1:1" x14ac:dyDescent="0.4">
      <c r="A1811" s="14" t="str">
        <f t="shared" si="28"/>
        <v>01</v>
      </c>
    </row>
    <row r="1812" spans="1:1" x14ac:dyDescent="0.4">
      <c r="A1812" s="14" t="str">
        <f t="shared" si="28"/>
        <v>01</v>
      </c>
    </row>
    <row r="1813" spans="1:1" x14ac:dyDescent="0.4">
      <c r="A1813" s="14" t="str">
        <f t="shared" si="28"/>
        <v>01</v>
      </c>
    </row>
    <row r="1814" spans="1:1" x14ac:dyDescent="0.4">
      <c r="A1814" s="14" t="str">
        <f t="shared" si="28"/>
        <v>01</v>
      </c>
    </row>
    <row r="1815" spans="1:1" x14ac:dyDescent="0.4">
      <c r="A1815" s="14" t="str">
        <f t="shared" si="28"/>
        <v>01</v>
      </c>
    </row>
    <row r="1816" spans="1:1" x14ac:dyDescent="0.4">
      <c r="A1816" s="14" t="str">
        <f t="shared" si="28"/>
        <v>01</v>
      </c>
    </row>
    <row r="1817" spans="1:1" x14ac:dyDescent="0.4">
      <c r="A1817" s="14" t="str">
        <f t="shared" si="28"/>
        <v>01</v>
      </c>
    </row>
    <row r="1818" spans="1:1" x14ac:dyDescent="0.4">
      <c r="A1818" s="14" t="str">
        <f t="shared" si="28"/>
        <v>01</v>
      </c>
    </row>
    <row r="1819" spans="1:1" x14ac:dyDescent="0.4">
      <c r="A1819" s="14" t="str">
        <f t="shared" si="28"/>
        <v>01</v>
      </c>
    </row>
    <row r="1820" spans="1:1" x14ac:dyDescent="0.4">
      <c r="A1820" s="14" t="str">
        <f t="shared" si="28"/>
        <v>01</v>
      </c>
    </row>
    <row r="1821" spans="1:1" x14ac:dyDescent="0.4">
      <c r="A1821" s="14" t="str">
        <f t="shared" si="28"/>
        <v>01</v>
      </c>
    </row>
    <row r="1822" spans="1:1" x14ac:dyDescent="0.4">
      <c r="A1822" s="14" t="str">
        <f t="shared" si="28"/>
        <v>01</v>
      </c>
    </row>
    <row r="1823" spans="1:1" x14ac:dyDescent="0.4">
      <c r="A1823" s="14" t="str">
        <f t="shared" si="28"/>
        <v>01</v>
      </c>
    </row>
    <row r="1824" spans="1:1" x14ac:dyDescent="0.4">
      <c r="A1824" s="14" t="str">
        <f t="shared" si="28"/>
        <v>01</v>
      </c>
    </row>
    <row r="1825" spans="1:1" x14ac:dyDescent="0.4">
      <c r="A1825" s="14" t="str">
        <f t="shared" si="28"/>
        <v>01</v>
      </c>
    </row>
    <row r="1826" spans="1:1" x14ac:dyDescent="0.4">
      <c r="A1826" s="14" t="str">
        <f t="shared" si="28"/>
        <v>01</v>
      </c>
    </row>
    <row r="1827" spans="1:1" x14ac:dyDescent="0.4">
      <c r="A1827" s="14" t="str">
        <f t="shared" si="28"/>
        <v>01</v>
      </c>
    </row>
    <row r="1828" spans="1:1" x14ac:dyDescent="0.4">
      <c r="A1828" s="14" t="str">
        <f t="shared" si="28"/>
        <v>01</v>
      </c>
    </row>
    <row r="1829" spans="1:1" x14ac:dyDescent="0.4">
      <c r="A1829" s="14" t="str">
        <f t="shared" si="28"/>
        <v>01</v>
      </c>
    </row>
    <row r="1830" spans="1:1" x14ac:dyDescent="0.4">
      <c r="A1830" s="14" t="str">
        <f t="shared" si="28"/>
        <v>01</v>
      </c>
    </row>
    <row r="1831" spans="1:1" x14ac:dyDescent="0.4">
      <c r="A1831" s="14" t="str">
        <f t="shared" si="28"/>
        <v>01</v>
      </c>
    </row>
    <row r="1832" spans="1:1" x14ac:dyDescent="0.4">
      <c r="A1832" s="14" t="str">
        <f t="shared" si="28"/>
        <v>01</v>
      </c>
    </row>
    <row r="1833" spans="1:1" x14ac:dyDescent="0.4">
      <c r="A1833" s="14" t="str">
        <f t="shared" si="28"/>
        <v>01</v>
      </c>
    </row>
    <row r="1834" spans="1:1" x14ac:dyDescent="0.4">
      <c r="A1834" s="14" t="str">
        <f t="shared" si="28"/>
        <v>01</v>
      </c>
    </row>
    <row r="1835" spans="1:1" x14ac:dyDescent="0.4">
      <c r="A1835" s="14" t="str">
        <f t="shared" si="28"/>
        <v>01</v>
      </c>
    </row>
    <row r="1836" spans="1:1" x14ac:dyDescent="0.4">
      <c r="A1836" s="14" t="str">
        <f t="shared" si="28"/>
        <v>01</v>
      </c>
    </row>
    <row r="1837" spans="1:1" x14ac:dyDescent="0.4">
      <c r="A1837" s="14" t="str">
        <f t="shared" si="28"/>
        <v>01</v>
      </c>
    </row>
    <row r="1838" spans="1:1" x14ac:dyDescent="0.4">
      <c r="A1838" s="14" t="str">
        <f t="shared" si="28"/>
        <v>01</v>
      </c>
    </row>
    <row r="1839" spans="1:1" x14ac:dyDescent="0.4">
      <c r="A1839" s="14" t="str">
        <f t="shared" si="28"/>
        <v>01</v>
      </c>
    </row>
    <row r="1840" spans="1:1" x14ac:dyDescent="0.4">
      <c r="A1840" s="14" t="str">
        <f t="shared" si="28"/>
        <v>01</v>
      </c>
    </row>
    <row r="1841" spans="1:1" x14ac:dyDescent="0.4">
      <c r="A1841" s="14" t="str">
        <f t="shared" si="28"/>
        <v>01</v>
      </c>
    </row>
    <row r="1842" spans="1:1" x14ac:dyDescent="0.4">
      <c r="A1842" s="14" t="str">
        <f t="shared" si="28"/>
        <v>01</v>
      </c>
    </row>
    <row r="1843" spans="1:1" x14ac:dyDescent="0.4">
      <c r="A1843" s="14" t="str">
        <f t="shared" si="28"/>
        <v>01</v>
      </c>
    </row>
    <row r="1844" spans="1:1" x14ac:dyDescent="0.4">
      <c r="A1844" s="14" t="str">
        <f t="shared" si="28"/>
        <v>01</v>
      </c>
    </row>
    <row r="1845" spans="1:1" x14ac:dyDescent="0.4">
      <c r="A1845" s="14" t="str">
        <f t="shared" si="28"/>
        <v>01</v>
      </c>
    </row>
    <row r="1846" spans="1:1" x14ac:dyDescent="0.4">
      <c r="A1846" s="14" t="str">
        <f t="shared" si="28"/>
        <v>01</v>
      </c>
    </row>
    <row r="1847" spans="1:1" x14ac:dyDescent="0.4">
      <c r="A1847" s="14" t="str">
        <f t="shared" si="28"/>
        <v>01</v>
      </c>
    </row>
    <row r="1848" spans="1:1" x14ac:dyDescent="0.4">
      <c r="A1848" s="14" t="str">
        <f t="shared" si="28"/>
        <v>01</v>
      </c>
    </row>
    <row r="1849" spans="1:1" x14ac:dyDescent="0.4">
      <c r="A1849" s="14" t="str">
        <f t="shared" si="28"/>
        <v>01</v>
      </c>
    </row>
    <row r="1850" spans="1:1" x14ac:dyDescent="0.4">
      <c r="A1850" s="14" t="str">
        <f t="shared" si="28"/>
        <v>01</v>
      </c>
    </row>
    <row r="1851" spans="1:1" x14ac:dyDescent="0.4">
      <c r="A1851" s="14" t="str">
        <f t="shared" si="28"/>
        <v>01</v>
      </c>
    </row>
    <row r="1852" spans="1:1" x14ac:dyDescent="0.4">
      <c r="A1852" s="14" t="str">
        <f t="shared" si="28"/>
        <v>01</v>
      </c>
    </row>
    <row r="1853" spans="1:1" x14ac:dyDescent="0.4">
      <c r="A1853" s="14" t="str">
        <f t="shared" si="28"/>
        <v>01</v>
      </c>
    </row>
    <row r="1854" spans="1:1" x14ac:dyDescent="0.4">
      <c r="A1854" s="14" t="str">
        <f t="shared" si="28"/>
        <v>01</v>
      </c>
    </row>
    <row r="1855" spans="1:1" x14ac:dyDescent="0.4">
      <c r="A1855" s="14" t="str">
        <f t="shared" si="28"/>
        <v>01</v>
      </c>
    </row>
    <row r="1856" spans="1:1" x14ac:dyDescent="0.4">
      <c r="A1856" s="14" t="str">
        <f t="shared" si="28"/>
        <v>01</v>
      </c>
    </row>
    <row r="1857" spans="1:1" x14ac:dyDescent="0.4">
      <c r="A1857" s="14" t="str">
        <f t="shared" si="28"/>
        <v>01</v>
      </c>
    </row>
    <row r="1858" spans="1:1" x14ac:dyDescent="0.4">
      <c r="A1858" s="14" t="str">
        <f t="shared" si="28"/>
        <v>01</v>
      </c>
    </row>
    <row r="1859" spans="1:1" x14ac:dyDescent="0.4">
      <c r="A1859" s="14" t="str">
        <f t="shared" ref="A1859:A1922" si="29">TEXT(L1859,"MM")</f>
        <v>01</v>
      </c>
    </row>
    <row r="1860" spans="1:1" x14ac:dyDescent="0.4">
      <c r="A1860" s="14" t="str">
        <f t="shared" si="29"/>
        <v>01</v>
      </c>
    </row>
    <row r="1861" spans="1:1" x14ac:dyDescent="0.4">
      <c r="A1861" s="14" t="str">
        <f t="shared" si="29"/>
        <v>01</v>
      </c>
    </row>
    <row r="1862" spans="1:1" x14ac:dyDescent="0.4">
      <c r="A1862" s="14" t="str">
        <f t="shared" si="29"/>
        <v>01</v>
      </c>
    </row>
    <row r="1863" spans="1:1" x14ac:dyDescent="0.4">
      <c r="A1863" s="14" t="str">
        <f t="shared" si="29"/>
        <v>01</v>
      </c>
    </row>
    <row r="1864" spans="1:1" x14ac:dyDescent="0.4">
      <c r="A1864" s="14" t="str">
        <f t="shared" si="29"/>
        <v>01</v>
      </c>
    </row>
    <row r="1865" spans="1:1" x14ac:dyDescent="0.4">
      <c r="A1865" s="14" t="str">
        <f t="shared" si="29"/>
        <v>01</v>
      </c>
    </row>
    <row r="1866" spans="1:1" x14ac:dyDescent="0.4">
      <c r="A1866" s="14" t="str">
        <f t="shared" si="29"/>
        <v>01</v>
      </c>
    </row>
    <row r="1867" spans="1:1" x14ac:dyDescent="0.4">
      <c r="A1867" s="14" t="str">
        <f t="shared" si="29"/>
        <v>01</v>
      </c>
    </row>
    <row r="1868" spans="1:1" x14ac:dyDescent="0.4">
      <c r="A1868" s="14" t="str">
        <f t="shared" si="29"/>
        <v>01</v>
      </c>
    </row>
    <row r="1869" spans="1:1" x14ac:dyDescent="0.4">
      <c r="A1869" s="14" t="str">
        <f t="shared" si="29"/>
        <v>01</v>
      </c>
    </row>
    <row r="1870" spans="1:1" x14ac:dyDescent="0.4">
      <c r="A1870" s="14" t="str">
        <f t="shared" si="29"/>
        <v>01</v>
      </c>
    </row>
    <row r="1871" spans="1:1" x14ac:dyDescent="0.4">
      <c r="A1871" s="14" t="str">
        <f t="shared" si="29"/>
        <v>01</v>
      </c>
    </row>
    <row r="1872" spans="1:1" x14ac:dyDescent="0.4">
      <c r="A1872" s="14" t="str">
        <f t="shared" si="29"/>
        <v>01</v>
      </c>
    </row>
    <row r="1873" spans="1:1" x14ac:dyDescent="0.4">
      <c r="A1873" s="14" t="str">
        <f t="shared" si="29"/>
        <v>01</v>
      </c>
    </row>
    <row r="1874" spans="1:1" x14ac:dyDescent="0.4">
      <c r="A1874" s="14" t="str">
        <f t="shared" si="29"/>
        <v>01</v>
      </c>
    </row>
    <row r="1875" spans="1:1" x14ac:dyDescent="0.4">
      <c r="A1875" s="14" t="str">
        <f t="shared" si="29"/>
        <v>01</v>
      </c>
    </row>
    <row r="1876" spans="1:1" x14ac:dyDescent="0.4">
      <c r="A1876" s="14" t="str">
        <f t="shared" si="29"/>
        <v>01</v>
      </c>
    </row>
    <row r="1877" spans="1:1" x14ac:dyDescent="0.4">
      <c r="A1877" s="14" t="str">
        <f t="shared" si="29"/>
        <v>01</v>
      </c>
    </row>
    <row r="1878" spans="1:1" x14ac:dyDescent="0.4">
      <c r="A1878" s="14" t="str">
        <f t="shared" si="29"/>
        <v>01</v>
      </c>
    </row>
    <row r="1879" spans="1:1" x14ac:dyDescent="0.4">
      <c r="A1879" s="14" t="str">
        <f t="shared" si="29"/>
        <v>01</v>
      </c>
    </row>
    <row r="1880" spans="1:1" x14ac:dyDescent="0.4">
      <c r="A1880" s="14" t="str">
        <f t="shared" si="29"/>
        <v>01</v>
      </c>
    </row>
    <row r="1881" spans="1:1" x14ac:dyDescent="0.4">
      <c r="A1881" s="14" t="str">
        <f t="shared" si="29"/>
        <v>01</v>
      </c>
    </row>
    <row r="1882" spans="1:1" x14ac:dyDescent="0.4">
      <c r="A1882" s="14" t="str">
        <f t="shared" si="29"/>
        <v>01</v>
      </c>
    </row>
    <row r="1883" spans="1:1" x14ac:dyDescent="0.4">
      <c r="A1883" s="14" t="str">
        <f t="shared" si="29"/>
        <v>01</v>
      </c>
    </row>
    <row r="1884" spans="1:1" x14ac:dyDescent="0.4">
      <c r="A1884" s="14" t="str">
        <f t="shared" si="29"/>
        <v>01</v>
      </c>
    </row>
    <row r="1885" spans="1:1" x14ac:dyDescent="0.4">
      <c r="A1885" s="14" t="str">
        <f t="shared" si="29"/>
        <v>01</v>
      </c>
    </row>
    <row r="1886" spans="1:1" x14ac:dyDescent="0.4">
      <c r="A1886" s="14" t="str">
        <f t="shared" si="29"/>
        <v>01</v>
      </c>
    </row>
    <row r="1887" spans="1:1" x14ac:dyDescent="0.4">
      <c r="A1887" s="14" t="str">
        <f t="shared" si="29"/>
        <v>01</v>
      </c>
    </row>
    <row r="1888" spans="1:1" x14ac:dyDescent="0.4">
      <c r="A1888" s="14" t="str">
        <f t="shared" si="29"/>
        <v>01</v>
      </c>
    </row>
    <row r="1889" spans="1:1" x14ac:dyDescent="0.4">
      <c r="A1889" s="14" t="str">
        <f t="shared" si="29"/>
        <v>01</v>
      </c>
    </row>
    <row r="1890" spans="1:1" x14ac:dyDescent="0.4">
      <c r="A1890" s="14" t="str">
        <f t="shared" si="29"/>
        <v>01</v>
      </c>
    </row>
    <row r="1891" spans="1:1" x14ac:dyDescent="0.4">
      <c r="A1891" s="14" t="str">
        <f t="shared" si="29"/>
        <v>01</v>
      </c>
    </row>
    <row r="1892" spans="1:1" x14ac:dyDescent="0.4">
      <c r="A1892" s="14" t="str">
        <f t="shared" si="29"/>
        <v>01</v>
      </c>
    </row>
    <row r="1893" spans="1:1" x14ac:dyDescent="0.4">
      <c r="A1893" s="14" t="str">
        <f t="shared" si="29"/>
        <v>01</v>
      </c>
    </row>
    <row r="1894" spans="1:1" x14ac:dyDescent="0.4">
      <c r="A1894" s="14" t="str">
        <f t="shared" si="29"/>
        <v>01</v>
      </c>
    </row>
    <row r="1895" spans="1:1" x14ac:dyDescent="0.4">
      <c r="A1895" s="14" t="str">
        <f t="shared" si="29"/>
        <v>01</v>
      </c>
    </row>
    <row r="1896" spans="1:1" x14ac:dyDescent="0.4">
      <c r="A1896" s="14" t="str">
        <f t="shared" si="29"/>
        <v>01</v>
      </c>
    </row>
    <row r="1897" spans="1:1" x14ac:dyDescent="0.4">
      <c r="A1897" s="14" t="str">
        <f t="shared" si="29"/>
        <v>01</v>
      </c>
    </row>
    <row r="1898" spans="1:1" x14ac:dyDescent="0.4">
      <c r="A1898" s="14" t="str">
        <f t="shared" si="29"/>
        <v>01</v>
      </c>
    </row>
    <row r="1899" spans="1:1" x14ac:dyDescent="0.4">
      <c r="A1899" s="14" t="str">
        <f t="shared" si="29"/>
        <v>01</v>
      </c>
    </row>
    <row r="1900" spans="1:1" x14ac:dyDescent="0.4">
      <c r="A1900" s="14" t="str">
        <f t="shared" si="29"/>
        <v>01</v>
      </c>
    </row>
    <row r="1901" spans="1:1" x14ac:dyDescent="0.4">
      <c r="A1901" s="14" t="str">
        <f t="shared" si="29"/>
        <v>01</v>
      </c>
    </row>
    <row r="1902" spans="1:1" x14ac:dyDescent="0.4">
      <c r="A1902" s="14" t="str">
        <f t="shared" si="29"/>
        <v>01</v>
      </c>
    </row>
    <row r="1903" spans="1:1" x14ac:dyDescent="0.4">
      <c r="A1903" s="14" t="str">
        <f t="shared" si="29"/>
        <v>01</v>
      </c>
    </row>
    <row r="1904" spans="1:1" x14ac:dyDescent="0.4">
      <c r="A1904" s="14" t="str">
        <f t="shared" si="29"/>
        <v>01</v>
      </c>
    </row>
    <row r="1905" spans="1:1" x14ac:dyDescent="0.4">
      <c r="A1905" s="14" t="str">
        <f t="shared" si="29"/>
        <v>01</v>
      </c>
    </row>
    <row r="1906" spans="1:1" x14ac:dyDescent="0.4">
      <c r="A1906" s="14" t="str">
        <f t="shared" si="29"/>
        <v>01</v>
      </c>
    </row>
    <row r="1907" spans="1:1" x14ac:dyDescent="0.4">
      <c r="A1907" s="14" t="str">
        <f t="shared" si="29"/>
        <v>01</v>
      </c>
    </row>
    <row r="1908" spans="1:1" x14ac:dyDescent="0.4">
      <c r="A1908" s="14" t="str">
        <f t="shared" si="29"/>
        <v>01</v>
      </c>
    </row>
    <row r="1909" spans="1:1" x14ac:dyDescent="0.4">
      <c r="A1909" s="14" t="str">
        <f t="shared" si="29"/>
        <v>01</v>
      </c>
    </row>
    <row r="1910" spans="1:1" x14ac:dyDescent="0.4">
      <c r="A1910" s="14" t="str">
        <f t="shared" si="29"/>
        <v>01</v>
      </c>
    </row>
    <row r="1911" spans="1:1" x14ac:dyDescent="0.4">
      <c r="A1911" s="14" t="str">
        <f t="shared" si="29"/>
        <v>01</v>
      </c>
    </row>
    <row r="1912" spans="1:1" x14ac:dyDescent="0.4">
      <c r="A1912" s="14" t="str">
        <f t="shared" si="29"/>
        <v>01</v>
      </c>
    </row>
    <row r="1913" spans="1:1" x14ac:dyDescent="0.4">
      <c r="A1913" s="14" t="str">
        <f t="shared" si="29"/>
        <v>01</v>
      </c>
    </row>
    <row r="1914" spans="1:1" x14ac:dyDescent="0.4">
      <c r="A1914" s="14" t="str">
        <f t="shared" si="29"/>
        <v>01</v>
      </c>
    </row>
    <row r="1915" spans="1:1" x14ac:dyDescent="0.4">
      <c r="A1915" s="14" t="str">
        <f t="shared" si="29"/>
        <v>01</v>
      </c>
    </row>
    <row r="1916" spans="1:1" x14ac:dyDescent="0.4">
      <c r="A1916" s="14" t="str">
        <f t="shared" si="29"/>
        <v>01</v>
      </c>
    </row>
    <row r="1917" spans="1:1" x14ac:dyDescent="0.4">
      <c r="A1917" s="14" t="str">
        <f t="shared" si="29"/>
        <v>01</v>
      </c>
    </row>
    <row r="1918" spans="1:1" x14ac:dyDescent="0.4">
      <c r="A1918" s="14" t="str">
        <f t="shared" si="29"/>
        <v>01</v>
      </c>
    </row>
    <row r="1919" spans="1:1" x14ac:dyDescent="0.4">
      <c r="A1919" s="14" t="str">
        <f t="shared" si="29"/>
        <v>01</v>
      </c>
    </row>
    <row r="1920" spans="1:1" x14ac:dyDescent="0.4">
      <c r="A1920" s="14" t="str">
        <f t="shared" si="29"/>
        <v>01</v>
      </c>
    </row>
    <row r="1921" spans="1:1" x14ac:dyDescent="0.4">
      <c r="A1921" s="14" t="str">
        <f t="shared" si="29"/>
        <v>01</v>
      </c>
    </row>
    <row r="1922" spans="1:1" x14ac:dyDescent="0.4">
      <c r="A1922" s="14" t="str">
        <f t="shared" si="29"/>
        <v>01</v>
      </c>
    </row>
    <row r="1923" spans="1:1" x14ac:dyDescent="0.4">
      <c r="A1923" s="14" t="str">
        <f t="shared" ref="A1923:A1986" si="30">TEXT(L1923,"MM")</f>
        <v>01</v>
      </c>
    </row>
    <row r="1924" spans="1:1" x14ac:dyDescent="0.4">
      <c r="A1924" s="14" t="str">
        <f t="shared" si="30"/>
        <v>01</v>
      </c>
    </row>
    <row r="1925" spans="1:1" x14ac:dyDescent="0.4">
      <c r="A1925" s="14" t="str">
        <f t="shared" si="30"/>
        <v>01</v>
      </c>
    </row>
    <row r="1926" spans="1:1" x14ac:dyDescent="0.4">
      <c r="A1926" s="14" t="str">
        <f t="shared" si="30"/>
        <v>01</v>
      </c>
    </row>
    <row r="1927" spans="1:1" x14ac:dyDescent="0.4">
      <c r="A1927" s="14" t="str">
        <f t="shared" si="30"/>
        <v>01</v>
      </c>
    </row>
    <row r="1928" spans="1:1" x14ac:dyDescent="0.4">
      <c r="A1928" s="14" t="str">
        <f t="shared" si="30"/>
        <v>01</v>
      </c>
    </row>
    <row r="1929" spans="1:1" x14ac:dyDescent="0.4">
      <c r="A1929" s="14" t="str">
        <f t="shared" si="30"/>
        <v>01</v>
      </c>
    </row>
    <row r="1930" spans="1:1" x14ac:dyDescent="0.4">
      <c r="A1930" s="14" t="str">
        <f t="shared" si="30"/>
        <v>01</v>
      </c>
    </row>
    <row r="1931" spans="1:1" x14ac:dyDescent="0.4">
      <c r="A1931" s="14" t="str">
        <f t="shared" si="30"/>
        <v>01</v>
      </c>
    </row>
    <row r="1932" spans="1:1" x14ac:dyDescent="0.4">
      <c r="A1932" s="14" t="str">
        <f t="shared" si="30"/>
        <v>01</v>
      </c>
    </row>
    <row r="1933" spans="1:1" x14ac:dyDescent="0.4">
      <c r="A1933" s="14" t="str">
        <f t="shared" si="30"/>
        <v>01</v>
      </c>
    </row>
    <row r="1934" spans="1:1" x14ac:dyDescent="0.4">
      <c r="A1934" s="14" t="str">
        <f t="shared" si="30"/>
        <v>01</v>
      </c>
    </row>
    <row r="1935" spans="1:1" x14ac:dyDescent="0.4">
      <c r="A1935" s="14" t="str">
        <f t="shared" si="30"/>
        <v>01</v>
      </c>
    </row>
    <row r="1936" spans="1:1" x14ac:dyDescent="0.4">
      <c r="A1936" s="14" t="str">
        <f t="shared" si="30"/>
        <v>01</v>
      </c>
    </row>
    <row r="1937" spans="1:1" x14ac:dyDescent="0.4">
      <c r="A1937" s="14" t="str">
        <f t="shared" si="30"/>
        <v>01</v>
      </c>
    </row>
    <row r="1938" spans="1:1" x14ac:dyDescent="0.4">
      <c r="A1938" s="14" t="str">
        <f t="shared" si="30"/>
        <v>01</v>
      </c>
    </row>
    <row r="1939" spans="1:1" x14ac:dyDescent="0.4">
      <c r="A1939" s="14" t="str">
        <f t="shared" si="30"/>
        <v>01</v>
      </c>
    </row>
    <row r="1940" spans="1:1" x14ac:dyDescent="0.4">
      <c r="A1940" s="14" t="str">
        <f t="shared" si="30"/>
        <v>01</v>
      </c>
    </row>
    <row r="1941" spans="1:1" x14ac:dyDescent="0.4">
      <c r="A1941" s="14" t="str">
        <f t="shared" si="30"/>
        <v>01</v>
      </c>
    </row>
    <row r="1942" spans="1:1" x14ac:dyDescent="0.4">
      <c r="A1942" s="14" t="str">
        <f t="shared" si="30"/>
        <v>01</v>
      </c>
    </row>
    <row r="1943" spans="1:1" x14ac:dyDescent="0.4">
      <c r="A1943" s="14" t="str">
        <f t="shared" si="30"/>
        <v>01</v>
      </c>
    </row>
    <row r="1944" spans="1:1" x14ac:dyDescent="0.4">
      <c r="A1944" s="14" t="str">
        <f t="shared" si="30"/>
        <v>01</v>
      </c>
    </row>
    <row r="1945" spans="1:1" x14ac:dyDescent="0.4">
      <c r="A1945" s="14" t="str">
        <f t="shared" si="30"/>
        <v>01</v>
      </c>
    </row>
    <row r="1946" spans="1:1" x14ac:dyDescent="0.4">
      <c r="A1946" s="14" t="str">
        <f t="shared" si="30"/>
        <v>01</v>
      </c>
    </row>
    <row r="1947" spans="1:1" x14ac:dyDescent="0.4">
      <c r="A1947" s="14" t="str">
        <f t="shared" si="30"/>
        <v>01</v>
      </c>
    </row>
    <row r="1948" spans="1:1" x14ac:dyDescent="0.4">
      <c r="A1948" s="14" t="str">
        <f t="shared" si="30"/>
        <v>01</v>
      </c>
    </row>
    <row r="1949" spans="1:1" x14ac:dyDescent="0.4">
      <c r="A1949" s="14" t="str">
        <f t="shared" si="30"/>
        <v>01</v>
      </c>
    </row>
    <row r="1950" spans="1:1" x14ac:dyDescent="0.4">
      <c r="A1950" s="14" t="str">
        <f t="shared" si="30"/>
        <v>01</v>
      </c>
    </row>
    <row r="1951" spans="1:1" x14ac:dyDescent="0.4">
      <c r="A1951" s="14" t="str">
        <f t="shared" si="30"/>
        <v>01</v>
      </c>
    </row>
    <row r="1952" spans="1:1" x14ac:dyDescent="0.4">
      <c r="A1952" s="14" t="str">
        <f t="shared" si="30"/>
        <v>01</v>
      </c>
    </row>
    <row r="1953" spans="1:1" x14ac:dyDescent="0.4">
      <c r="A1953" s="14" t="str">
        <f t="shared" si="30"/>
        <v>01</v>
      </c>
    </row>
    <row r="1954" spans="1:1" x14ac:dyDescent="0.4">
      <c r="A1954" s="14" t="str">
        <f t="shared" si="30"/>
        <v>01</v>
      </c>
    </row>
    <row r="1955" spans="1:1" x14ac:dyDescent="0.4">
      <c r="A1955" s="14" t="str">
        <f t="shared" si="30"/>
        <v>01</v>
      </c>
    </row>
    <row r="1956" spans="1:1" x14ac:dyDescent="0.4">
      <c r="A1956" s="14" t="str">
        <f t="shared" si="30"/>
        <v>01</v>
      </c>
    </row>
    <row r="1957" spans="1:1" x14ac:dyDescent="0.4">
      <c r="A1957" s="14" t="str">
        <f t="shared" si="30"/>
        <v>01</v>
      </c>
    </row>
    <row r="1958" spans="1:1" x14ac:dyDescent="0.4">
      <c r="A1958" s="14" t="str">
        <f t="shared" si="30"/>
        <v>01</v>
      </c>
    </row>
    <row r="1959" spans="1:1" x14ac:dyDescent="0.4">
      <c r="A1959" s="14" t="str">
        <f t="shared" si="30"/>
        <v>01</v>
      </c>
    </row>
    <row r="1960" spans="1:1" x14ac:dyDescent="0.4">
      <c r="A1960" s="14" t="str">
        <f t="shared" si="30"/>
        <v>01</v>
      </c>
    </row>
    <row r="1961" spans="1:1" x14ac:dyDescent="0.4">
      <c r="A1961" s="14" t="str">
        <f t="shared" si="30"/>
        <v>01</v>
      </c>
    </row>
    <row r="1962" spans="1:1" x14ac:dyDescent="0.4">
      <c r="A1962" s="14" t="str">
        <f t="shared" si="30"/>
        <v>01</v>
      </c>
    </row>
    <row r="1963" spans="1:1" x14ac:dyDescent="0.4">
      <c r="A1963" s="14" t="str">
        <f t="shared" si="30"/>
        <v>01</v>
      </c>
    </row>
    <row r="1964" spans="1:1" x14ac:dyDescent="0.4">
      <c r="A1964" s="14" t="str">
        <f t="shared" si="30"/>
        <v>01</v>
      </c>
    </row>
    <row r="1965" spans="1:1" x14ac:dyDescent="0.4">
      <c r="A1965" s="14" t="str">
        <f t="shared" si="30"/>
        <v>01</v>
      </c>
    </row>
    <row r="1966" spans="1:1" x14ac:dyDescent="0.4">
      <c r="A1966" s="14" t="str">
        <f t="shared" si="30"/>
        <v>01</v>
      </c>
    </row>
    <row r="1967" spans="1:1" x14ac:dyDescent="0.4">
      <c r="A1967" s="14" t="str">
        <f t="shared" si="30"/>
        <v>01</v>
      </c>
    </row>
    <row r="1968" spans="1:1" x14ac:dyDescent="0.4">
      <c r="A1968" s="14" t="str">
        <f t="shared" si="30"/>
        <v>01</v>
      </c>
    </row>
    <row r="1969" spans="1:1" x14ac:dyDescent="0.4">
      <c r="A1969" s="14" t="str">
        <f t="shared" si="30"/>
        <v>01</v>
      </c>
    </row>
    <row r="1970" spans="1:1" x14ac:dyDescent="0.4">
      <c r="A1970" s="14" t="str">
        <f t="shared" si="30"/>
        <v>01</v>
      </c>
    </row>
    <row r="1971" spans="1:1" x14ac:dyDescent="0.4">
      <c r="A1971" s="14" t="str">
        <f t="shared" si="30"/>
        <v>01</v>
      </c>
    </row>
    <row r="1972" spans="1:1" x14ac:dyDescent="0.4">
      <c r="A1972" s="14" t="str">
        <f t="shared" si="30"/>
        <v>01</v>
      </c>
    </row>
    <row r="1973" spans="1:1" x14ac:dyDescent="0.4">
      <c r="A1973" s="14" t="str">
        <f t="shared" si="30"/>
        <v>01</v>
      </c>
    </row>
    <row r="1974" spans="1:1" x14ac:dyDescent="0.4">
      <c r="A1974" s="14" t="str">
        <f t="shared" si="30"/>
        <v>01</v>
      </c>
    </row>
    <row r="1975" spans="1:1" x14ac:dyDescent="0.4">
      <c r="A1975" s="14" t="str">
        <f t="shared" si="30"/>
        <v>01</v>
      </c>
    </row>
    <row r="1976" spans="1:1" x14ac:dyDescent="0.4">
      <c r="A1976" s="14" t="str">
        <f t="shared" si="30"/>
        <v>01</v>
      </c>
    </row>
    <row r="1977" spans="1:1" x14ac:dyDescent="0.4">
      <c r="A1977" s="14" t="str">
        <f t="shared" si="30"/>
        <v>01</v>
      </c>
    </row>
    <row r="1978" spans="1:1" x14ac:dyDescent="0.4">
      <c r="A1978" s="14" t="str">
        <f t="shared" si="30"/>
        <v>01</v>
      </c>
    </row>
    <row r="1979" spans="1:1" x14ac:dyDescent="0.4">
      <c r="A1979" s="14" t="str">
        <f t="shared" si="30"/>
        <v>01</v>
      </c>
    </row>
    <row r="1980" spans="1:1" x14ac:dyDescent="0.4">
      <c r="A1980" s="14" t="str">
        <f t="shared" si="30"/>
        <v>01</v>
      </c>
    </row>
    <row r="1981" spans="1:1" x14ac:dyDescent="0.4">
      <c r="A1981" s="14" t="str">
        <f t="shared" si="30"/>
        <v>01</v>
      </c>
    </row>
    <row r="1982" spans="1:1" x14ac:dyDescent="0.4">
      <c r="A1982" s="14" t="str">
        <f t="shared" si="30"/>
        <v>01</v>
      </c>
    </row>
    <row r="1983" spans="1:1" x14ac:dyDescent="0.4">
      <c r="A1983" s="14" t="str">
        <f t="shared" si="30"/>
        <v>01</v>
      </c>
    </row>
    <row r="1984" spans="1:1" x14ac:dyDescent="0.4">
      <c r="A1984" s="14" t="str">
        <f t="shared" si="30"/>
        <v>01</v>
      </c>
    </row>
    <row r="1985" spans="1:1" x14ac:dyDescent="0.4">
      <c r="A1985" s="14" t="str">
        <f t="shared" si="30"/>
        <v>01</v>
      </c>
    </row>
    <row r="1986" spans="1:1" x14ac:dyDescent="0.4">
      <c r="A1986" s="14" t="str">
        <f t="shared" si="30"/>
        <v>01</v>
      </c>
    </row>
    <row r="1987" spans="1:1" x14ac:dyDescent="0.4">
      <c r="A1987" s="14" t="str">
        <f t="shared" ref="A1987:A2050" si="31">TEXT(L1987,"MM")</f>
        <v>01</v>
      </c>
    </row>
    <row r="1988" spans="1:1" x14ac:dyDescent="0.4">
      <c r="A1988" s="14" t="str">
        <f t="shared" si="31"/>
        <v>01</v>
      </c>
    </row>
    <row r="1989" spans="1:1" x14ac:dyDescent="0.4">
      <c r="A1989" s="14" t="str">
        <f t="shared" si="31"/>
        <v>01</v>
      </c>
    </row>
    <row r="1990" spans="1:1" x14ac:dyDescent="0.4">
      <c r="A1990" s="14" t="str">
        <f t="shared" si="31"/>
        <v>01</v>
      </c>
    </row>
    <row r="1991" spans="1:1" x14ac:dyDescent="0.4">
      <c r="A1991" s="14" t="str">
        <f t="shared" si="31"/>
        <v>01</v>
      </c>
    </row>
    <row r="1992" spans="1:1" x14ac:dyDescent="0.4">
      <c r="A1992" s="14" t="str">
        <f t="shared" si="31"/>
        <v>01</v>
      </c>
    </row>
    <row r="1993" spans="1:1" x14ac:dyDescent="0.4">
      <c r="A1993" s="14" t="str">
        <f t="shared" si="31"/>
        <v>01</v>
      </c>
    </row>
    <row r="1994" spans="1:1" x14ac:dyDescent="0.4">
      <c r="A1994" s="14" t="str">
        <f t="shared" si="31"/>
        <v>01</v>
      </c>
    </row>
    <row r="1995" spans="1:1" x14ac:dyDescent="0.4">
      <c r="A1995" s="14" t="str">
        <f t="shared" si="31"/>
        <v>01</v>
      </c>
    </row>
    <row r="1996" spans="1:1" x14ac:dyDescent="0.4">
      <c r="A1996" s="14" t="str">
        <f t="shared" si="31"/>
        <v>01</v>
      </c>
    </row>
    <row r="1997" spans="1:1" x14ac:dyDescent="0.4">
      <c r="A1997" s="14" t="str">
        <f t="shared" si="31"/>
        <v>01</v>
      </c>
    </row>
    <row r="1998" spans="1:1" x14ac:dyDescent="0.4">
      <c r="A1998" s="14" t="str">
        <f t="shared" si="31"/>
        <v>01</v>
      </c>
    </row>
    <row r="1999" spans="1:1" x14ac:dyDescent="0.4">
      <c r="A1999" s="14" t="str">
        <f t="shared" si="31"/>
        <v>01</v>
      </c>
    </row>
    <row r="2000" spans="1:1" x14ac:dyDescent="0.4">
      <c r="A2000" s="14" t="str">
        <f t="shared" si="31"/>
        <v>01</v>
      </c>
    </row>
    <row r="2001" spans="1:1" x14ac:dyDescent="0.4">
      <c r="A2001" s="14" t="str">
        <f t="shared" si="31"/>
        <v>01</v>
      </c>
    </row>
    <row r="2002" spans="1:1" x14ac:dyDescent="0.4">
      <c r="A2002" s="14" t="str">
        <f t="shared" si="31"/>
        <v>01</v>
      </c>
    </row>
    <row r="2003" spans="1:1" x14ac:dyDescent="0.4">
      <c r="A2003" s="14" t="str">
        <f t="shared" si="31"/>
        <v>01</v>
      </c>
    </row>
    <row r="2004" spans="1:1" x14ac:dyDescent="0.4">
      <c r="A2004" s="14" t="str">
        <f t="shared" si="31"/>
        <v>01</v>
      </c>
    </row>
    <row r="2005" spans="1:1" x14ac:dyDescent="0.4">
      <c r="A2005" s="14" t="str">
        <f t="shared" si="31"/>
        <v>01</v>
      </c>
    </row>
    <row r="2006" spans="1:1" x14ac:dyDescent="0.4">
      <c r="A2006" s="14" t="str">
        <f t="shared" si="31"/>
        <v>01</v>
      </c>
    </row>
    <row r="2007" spans="1:1" x14ac:dyDescent="0.4">
      <c r="A2007" s="14" t="str">
        <f t="shared" si="31"/>
        <v>01</v>
      </c>
    </row>
    <row r="2008" spans="1:1" x14ac:dyDescent="0.4">
      <c r="A2008" s="14" t="str">
        <f t="shared" si="31"/>
        <v>01</v>
      </c>
    </row>
    <row r="2009" spans="1:1" x14ac:dyDescent="0.4">
      <c r="A2009" s="14" t="str">
        <f t="shared" si="31"/>
        <v>01</v>
      </c>
    </row>
    <row r="2010" spans="1:1" x14ac:dyDescent="0.4">
      <c r="A2010" s="14" t="str">
        <f t="shared" si="31"/>
        <v>01</v>
      </c>
    </row>
    <row r="2011" spans="1:1" x14ac:dyDescent="0.4">
      <c r="A2011" s="14" t="str">
        <f t="shared" si="31"/>
        <v>01</v>
      </c>
    </row>
    <row r="2012" spans="1:1" x14ac:dyDescent="0.4">
      <c r="A2012" s="14" t="str">
        <f t="shared" si="31"/>
        <v>01</v>
      </c>
    </row>
    <row r="2013" spans="1:1" x14ac:dyDescent="0.4">
      <c r="A2013" s="14" t="str">
        <f t="shared" si="31"/>
        <v>01</v>
      </c>
    </row>
    <row r="2014" spans="1:1" x14ac:dyDescent="0.4">
      <c r="A2014" s="14" t="str">
        <f t="shared" si="31"/>
        <v>01</v>
      </c>
    </row>
    <row r="2015" spans="1:1" x14ac:dyDescent="0.4">
      <c r="A2015" s="14" t="str">
        <f t="shared" si="31"/>
        <v>01</v>
      </c>
    </row>
    <row r="2016" spans="1:1" x14ac:dyDescent="0.4">
      <c r="A2016" s="14" t="str">
        <f t="shared" si="31"/>
        <v>01</v>
      </c>
    </row>
    <row r="2017" spans="1:1" x14ac:dyDescent="0.4">
      <c r="A2017" s="14" t="str">
        <f t="shared" si="31"/>
        <v>01</v>
      </c>
    </row>
    <row r="2018" spans="1:1" x14ac:dyDescent="0.4">
      <c r="A2018" s="14" t="str">
        <f t="shared" si="31"/>
        <v>01</v>
      </c>
    </row>
    <row r="2019" spans="1:1" x14ac:dyDescent="0.4">
      <c r="A2019" s="14" t="str">
        <f t="shared" si="31"/>
        <v>01</v>
      </c>
    </row>
    <row r="2020" spans="1:1" x14ac:dyDescent="0.4">
      <c r="A2020" s="14" t="str">
        <f t="shared" si="31"/>
        <v>01</v>
      </c>
    </row>
    <row r="2021" spans="1:1" x14ac:dyDescent="0.4">
      <c r="A2021" s="14" t="str">
        <f t="shared" si="31"/>
        <v>01</v>
      </c>
    </row>
    <row r="2022" spans="1:1" x14ac:dyDescent="0.4">
      <c r="A2022" s="14" t="str">
        <f t="shared" si="31"/>
        <v>01</v>
      </c>
    </row>
    <row r="2023" spans="1:1" x14ac:dyDescent="0.4">
      <c r="A2023" s="14" t="str">
        <f t="shared" si="31"/>
        <v>01</v>
      </c>
    </row>
    <row r="2024" spans="1:1" x14ac:dyDescent="0.4">
      <c r="A2024" s="14" t="str">
        <f t="shared" si="31"/>
        <v>01</v>
      </c>
    </row>
    <row r="2025" spans="1:1" x14ac:dyDescent="0.4">
      <c r="A2025" s="14" t="str">
        <f t="shared" si="31"/>
        <v>01</v>
      </c>
    </row>
    <row r="2026" spans="1:1" x14ac:dyDescent="0.4">
      <c r="A2026" s="14" t="str">
        <f t="shared" si="31"/>
        <v>01</v>
      </c>
    </row>
    <row r="2027" spans="1:1" x14ac:dyDescent="0.4">
      <c r="A2027" s="14" t="str">
        <f t="shared" si="31"/>
        <v>01</v>
      </c>
    </row>
    <row r="2028" spans="1:1" x14ac:dyDescent="0.4">
      <c r="A2028" s="14" t="str">
        <f t="shared" si="31"/>
        <v>01</v>
      </c>
    </row>
    <row r="2029" spans="1:1" x14ac:dyDescent="0.4">
      <c r="A2029" s="14" t="str">
        <f t="shared" si="31"/>
        <v>01</v>
      </c>
    </row>
    <row r="2030" spans="1:1" x14ac:dyDescent="0.4">
      <c r="A2030" s="14" t="str">
        <f t="shared" si="31"/>
        <v>01</v>
      </c>
    </row>
    <row r="2031" spans="1:1" x14ac:dyDescent="0.4">
      <c r="A2031" s="14" t="str">
        <f t="shared" si="31"/>
        <v>01</v>
      </c>
    </row>
    <row r="2032" spans="1:1" x14ac:dyDescent="0.4">
      <c r="A2032" s="14" t="str">
        <f t="shared" si="31"/>
        <v>01</v>
      </c>
    </row>
    <row r="2033" spans="1:1" x14ac:dyDescent="0.4">
      <c r="A2033" s="14" t="str">
        <f t="shared" si="31"/>
        <v>01</v>
      </c>
    </row>
    <row r="2034" spans="1:1" x14ac:dyDescent="0.4">
      <c r="A2034" s="14" t="str">
        <f t="shared" si="31"/>
        <v>01</v>
      </c>
    </row>
    <row r="2035" spans="1:1" x14ac:dyDescent="0.4">
      <c r="A2035" s="14" t="str">
        <f t="shared" si="31"/>
        <v>01</v>
      </c>
    </row>
    <row r="2036" spans="1:1" x14ac:dyDescent="0.4">
      <c r="A2036" s="14" t="str">
        <f t="shared" si="31"/>
        <v>01</v>
      </c>
    </row>
    <row r="2037" spans="1:1" x14ac:dyDescent="0.4">
      <c r="A2037" s="14" t="str">
        <f t="shared" si="31"/>
        <v>01</v>
      </c>
    </row>
    <row r="2038" spans="1:1" x14ac:dyDescent="0.4">
      <c r="A2038" s="14" t="str">
        <f t="shared" si="31"/>
        <v>01</v>
      </c>
    </row>
    <row r="2039" spans="1:1" x14ac:dyDescent="0.4">
      <c r="A2039" s="14" t="str">
        <f t="shared" si="31"/>
        <v>01</v>
      </c>
    </row>
    <row r="2040" spans="1:1" x14ac:dyDescent="0.4">
      <c r="A2040" s="14" t="str">
        <f t="shared" si="31"/>
        <v>01</v>
      </c>
    </row>
    <row r="2041" spans="1:1" x14ac:dyDescent="0.4">
      <c r="A2041" s="14" t="str">
        <f t="shared" si="31"/>
        <v>01</v>
      </c>
    </row>
    <row r="2042" spans="1:1" x14ac:dyDescent="0.4">
      <c r="A2042" s="14" t="str">
        <f t="shared" si="31"/>
        <v>01</v>
      </c>
    </row>
    <row r="2043" spans="1:1" x14ac:dyDescent="0.4">
      <c r="A2043" s="14" t="str">
        <f t="shared" si="31"/>
        <v>01</v>
      </c>
    </row>
    <row r="2044" spans="1:1" x14ac:dyDescent="0.4">
      <c r="A2044" s="14" t="str">
        <f t="shared" si="31"/>
        <v>01</v>
      </c>
    </row>
    <row r="2045" spans="1:1" x14ac:dyDescent="0.4">
      <c r="A2045" s="14" t="str">
        <f t="shared" si="31"/>
        <v>01</v>
      </c>
    </row>
    <row r="2046" spans="1:1" x14ac:dyDescent="0.4">
      <c r="A2046" s="14" t="str">
        <f t="shared" si="31"/>
        <v>01</v>
      </c>
    </row>
    <row r="2047" spans="1:1" x14ac:dyDescent="0.4">
      <c r="A2047" s="14" t="str">
        <f t="shared" si="31"/>
        <v>01</v>
      </c>
    </row>
    <row r="2048" spans="1:1" x14ac:dyDescent="0.4">
      <c r="A2048" s="14" t="str">
        <f t="shared" si="31"/>
        <v>01</v>
      </c>
    </row>
    <row r="2049" spans="1:1" x14ac:dyDescent="0.4">
      <c r="A2049" s="14" t="str">
        <f t="shared" si="31"/>
        <v>01</v>
      </c>
    </row>
    <row r="2050" spans="1:1" x14ac:dyDescent="0.4">
      <c r="A2050" s="14" t="str">
        <f t="shared" si="31"/>
        <v>01</v>
      </c>
    </row>
    <row r="2051" spans="1:1" x14ac:dyDescent="0.4">
      <c r="A2051" s="14" t="str">
        <f t="shared" ref="A2051:A2114" si="32">TEXT(L2051,"MM")</f>
        <v>01</v>
      </c>
    </row>
    <row r="2052" spans="1:1" x14ac:dyDescent="0.4">
      <c r="A2052" s="14" t="str">
        <f t="shared" si="32"/>
        <v>01</v>
      </c>
    </row>
    <row r="2053" spans="1:1" x14ac:dyDescent="0.4">
      <c r="A2053" s="14" t="str">
        <f t="shared" si="32"/>
        <v>01</v>
      </c>
    </row>
    <row r="2054" spans="1:1" x14ac:dyDescent="0.4">
      <c r="A2054" s="14" t="str">
        <f t="shared" si="32"/>
        <v>01</v>
      </c>
    </row>
    <row r="2055" spans="1:1" x14ac:dyDescent="0.4">
      <c r="A2055" s="14" t="str">
        <f t="shared" si="32"/>
        <v>01</v>
      </c>
    </row>
    <row r="2056" spans="1:1" x14ac:dyDescent="0.4">
      <c r="A2056" s="14" t="str">
        <f t="shared" si="32"/>
        <v>01</v>
      </c>
    </row>
    <row r="2057" spans="1:1" x14ac:dyDescent="0.4">
      <c r="A2057" s="14" t="str">
        <f t="shared" si="32"/>
        <v>01</v>
      </c>
    </row>
    <row r="2058" spans="1:1" x14ac:dyDescent="0.4">
      <c r="A2058" s="14" t="str">
        <f t="shared" si="32"/>
        <v>01</v>
      </c>
    </row>
    <row r="2059" spans="1:1" x14ac:dyDescent="0.4">
      <c r="A2059" s="14" t="str">
        <f t="shared" si="32"/>
        <v>01</v>
      </c>
    </row>
    <row r="2060" spans="1:1" x14ac:dyDescent="0.4">
      <c r="A2060" s="14" t="str">
        <f t="shared" si="32"/>
        <v>01</v>
      </c>
    </row>
    <row r="2061" spans="1:1" x14ac:dyDescent="0.4">
      <c r="A2061" s="14" t="str">
        <f t="shared" si="32"/>
        <v>01</v>
      </c>
    </row>
    <row r="2062" spans="1:1" x14ac:dyDescent="0.4">
      <c r="A2062" s="14" t="str">
        <f t="shared" si="32"/>
        <v>01</v>
      </c>
    </row>
    <row r="2063" spans="1:1" x14ac:dyDescent="0.4">
      <c r="A2063" s="14" t="str">
        <f t="shared" si="32"/>
        <v>01</v>
      </c>
    </row>
    <row r="2064" spans="1:1" x14ac:dyDescent="0.4">
      <c r="A2064" s="14" t="str">
        <f t="shared" si="32"/>
        <v>01</v>
      </c>
    </row>
    <row r="2065" spans="1:1" x14ac:dyDescent="0.4">
      <c r="A2065" s="14" t="str">
        <f t="shared" si="32"/>
        <v>01</v>
      </c>
    </row>
    <row r="2066" spans="1:1" x14ac:dyDescent="0.4">
      <c r="A2066" s="14" t="str">
        <f t="shared" si="32"/>
        <v>01</v>
      </c>
    </row>
    <row r="2067" spans="1:1" x14ac:dyDescent="0.4">
      <c r="A2067" s="14" t="str">
        <f t="shared" si="32"/>
        <v>01</v>
      </c>
    </row>
    <row r="2068" spans="1:1" x14ac:dyDescent="0.4">
      <c r="A2068" s="14" t="str">
        <f t="shared" si="32"/>
        <v>01</v>
      </c>
    </row>
    <row r="2069" spans="1:1" x14ac:dyDescent="0.4">
      <c r="A2069" s="14" t="str">
        <f t="shared" si="32"/>
        <v>01</v>
      </c>
    </row>
    <row r="2070" spans="1:1" x14ac:dyDescent="0.4">
      <c r="A2070" s="14" t="str">
        <f t="shared" si="32"/>
        <v>01</v>
      </c>
    </row>
    <row r="2071" spans="1:1" x14ac:dyDescent="0.4">
      <c r="A2071" s="14" t="str">
        <f t="shared" si="32"/>
        <v>01</v>
      </c>
    </row>
    <row r="2072" spans="1:1" x14ac:dyDescent="0.4">
      <c r="A2072" s="14" t="str">
        <f t="shared" si="32"/>
        <v>01</v>
      </c>
    </row>
    <row r="2073" spans="1:1" x14ac:dyDescent="0.4">
      <c r="A2073" s="14" t="str">
        <f t="shared" si="32"/>
        <v>01</v>
      </c>
    </row>
    <row r="2074" spans="1:1" x14ac:dyDescent="0.4">
      <c r="A2074" s="14" t="str">
        <f t="shared" si="32"/>
        <v>01</v>
      </c>
    </row>
    <row r="2075" spans="1:1" x14ac:dyDescent="0.4">
      <c r="A2075" s="14" t="str">
        <f t="shared" si="32"/>
        <v>01</v>
      </c>
    </row>
    <row r="2076" spans="1:1" x14ac:dyDescent="0.4">
      <c r="A2076" s="14" t="str">
        <f t="shared" si="32"/>
        <v>01</v>
      </c>
    </row>
    <row r="2077" spans="1:1" x14ac:dyDescent="0.4">
      <c r="A2077" s="14" t="str">
        <f t="shared" si="32"/>
        <v>01</v>
      </c>
    </row>
    <row r="2078" spans="1:1" x14ac:dyDescent="0.4">
      <c r="A2078" s="14" t="str">
        <f t="shared" si="32"/>
        <v>01</v>
      </c>
    </row>
    <row r="2079" spans="1:1" x14ac:dyDescent="0.4">
      <c r="A2079" s="14" t="str">
        <f t="shared" si="32"/>
        <v>01</v>
      </c>
    </row>
    <row r="2080" spans="1:1" x14ac:dyDescent="0.4">
      <c r="A2080" s="14" t="str">
        <f t="shared" si="32"/>
        <v>01</v>
      </c>
    </row>
    <row r="2081" spans="1:1" x14ac:dyDescent="0.4">
      <c r="A2081" s="14" t="str">
        <f t="shared" si="32"/>
        <v>01</v>
      </c>
    </row>
    <row r="2082" spans="1:1" x14ac:dyDescent="0.4">
      <c r="A2082" s="14" t="str">
        <f t="shared" si="32"/>
        <v>01</v>
      </c>
    </row>
    <row r="2083" spans="1:1" x14ac:dyDescent="0.4">
      <c r="A2083" s="14" t="str">
        <f t="shared" si="32"/>
        <v>01</v>
      </c>
    </row>
    <row r="2084" spans="1:1" x14ac:dyDescent="0.4">
      <c r="A2084" s="14" t="str">
        <f t="shared" si="32"/>
        <v>01</v>
      </c>
    </row>
    <row r="2085" spans="1:1" x14ac:dyDescent="0.4">
      <c r="A2085" s="14" t="str">
        <f t="shared" si="32"/>
        <v>01</v>
      </c>
    </row>
    <row r="2086" spans="1:1" x14ac:dyDescent="0.4">
      <c r="A2086" s="14" t="str">
        <f t="shared" si="32"/>
        <v>01</v>
      </c>
    </row>
    <row r="2087" spans="1:1" x14ac:dyDescent="0.4">
      <c r="A2087" s="14" t="str">
        <f t="shared" si="32"/>
        <v>01</v>
      </c>
    </row>
    <row r="2088" spans="1:1" x14ac:dyDescent="0.4">
      <c r="A2088" s="14" t="str">
        <f t="shared" si="32"/>
        <v>01</v>
      </c>
    </row>
    <row r="2089" spans="1:1" x14ac:dyDescent="0.4">
      <c r="A2089" s="14" t="str">
        <f t="shared" si="32"/>
        <v>01</v>
      </c>
    </row>
    <row r="2090" spans="1:1" x14ac:dyDescent="0.4">
      <c r="A2090" s="14" t="str">
        <f t="shared" si="32"/>
        <v>01</v>
      </c>
    </row>
    <row r="2091" spans="1:1" x14ac:dyDescent="0.4">
      <c r="A2091" s="14" t="str">
        <f t="shared" si="32"/>
        <v>01</v>
      </c>
    </row>
    <row r="2092" spans="1:1" x14ac:dyDescent="0.4">
      <c r="A2092" s="14" t="str">
        <f t="shared" si="32"/>
        <v>01</v>
      </c>
    </row>
    <row r="2093" spans="1:1" x14ac:dyDescent="0.4">
      <c r="A2093" s="14" t="str">
        <f t="shared" si="32"/>
        <v>01</v>
      </c>
    </row>
    <row r="2094" spans="1:1" x14ac:dyDescent="0.4">
      <c r="A2094" s="14" t="str">
        <f t="shared" si="32"/>
        <v>01</v>
      </c>
    </row>
    <row r="2095" spans="1:1" x14ac:dyDescent="0.4">
      <c r="A2095" s="14" t="str">
        <f t="shared" si="32"/>
        <v>01</v>
      </c>
    </row>
    <row r="2096" spans="1:1" x14ac:dyDescent="0.4">
      <c r="A2096" s="14" t="str">
        <f t="shared" si="32"/>
        <v>01</v>
      </c>
    </row>
    <row r="2097" spans="1:1" x14ac:dyDescent="0.4">
      <c r="A2097" s="14" t="str">
        <f t="shared" si="32"/>
        <v>01</v>
      </c>
    </row>
    <row r="2098" spans="1:1" x14ac:dyDescent="0.4">
      <c r="A2098" s="14" t="str">
        <f t="shared" si="32"/>
        <v>01</v>
      </c>
    </row>
    <row r="2099" spans="1:1" x14ac:dyDescent="0.4">
      <c r="A2099" s="14" t="str">
        <f t="shared" si="32"/>
        <v>01</v>
      </c>
    </row>
    <row r="2100" spans="1:1" x14ac:dyDescent="0.4">
      <c r="A2100" s="14" t="str">
        <f t="shared" si="32"/>
        <v>01</v>
      </c>
    </row>
    <row r="2101" spans="1:1" x14ac:dyDescent="0.4">
      <c r="A2101" s="14" t="str">
        <f t="shared" si="32"/>
        <v>01</v>
      </c>
    </row>
    <row r="2102" spans="1:1" x14ac:dyDescent="0.4">
      <c r="A2102" s="14" t="str">
        <f t="shared" si="32"/>
        <v>01</v>
      </c>
    </row>
    <row r="2103" spans="1:1" x14ac:dyDescent="0.4">
      <c r="A2103" s="14" t="str">
        <f t="shared" si="32"/>
        <v>01</v>
      </c>
    </row>
    <row r="2104" spans="1:1" x14ac:dyDescent="0.4">
      <c r="A2104" s="14" t="str">
        <f t="shared" si="32"/>
        <v>01</v>
      </c>
    </row>
    <row r="2105" spans="1:1" x14ac:dyDescent="0.4">
      <c r="A2105" s="14" t="str">
        <f t="shared" si="32"/>
        <v>01</v>
      </c>
    </row>
    <row r="2106" spans="1:1" x14ac:dyDescent="0.4">
      <c r="A2106" s="14" t="str">
        <f t="shared" si="32"/>
        <v>01</v>
      </c>
    </row>
    <row r="2107" spans="1:1" x14ac:dyDescent="0.4">
      <c r="A2107" s="14" t="str">
        <f t="shared" si="32"/>
        <v>01</v>
      </c>
    </row>
    <row r="2108" spans="1:1" x14ac:dyDescent="0.4">
      <c r="A2108" s="14" t="str">
        <f t="shared" si="32"/>
        <v>01</v>
      </c>
    </row>
    <row r="2109" spans="1:1" x14ac:dyDescent="0.4">
      <c r="A2109" s="14" t="str">
        <f t="shared" si="32"/>
        <v>01</v>
      </c>
    </row>
    <row r="2110" spans="1:1" x14ac:dyDescent="0.4">
      <c r="A2110" s="14" t="str">
        <f t="shared" si="32"/>
        <v>01</v>
      </c>
    </row>
    <row r="2111" spans="1:1" x14ac:dyDescent="0.4">
      <c r="A2111" s="14" t="str">
        <f t="shared" si="32"/>
        <v>01</v>
      </c>
    </row>
    <row r="2112" spans="1:1" x14ac:dyDescent="0.4">
      <c r="A2112" s="14" t="str">
        <f t="shared" si="32"/>
        <v>01</v>
      </c>
    </row>
    <row r="2113" spans="1:1" x14ac:dyDescent="0.4">
      <c r="A2113" s="14" t="str">
        <f t="shared" si="32"/>
        <v>01</v>
      </c>
    </row>
    <row r="2114" spans="1:1" x14ac:dyDescent="0.4">
      <c r="A2114" s="14" t="str">
        <f t="shared" si="32"/>
        <v>01</v>
      </c>
    </row>
    <row r="2115" spans="1:1" x14ac:dyDescent="0.4">
      <c r="A2115" s="14" t="str">
        <f t="shared" ref="A2115:A2178" si="33">TEXT(L2115,"MM")</f>
        <v>01</v>
      </c>
    </row>
    <row r="2116" spans="1:1" x14ac:dyDescent="0.4">
      <c r="A2116" s="14" t="str">
        <f t="shared" si="33"/>
        <v>01</v>
      </c>
    </row>
    <row r="2117" spans="1:1" x14ac:dyDescent="0.4">
      <c r="A2117" s="14" t="str">
        <f t="shared" si="33"/>
        <v>01</v>
      </c>
    </row>
    <row r="2118" spans="1:1" x14ac:dyDescent="0.4">
      <c r="A2118" s="14" t="str">
        <f t="shared" si="33"/>
        <v>01</v>
      </c>
    </row>
    <row r="2119" spans="1:1" x14ac:dyDescent="0.4">
      <c r="A2119" s="14" t="str">
        <f t="shared" si="33"/>
        <v>01</v>
      </c>
    </row>
    <row r="2120" spans="1:1" x14ac:dyDescent="0.4">
      <c r="A2120" s="14" t="str">
        <f t="shared" si="33"/>
        <v>01</v>
      </c>
    </row>
    <row r="2121" spans="1:1" x14ac:dyDescent="0.4">
      <c r="A2121" s="14" t="str">
        <f t="shared" si="33"/>
        <v>01</v>
      </c>
    </row>
    <row r="2122" spans="1:1" x14ac:dyDescent="0.4">
      <c r="A2122" s="14" t="str">
        <f t="shared" si="33"/>
        <v>01</v>
      </c>
    </row>
    <row r="2123" spans="1:1" x14ac:dyDescent="0.4">
      <c r="A2123" s="14" t="str">
        <f t="shared" si="33"/>
        <v>01</v>
      </c>
    </row>
    <row r="2124" spans="1:1" x14ac:dyDescent="0.4">
      <c r="A2124" s="14" t="str">
        <f t="shared" si="33"/>
        <v>01</v>
      </c>
    </row>
    <row r="2125" spans="1:1" x14ac:dyDescent="0.4">
      <c r="A2125" s="14" t="str">
        <f t="shared" si="33"/>
        <v>01</v>
      </c>
    </row>
    <row r="2126" spans="1:1" x14ac:dyDescent="0.4">
      <c r="A2126" s="14" t="str">
        <f t="shared" si="33"/>
        <v>01</v>
      </c>
    </row>
    <row r="2127" spans="1:1" x14ac:dyDescent="0.4">
      <c r="A2127" s="14" t="str">
        <f t="shared" si="33"/>
        <v>01</v>
      </c>
    </row>
    <row r="2128" spans="1:1" x14ac:dyDescent="0.4">
      <c r="A2128" s="14" t="str">
        <f t="shared" si="33"/>
        <v>01</v>
      </c>
    </row>
    <row r="2129" spans="1:1" x14ac:dyDescent="0.4">
      <c r="A2129" s="14" t="str">
        <f t="shared" si="33"/>
        <v>01</v>
      </c>
    </row>
    <row r="2130" spans="1:1" x14ac:dyDescent="0.4">
      <c r="A2130" s="14" t="str">
        <f t="shared" si="33"/>
        <v>01</v>
      </c>
    </row>
    <row r="2131" spans="1:1" x14ac:dyDescent="0.4">
      <c r="A2131" s="14" t="str">
        <f t="shared" si="33"/>
        <v>01</v>
      </c>
    </row>
    <row r="2132" spans="1:1" x14ac:dyDescent="0.4">
      <c r="A2132" s="14" t="str">
        <f t="shared" si="33"/>
        <v>01</v>
      </c>
    </row>
    <row r="2133" spans="1:1" x14ac:dyDescent="0.4">
      <c r="A2133" s="14" t="str">
        <f t="shared" si="33"/>
        <v>01</v>
      </c>
    </row>
    <row r="2134" spans="1:1" x14ac:dyDescent="0.4">
      <c r="A2134" s="14" t="str">
        <f t="shared" si="33"/>
        <v>01</v>
      </c>
    </row>
    <row r="2135" spans="1:1" x14ac:dyDescent="0.4">
      <c r="A2135" s="14" t="str">
        <f t="shared" si="33"/>
        <v>01</v>
      </c>
    </row>
    <row r="2136" spans="1:1" x14ac:dyDescent="0.4">
      <c r="A2136" s="14" t="str">
        <f t="shared" si="33"/>
        <v>01</v>
      </c>
    </row>
    <row r="2137" spans="1:1" x14ac:dyDescent="0.4">
      <c r="A2137" s="14" t="str">
        <f t="shared" si="33"/>
        <v>01</v>
      </c>
    </row>
    <row r="2138" spans="1:1" x14ac:dyDescent="0.4">
      <c r="A2138" s="14" t="str">
        <f t="shared" si="33"/>
        <v>01</v>
      </c>
    </row>
    <row r="2139" spans="1:1" x14ac:dyDescent="0.4">
      <c r="A2139" s="14" t="str">
        <f t="shared" si="33"/>
        <v>01</v>
      </c>
    </row>
    <row r="2140" spans="1:1" x14ac:dyDescent="0.4">
      <c r="A2140" s="14" t="str">
        <f t="shared" si="33"/>
        <v>01</v>
      </c>
    </row>
    <row r="2141" spans="1:1" x14ac:dyDescent="0.4">
      <c r="A2141" s="14" t="str">
        <f t="shared" si="33"/>
        <v>01</v>
      </c>
    </row>
    <row r="2142" spans="1:1" x14ac:dyDescent="0.4">
      <c r="A2142" s="14" t="str">
        <f t="shared" si="33"/>
        <v>01</v>
      </c>
    </row>
    <row r="2143" spans="1:1" x14ac:dyDescent="0.4">
      <c r="A2143" s="14" t="str">
        <f t="shared" si="33"/>
        <v>01</v>
      </c>
    </row>
    <row r="2144" spans="1:1" x14ac:dyDescent="0.4">
      <c r="A2144" s="14" t="str">
        <f t="shared" si="33"/>
        <v>01</v>
      </c>
    </row>
    <row r="2145" spans="1:1" x14ac:dyDescent="0.4">
      <c r="A2145" s="14" t="str">
        <f t="shared" si="33"/>
        <v>01</v>
      </c>
    </row>
    <row r="2146" spans="1:1" x14ac:dyDescent="0.4">
      <c r="A2146" s="14" t="str">
        <f t="shared" si="33"/>
        <v>01</v>
      </c>
    </row>
    <row r="2147" spans="1:1" x14ac:dyDescent="0.4">
      <c r="A2147" s="14" t="str">
        <f t="shared" si="33"/>
        <v>01</v>
      </c>
    </row>
    <row r="2148" spans="1:1" x14ac:dyDescent="0.4">
      <c r="A2148" s="14" t="str">
        <f t="shared" si="33"/>
        <v>01</v>
      </c>
    </row>
    <row r="2149" spans="1:1" x14ac:dyDescent="0.4">
      <c r="A2149" s="14" t="str">
        <f t="shared" si="33"/>
        <v>01</v>
      </c>
    </row>
    <row r="2150" spans="1:1" x14ac:dyDescent="0.4">
      <c r="A2150" s="14" t="str">
        <f t="shared" si="33"/>
        <v>01</v>
      </c>
    </row>
    <row r="2151" spans="1:1" x14ac:dyDescent="0.4">
      <c r="A2151" s="14" t="str">
        <f t="shared" si="33"/>
        <v>01</v>
      </c>
    </row>
    <row r="2152" spans="1:1" x14ac:dyDescent="0.4">
      <c r="A2152" s="14" t="str">
        <f t="shared" si="33"/>
        <v>01</v>
      </c>
    </row>
    <row r="2153" spans="1:1" x14ac:dyDescent="0.4">
      <c r="A2153" s="14" t="str">
        <f t="shared" si="33"/>
        <v>01</v>
      </c>
    </row>
    <row r="2154" spans="1:1" x14ac:dyDescent="0.4">
      <c r="A2154" s="14" t="str">
        <f t="shared" si="33"/>
        <v>01</v>
      </c>
    </row>
    <row r="2155" spans="1:1" x14ac:dyDescent="0.4">
      <c r="A2155" s="14" t="str">
        <f t="shared" si="33"/>
        <v>01</v>
      </c>
    </row>
    <row r="2156" spans="1:1" x14ac:dyDescent="0.4">
      <c r="A2156" s="14" t="str">
        <f t="shared" si="33"/>
        <v>01</v>
      </c>
    </row>
    <row r="2157" spans="1:1" x14ac:dyDescent="0.4">
      <c r="A2157" s="14" t="str">
        <f t="shared" si="33"/>
        <v>01</v>
      </c>
    </row>
    <row r="2158" spans="1:1" x14ac:dyDescent="0.4">
      <c r="A2158" s="14" t="str">
        <f t="shared" si="33"/>
        <v>01</v>
      </c>
    </row>
    <row r="2159" spans="1:1" x14ac:dyDescent="0.4">
      <c r="A2159" s="14" t="str">
        <f t="shared" si="33"/>
        <v>01</v>
      </c>
    </row>
    <row r="2160" spans="1:1" x14ac:dyDescent="0.4">
      <c r="A2160" s="14" t="str">
        <f t="shared" si="33"/>
        <v>01</v>
      </c>
    </row>
    <row r="2161" spans="1:1" x14ac:dyDescent="0.4">
      <c r="A2161" s="14" t="str">
        <f t="shared" si="33"/>
        <v>01</v>
      </c>
    </row>
    <row r="2162" spans="1:1" x14ac:dyDescent="0.4">
      <c r="A2162" s="14" t="str">
        <f t="shared" si="33"/>
        <v>01</v>
      </c>
    </row>
    <row r="2163" spans="1:1" x14ac:dyDescent="0.4">
      <c r="A2163" s="14" t="str">
        <f t="shared" si="33"/>
        <v>01</v>
      </c>
    </row>
    <row r="2164" spans="1:1" x14ac:dyDescent="0.4">
      <c r="A2164" s="14" t="str">
        <f t="shared" si="33"/>
        <v>01</v>
      </c>
    </row>
    <row r="2165" spans="1:1" x14ac:dyDescent="0.4">
      <c r="A2165" s="14" t="str">
        <f t="shared" si="33"/>
        <v>01</v>
      </c>
    </row>
    <row r="2166" spans="1:1" x14ac:dyDescent="0.4">
      <c r="A2166" s="14" t="str">
        <f t="shared" si="33"/>
        <v>01</v>
      </c>
    </row>
    <row r="2167" spans="1:1" x14ac:dyDescent="0.4">
      <c r="A2167" s="14" t="str">
        <f t="shared" si="33"/>
        <v>01</v>
      </c>
    </row>
    <row r="2168" spans="1:1" x14ac:dyDescent="0.4">
      <c r="A2168" s="14" t="str">
        <f t="shared" si="33"/>
        <v>01</v>
      </c>
    </row>
    <row r="2169" spans="1:1" x14ac:dyDescent="0.4">
      <c r="A2169" s="14" t="str">
        <f t="shared" si="33"/>
        <v>01</v>
      </c>
    </row>
    <row r="2170" spans="1:1" x14ac:dyDescent="0.4">
      <c r="A2170" s="14" t="str">
        <f t="shared" si="33"/>
        <v>01</v>
      </c>
    </row>
    <row r="2171" spans="1:1" x14ac:dyDescent="0.4">
      <c r="A2171" s="14" t="str">
        <f t="shared" si="33"/>
        <v>01</v>
      </c>
    </row>
    <row r="2172" spans="1:1" x14ac:dyDescent="0.4">
      <c r="A2172" s="14" t="str">
        <f t="shared" si="33"/>
        <v>01</v>
      </c>
    </row>
    <row r="2173" spans="1:1" x14ac:dyDescent="0.4">
      <c r="A2173" s="14" t="str">
        <f t="shared" si="33"/>
        <v>01</v>
      </c>
    </row>
    <row r="2174" spans="1:1" x14ac:dyDescent="0.4">
      <c r="A2174" s="14" t="str">
        <f t="shared" si="33"/>
        <v>01</v>
      </c>
    </row>
    <row r="2175" spans="1:1" x14ac:dyDescent="0.4">
      <c r="A2175" s="14" t="str">
        <f t="shared" si="33"/>
        <v>01</v>
      </c>
    </row>
    <row r="2176" spans="1:1" x14ac:dyDescent="0.4">
      <c r="A2176" s="14" t="str">
        <f t="shared" si="33"/>
        <v>01</v>
      </c>
    </row>
    <row r="2177" spans="1:1" x14ac:dyDescent="0.4">
      <c r="A2177" s="14" t="str">
        <f t="shared" si="33"/>
        <v>01</v>
      </c>
    </row>
    <row r="2178" spans="1:1" x14ac:dyDescent="0.4">
      <c r="A2178" s="14" t="str">
        <f t="shared" si="33"/>
        <v>01</v>
      </c>
    </row>
    <row r="2179" spans="1:1" x14ac:dyDescent="0.4">
      <c r="A2179" s="14" t="str">
        <f t="shared" ref="A2179:A2242" si="34">TEXT(L2179,"MM")</f>
        <v>01</v>
      </c>
    </row>
    <row r="2180" spans="1:1" x14ac:dyDescent="0.4">
      <c r="A2180" s="14" t="str">
        <f t="shared" si="34"/>
        <v>01</v>
      </c>
    </row>
    <row r="2181" spans="1:1" x14ac:dyDescent="0.4">
      <c r="A2181" s="14" t="str">
        <f t="shared" si="34"/>
        <v>01</v>
      </c>
    </row>
    <row r="2182" spans="1:1" x14ac:dyDescent="0.4">
      <c r="A2182" s="14" t="str">
        <f t="shared" si="34"/>
        <v>01</v>
      </c>
    </row>
    <row r="2183" spans="1:1" x14ac:dyDescent="0.4">
      <c r="A2183" s="14" t="str">
        <f t="shared" si="34"/>
        <v>01</v>
      </c>
    </row>
    <row r="2184" spans="1:1" x14ac:dyDescent="0.4">
      <c r="A2184" s="14" t="str">
        <f t="shared" si="34"/>
        <v>01</v>
      </c>
    </row>
    <row r="2185" spans="1:1" x14ac:dyDescent="0.4">
      <c r="A2185" s="14" t="str">
        <f t="shared" si="34"/>
        <v>01</v>
      </c>
    </row>
    <row r="2186" spans="1:1" x14ac:dyDescent="0.4">
      <c r="A2186" s="14" t="str">
        <f t="shared" si="34"/>
        <v>01</v>
      </c>
    </row>
    <row r="2187" spans="1:1" x14ac:dyDescent="0.4">
      <c r="A2187" s="14" t="str">
        <f t="shared" si="34"/>
        <v>01</v>
      </c>
    </row>
    <row r="2188" spans="1:1" x14ac:dyDescent="0.4">
      <c r="A2188" s="14" t="str">
        <f t="shared" si="34"/>
        <v>01</v>
      </c>
    </row>
    <row r="2189" spans="1:1" x14ac:dyDescent="0.4">
      <c r="A2189" s="14" t="str">
        <f t="shared" si="34"/>
        <v>01</v>
      </c>
    </row>
    <row r="2190" spans="1:1" x14ac:dyDescent="0.4">
      <c r="A2190" s="14" t="str">
        <f t="shared" si="34"/>
        <v>01</v>
      </c>
    </row>
    <row r="2191" spans="1:1" x14ac:dyDescent="0.4">
      <c r="A2191" s="14" t="str">
        <f t="shared" si="34"/>
        <v>01</v>
      </c>
    </row>
    <row r="2192" spans="1:1" x14ac:dyDescent="0.4">
      <c r="A2192" s="14" t="str">
        <f t="shared" si="34"/>
        <v>01</v>
      </c>
    </row>
    <row r="2193" spans="1:1" x14ac:dyDescent="0.4">
      <c r="A2193" s="14" t="str">
        <f t="shared" si="34"/>
        <v>01</v>
      </c>
    </row>
    <row r="2194" spans="1:1" x14ac:dyDescent="0.4">
      <c r="A2194" s="14" t="str">
        <f t="shared" si="34"/>
        <v>01</v>
      </c>
    </row>
    <row r="2195" spans="1:1" x14ac:dyDescent="0.4">
      <c r="A2195" s="14" t="str">
        <f t="shared" si="34"/>
        <v>01</v>
      </c>
    </row>
    <row r="2196" spans="1:1" x14ac:dyDescent="0.4">
      <c r="A2196" s="14" t="str">
        <f t="shared" si="34"/>
        <v>01</v>
      </c>
    </row>
    <row r="2197" spans="1:1" x14ac:dyDescent="0.4">
      <c r="A2197" s="14" t="str">
        <f t="shared" si="34"/>
        <v>01</v>
      </c>
    </row>
    <row r="2198" spans="1:1" x14ac:dyDescent="0.4">
      <c r="A2198" s="14" t="str">
        <f t="shared" si="34"/>
        <v>01</v>
      </c>
    </row>
    <row r="2199" spans="1:1" x14ac:dyDescent="0.4">
      <c r="A2199" s="14" t="str">
        <f t="shared" si="34"/>
        <v>01</v>
      </c>
    </row>
    <row r="2200" spans="1:1" x14ac:dyDescent="0.4">
      <c r="A2200" s="14" t="str">
        <f t="shared" si="34"/>
        <v>01</v>
      </c>
    </row>
    <row r="2201" spans="1:1" x14ac:dyDescent="0.4">
      <c r="A2201" s="14" t="str">
        <f t="shared" si="34"/>
        <v>01</v>
      </c>
    </row>
    <row r="2202" spans="1:1" x14ac:dyDescent="0.4">
      <c r="A2202" s="14" t="str">
        <f t="shared" si="34"/>
        <v>01</v>
      </c>
    </row>
    <row r="2203" spans="1:1" x14ac:dyDescent="0.4">
      <c r="A2203" s="14" t="str">
        <f t="shared" si="34"/>
        <v>01</v>
      </c>
    </row>
    <row r="2204" spans="1:1" x14ac:dyDescent="0.4">
      <c r="A2204" s="14" t="str">
        <f t="shared" si="34"/>
        <v>01</v>
      </c>
    </row>
    <row r="2205" spans="1:1" x14ac:dyDescent="0.4">
      <c r="A2205" s="14" t="str">
        <f t="shared" si="34"/>
        <v>01</v>
      </c>
    </row>
    <row r="2206" spans="1:1" x14ac:dyDescent="0.4">
      <c r="A2206" s="14" t="str">
        <f t="shared" si="34"/>
        <v>01</v>
      </c>
    </row>
    <row r="2207" spans="1:1" x14ac:dyDescent="0.4">
      <c r="A2207" s="14" t="str">
        <f t="shared" si="34"/>
        <v>01</v>
      </c>
    </row>
    <row r="2208" spans="1:1" x14ac:dyDescent="0.4">
      <c r="A2208" s="14" t="str">
        <f t="shared" si="34"/>
        <v>01</v>
      </c>
    </row>
    <row r="2209" spans="1:1" x14ac:dyDescent="0.4">
      <c r="A2209" s="14" t="str">
        <f t="shared" si="34"/>
        <v>01</v>
      </c>
    </row>
    <row r="2210" spans="1:1" x14ac:dyDescent="0.4">
      <c r="A2210" s="14" t="str">
        <f t="shared" si="34"/>
        <v>01</v>
      </c>
    </row>
    <row r="2211" spans="1:1" x14ac:dyDescent="0.4">
      <c r="A2211" s="14" t="str">
        <f t="shared" si="34"/>
        <v>01</v>
      </c>
    </row>
    <row r="2212" spans="1:1" x14ac:dyDescent="0.4">
      <c r="A2212" s="14" t="str">
        <f t="shared" si="34"/>
        <v>01</v>
      </c>
    </row>
    <row r="2213" spans="1:1" x14ac:dyDescent="0.4">
      <c r="A2213" s="14" t="str">
        <f t="shared" si="34"/>
        <v>01</v>
      </c>
    </row>
    <row r="2214" spans="1:1" x14ac:dyDescent="0.4">
      <c r="A2214" s="14" t="str">
        <f t="shared" si="34"/>
        <v>01</v>
      </c>
    </row>
    <row r="2215" spans="1:1" x14ac:dyDescent="0.4">
      <c r="A2215" s="14" t="str">
        <f t="shared" si="34"/>
        <v>01</v>
      </c>
    </row>
    <row r="2216" spans="1:1" x14ac:dyDescent="0.4">
      <c r="A2216" s="14" t="str">
        <f t="shared" si="34"/>
        <v>01</v>
      </c>
    </row>
    <row r="2217" spans="1:1" x14ac:dyDescent="0.4">
      <c r="A2217" s="14" t="str">
        <f t="shared" si="34"/>
        <v>01</v>
      </c>
    </row>
    <row r="2218" spans="1:1" x14ac:dyDescent="0.4">
      <c r="A2218" s="14" t="str">
        <f t="shared" si="34"/>
        <v>01</v>
      </c>
    </row>
    <row r="2219" spans="1:1" x14ac:dyDescent="0.4">
      <c r="A2219" s="14" t="str">
        <f t="shared" si="34"/>
        <v>01</v>
      </c>
    </row>
    <row r="2220" spans="1:1" x14ac:dyDescent="0.4">
      <c r="A2220" s="14" t="str">
        <f t="shared" si="34"/>
        <v>01</v>
      </c>
    </row>
    <row r="2221" spans="1:1" x14ac:dyDescent="0.4">
      <c r="A2221" s="14" t="str">
        <f t="shared" si="34"/>
        <v>01</v>
      </c>
    </row>
    <row r="2222" spans="1:1" x14ac:dyDescent="0.4">
      <c r="A2222" s="14" t="str">
        <f t="shared" si="34"/>
        <v>01</v>
      </c>
    </row>
    <row r="2223" spans="1:1" x14ac:dyDescent="0.4">
      <c r="A2223" s="14" t="str">
        <f t="shared" si="34"/>
        <v>01</v>
      </c>
    </row>
    <row r="2224" spans="1:1" x14ac:dyDescent="0.4">
      <c r="A2224" s="14" t="str">
        <f t="shared" si="34"/>
        <v>01</v>
      </c>
    </row>
    <row r="2225" spans="1:1" x14ac:dyDescent="0.4">
      <c r="A2225" s="14" t="str">
        <f t="shared" si="34"/>
        <v>01</v>
      </c>
    </row>
    <row r="2226" spans="1:1" x14ac:dyDescent="0.4">
      <c r="A2226" s="14" t="str">
        <f t="shared" si="34"/>
        <v>01</v>
      </c>
    </row>
    <row r="2227" spans="1:1" x14ac:dyDescent="0.4">
      <c r="A2227" s="14" t="str">
        <f t="shared" si="34"/>
        <v>01</v>
      </c>
    </row>
    <row r="2228" spans="1:1" x14ac:dyDescent="0.4">
      <c r="A2228" s="14" t="str">
        <f t="shared" si="34"/>
        <v>01</v>
      </c>
    </row>
    <row r="2229" spans="1:1" x14ac:dyDescent="0.4">
      <c r="A2229" s="14" t="str">
        <f t="shared" si="34"/>
        <v>01</v>
      </c>
    </row>
    <row r="2230" spans="1:1" x14ac:dyDescent="0.4">
      <c r="A2230" s="14" t="str">
        <f t="shared" si="34"/>
        <v>01</v>
      </c>
    </row>
    <row r="2231" spans="1:1" x14ac:dyDescent="0.4">
      <c r="A2231" s="14" t="str">
        <f t="shared" si="34"/>
        <v>01</v>
      </c>
    </row>
    <row r="2232" spans="1:1" x14ac:dyDescent="0.4">
      <c r="A2232" s="14" t="str">
        <f t="shared" si="34"/>
        <v>01</v>
      </c>
    </row>
    <row r="2233" spans="1:1" x14ac:dyDescent="0.4">
      <c r="A2233" s="14" t="str">
        <f t="shared" si="34"/>
        <v>01</v>
      </c>
    </row>
    <row r="2234" spans="1:1" x14ac:dyDescent="0.4">
      <c r="A2234" s="14" t="str">
        <f t="shared" si="34"/>
        <v>01</v>
      </c>
    </row>
    <row r="2235" spans="1:1" x14ac:dyDescent="0.4">
      <c r="A2235" s="14" t="str">
        <f t="shared" si="34"/>
        <v>01</v>
      </c>
    </row>
    <row r="2236" spans="1:1" x14ac:dyDescent="0.4">
      <c r="A2236" s="14" t="str">
        <f t="shared" si="34"/>
        <v>01</v>
      </c>
    </row>
    <row r="2237" spans="1:1" x14ac:dyDescent="0.4">
      <c r="A2237" s="14" t="str">
        <f t="shared" si="34"/>
        <v>01</v>
      </c>
    </row>
    <row r="2238" spans="1:1" x14ac:dyDescent="0.4">
      <c r="A2238" s="14" t="str">
        <f t="shared" si="34"/>
        <v>01</v>
      </c>
    </row>
    <row r="2239" spans="1:1" x14ac:dyDescent="0.4">
      <c r="A2239" s="14" t="str">
        <f t="shared" si="34"/>
        <v>01</v>
      </c>
    </row>
    <row r="2240" spans="1:1" x14ac:dyDescent="0.4">
      <c r="A2240" s="14" t="str">
        <f t="shared" si="34"/>
        <v>01</v>
      </c>
    </row>
    <row r="2241" spans="1:1" x14ac:dyDescent="0.4">
      <c r="A2241" s="14" t="str">
        <f t="shared" si="34"/>
        <v>01</v>
      </c>
    </row>
    <row r="2242" spans="1:1" x14ac:dyDescent="0.4">
      <c r="A2242" s="14" t="str">
        <f t="shared" si="34"/>
        <v>01</v>
      </c>
    </row>
    <row r="2243" spans="1:1" x14ac:dyDescent="0.4">
      <c r="A2243" s="14" t="str">
        <f t="shared" ref="A2243:A2306" si="35">TEXT(L2243,"MM")</f>
        <v>01</v>
      </c>
    </row>
    <row r="2244" spans="1:1" x14ac:dyDescent="0.4">
      <c r="A2244" s="14" t="str">
        <f t="shared" si="35"/>
        <v>01</v>
      </c>
    </row>
    <row r="2245" spans="1:1" x14ac:dyDescent="0.4">
      <c r="A2245" s="14" t="str">
        <f t="shared" si="35"/>
        <v>01</v>
      </c>
    </row>
    <row r="2246" spans="1:1" x14ac:dyDescent="0.4">
      <c r="A2246" s="14" t="str">
        <f t="shared" si="35"/>
        <v>01</v>
      </c>
    </row>
    <row r="2247" spans="1:1" x14ac:dyDescent="0.4">
      <c r="A2247" s="14" t="str">
        <f t="shared" si="35"/>
        <v>01</v>
      </c>
    </row>
    <row r="2248" spans="1:1" x14ac:dyDescent="0.4">
      <c r="A2248" s="14" t="str">
        <f t="shared" si="35"/>
        <v>01</v>
      </c>
    </row>
    <row r="2249" spans="1:1" x14ac:dyDescent="0.4">
      <c r="A2249" s="14" t="str">
        <f t="shared" si="35"/>
        <v>01</v>
      </c>
    </row>
    <row r="2250" spans="1:1" x14ac:dyDescent="0.4">
      <c r="A2250" s="14" t="str">
        <f t="shared" si="35"/>
        <v>01</v>
      </c>
    </row>
    <row r="2251" spans="1:1" x14ac:dyDescent="0.4">
      <c r="A2251" s="14" t="str">
        <f t="shared" si="35"/>
        <v>01</v>
      </c>
    </row>
    <row r="2252" spans="1:1" x14ac:dyDescent="0.4">
      <c r="A2252" s="14" t="str">
        <f t="shared" si="35"/>
        <v>01</v>
      </c>
    </row>
    <row r="2253" spans="1:1" x14ac:dyDescent="0.4">
      <c r="A2253" s="14" t="str">
        <f t="shared" si="35"/>
        <v>01</v>
      </c>
    </row>
    <row r="2254" spans="1:1" x14ac:dyDescent="0.4">
      <c r="A2254" s="14" t="str">
        <f t="shared" si="35"/>
        <v>01</v>
      </c>
    </row>
    <row r="2255" spans="1:1" x14ac:dyDescent="0.4">
      <c r="A2255" s="14" t="str">
        <f t="shared" si="35"/>
        <v>01</v>
      </c>
    </row>
    <row r="2256" spans="1:1" x14ac:dyDescent="0.4">
      <c r="A2256" s="14" t="str">
        <f t="shared" si="35"/>
        <v>01</v>
      </c>
    </row>
    <row r="2257" spans="1:1" x14ac:dyDescent="0.4">
      <c r="A2257" s="14" t="str">
        <f t="shared" si="35"/>
        <v>01</v>
      </c>
    </row>
    <row r="2258" spans="1:1" x14ac:dyDescent="0.4">
      <c r="A2258" s="14" t="str">
        <f t="shared" si="35"/>
        <v>01</v>
      </c>
    </row>
    <row r="2259" spans="1:1" x14ac:dyDescent="0.4">
      <c r="A2259" s="14" t="str">
        <f t="shared" si="35"/>
        <v>01</v>
      </c>
    </row>
    <row r="2260" spans="1:1" x14ac:dyDescent="0.4">
      <c r="A2260" s="14" t="str">
        <f t="shared" si="35"/>
        <v>01</v>
      </c>
    </row>
    <row r="2261" spans="1:1" x14ac:dyDescent="0.4">
      <c r="A2261" s="14" t="str">
        <f t="shared" si="35"/>
        <v>01</v>
      </c>
    </row>
    <row r="2262" spans="1:1" x14ac:dyDescent="0.4">
      <c r="A2262" s="14" t="str">
        <f t="shared" si="35"/>
        <v>01</v>
      </c>
    </row>
    <row r="2263" spans="1:1" x14ac:dyDescent="0.4">
      <c r="A2263" s="14" t="str">
        <f t="shared" si="35"/>
        <v>01</v>
      </c>
    </row>
    <row r="2264" spans="1:1" x14ac:dyDescent="0.4">
      <c r="A2264" s="14" t="str">
        <f t="shared" si="35"/>
        <v>01</v>
      </c>
    </row>
    <row r="2265" spans="1:1" x14ac:dyDescent="0.4">
      <c r="A2265" s="14" t="str">
        <f t="shared" si="35"/>
        <v>01</v>
      </c>
    </row>
    <row r="2266" spans="1:1" x14ac:dyDescent="0.4">
      <c r="A2266" s="14" t="str">
        <f t="shared" si="35"/>
        <v>01</v>
      </c>
    </row>
    <row r="2267" spans="1:1" x14ac:dyDescent="0.4">
      <c r="A2267" s="14" t="str">
        <f t="shared" si="35"/>
        <v>01</v>
      </c>
    </row>
    <row r="2268" spans="1:1" x14ac:dyDescent="0.4">
      <c r="A2268" s="14" t="str">
        <f t="shared" si="35"/>
        <v>01</v>
      </c>
    </row>
    <row r="2269" spans="1:1" x14ac:dyDescent="0.4">
      <c r="A2269" s="14" t="str">
        <f t="shared" si="35"/>
        <v>01</v>
      </c>
    </row>
    <row r="2270" spans="1:1" x14ac:dyDescent="0.4">
      <c r="A2270" s="14" t="str">
        <f t="shared" si="35"/>
        <v>01</v>
      </c>
    </row>
    <row r="2271" spans="1:1" x14ac:dyDescent="0.4">
      <c r="A2271" s="14" t="str">
        <f t="shared" si="35"/>
        <v>01</v>
      </c>
    </row>
    <row r="2272" spans="1:1" x14ac:dyDescent="0.4">
      <c r="A2272" s="14" t="str">
        <f t="shared" si="35"/>
        <v>01</v>
      </c>
    </row>
    <row r="2273" spans="1:1" x14ac:dyDescent="0.4">
      <c r="A2273" s="14" t="str">
        <f t="shared" si="35"/>
        <v>01</v>
      </c>
    </row>
    <row r="2274" spans="1:1" x14ac:dyDescent="0.4">
      <c r="A2274" s="14" t="str">
        <f t="shared" si="35"/>
        <v>01</v>
      </c>
    </row>
    <row r="2275" spans="1:1" x14ac:dyDescent="0.4">
      <c r="A2275" s="14" t="str">
        <f t="shared" si="35"/>
        <v>01</v>
      </c>
    </row>
    <row r="2276" spans="1:1" x14ac:dyDescent="0.4">
      <c r="A2276" s="14" t="str">
        <f t="shared" si="35"/>
        <v>01</v>
      </c>
    </row>
    <row r="2277" spans="1:1" x14ac:dyDescent="0.4">
      <c r="A2277" s="14" t="str">
        <f t="shared" si="35"/>
        <v>01</v>
      </c>
    </row>
    <row r="2278" spans="1:1" x14ac:dyDescent="0.4">
      <c r="A2278" s="14" t="str">
        <f t="shared" si="35"/>
        <v>01</v>
      </c>
    </row>
    <row r="2279" spans="1:1" x14ac:dyDescent="0.4">
      <c r="A2279" s="14" t="str">
        <f t="shared" si="35"/>
        <v>01</v>
      </c>
    </row>
    <row r="2280" spans="1:1" x14ac:dyDescent="0.4">
      <c r="A2280" s="14" t="str">
        <f t="shared" si="35"/>
        <v>01</v>
      </c>
    </row>
    <row r="2281" spans="1:1" x14ac:dyDescent="0.4">
      <c r="A2281" s="14" t="str">
        <f t="shared" si="35"/>
        <v>01</v>
      </c>
    </row>
    <row r="2282" spans="1:1" x14ac:dyDescent="0.4">
      <c r="A2282" s="14" t="str">
        <f t="shared" si="35"/>
        <v>01</v>
      </c>
    </row>
    <row r="2283" spans="1:1" x14ac:dyDescent="0.4">
      <c r="A2283" s="14" t="str">
        <f t="shared" si="35"/>
        <v>01</v>
      </c>
    </row>
    <row r="2284" spans="1:1" x14ac:dyDescent="0.4">
      <c r="A2284" s="14" t="str">
        <f t="shared" si="35"/>
        <v>01</v>
      </c>
    </row>
    <row r="2285" spans="1:1" x14ac:dyDescent="0.4">
      <c r="A2285" s="14" t="str">
        <f t="shared" si="35"/>
        <v>01</v>
      </c>
    </row>
    <row r="2286" spans="1:1" x14ac:dyDescent="0.4">
      <c r="A2286" s="14" t="str">
        <f t="shared" si="35"/>
        <v>01</v>
      </c>
    </row>
    <row r="2287" spans="1:1" x14ac:dyDescent="0.4">
      <c r="A2287" s="14" t="str">
        <f t="shared" si="35"/>
        <v>01</v>
      </c>
    </row>
    <row r="2288" spans="1:1" x14ac:dyDescent="0.4">
      <c r="A2288" s="14" t="str">
        <f t="shared" si="35"/>
        <v>01</v>
      </c>
    </row>
    <row r="2289" spans="1:1" x14ac:dyDescent="0.4">
      <c r="A2289" s="14" t="str">
        <f t="shared" si="35"/>
        <v>01</v>
      </c>
    </row>
    <row r="2290" spans="1:1" x14ac:dyDescent="0.4">
      <c r="A2290" s="14" t="str">
        <f t="shared" si="35"/>
        <v>01</v>
      </c>
    </row>
    <row r="2291" spans="1:1" x14ac:dyDescent="0.4">
      <c r="A2291" s="14" t="str">
        <f t="shared" si="35"/>
        <v>01</v>
      </c>
    </row>
    <row r="2292" spans="1:1" x14ac:dyDescent="0.4">
      <c r="A2292" s="14" t="str">
        <f t="shared" si="35"/>
        <v>01</v>
      </c>
    </row>
    <row r="2293" spans="1:1" x14ac:dyDescent="0.4">
      <c r="A2293" s="14" t="str">
        <f t="shared" si="35"/>
        <v>01</v>
      </c>
    </row>
    <row r="2294" spans="1:1" x14ac:dyDescent="0.4">
      <c r="A2294" s="14" t="str">
        <f t="shared" si="35"/>
        <v>01</v>
      </c>
    </row>
    <row r="2295" spans="1:1" x14ac:dyDescent="0.4">
      <c r="A2295" s="14" t="str">
        <f t="shared" si="35"/>
        <v>01</v>
      </c>
    </row>
    <row r="2296" spans="1:1" x14ac:dyDescent="0.4">
      <c r="A2296" s="14" t="str">
        <f t="shared" si="35"/>
        <v>01</v>
      </c>
    </row>
    <row r="2297" spans="1:1" x14ac:dyDescent="0.4">
      <c r="A2297" s="14" t="str">
        <f t="shared" si="35"/>
        <v>01</v>
      </c>
    </row>
    <row r="2298" spans="1:1" x14ac:dyDescent="0.4">
      <c r="A2298" s="14" t="str">
        <f t="shared" si="35"/>
        <v>01</v>
      </c>
    </row>
    <row r="2299" spans="1:1" x14ac:dyDescent="0.4">
      <c r="A2299" s="14" t="str">
        <f t="shared" si="35"/>
        <v>01</v>
      </c>
    </row>
    <row r="2300" spans="1:1" x14ac:dyDescent="0.4">
      <c r="A2300" s="14" t="str">
        <f t="shared" si="35"/>
        <v>01</v>
      </c>
    </row>
    <row r="2301" spans="1:1" x14ac:dyDescent="0.4">
      <c r="A2301" s="14" t="str">
        <f t="shared" si="35"/>
        <v>01</v>
      </c>
    </row>
    <row r="2302" spans="1:1" x14ac:dyDescent="0.4">
      <c r="A2302" s="14" t="str">
        <f t="shared" si="35"/>
        <v>01</v>
      </c>
    </row>
    <row r="2303" spans="1:1" x14ac:dyDescent="0.4">
      <c r="A2303" s="14" t="str">
        <f t="shared" si="35"/>
        <v>01</v>
      </c>
    </row>
    <row r="2304" spans="1:1" x14ac:dyDescent="0.4">
      <c r="A2304" s="14" t="str">
        <f t="shared" si="35"/>
        <v>01</v>
      </c>
    </row>
    <row r="2305" spans="1:1" x14ac:dyDescent="0.4">
      <c r="A2305" s="14" t="str">
        <f t="shared" si="35"/>
        <v>01</v>
      </c>
    </row>
    <row r="2306" spans="1:1" x14ac:dyDescent="0.4">
      <c r="A2306" s="14" t="str">
        <f t="shared" si="35"/>
        <v>01</v>
      </c>
    </row>
    <row r="2307" spans="1:1" x14ac:dyDescent="0.4">
      <c r="A2307" s="14" t="str">
        <f t="shared" ref="A2307:A2370" si="36">TEXT(L2307,"MM")</f>
        <v>01</v>
      </c>
    </row>
    <row r="2308" spans="1:1" x14ac:dyDescent="0.4">
      <c r="A2308" s="14" t="str">
        <f t="shared" si="36"/>
        <v>01</v>
      </c>
    </row>
    <row r="2309" spans="1:1" x14ac:dyDescent="0.4">
      <c r="A2309" s="14" t="str">
        <f t="shared" si="36"/>
        <v>01</v>
      </c>
    </row>
    <row r="2310" spans="1:1" x14ac:dyDescent="0.4">
      <c r="A2310" s="14" t="str">
        <f t="shared" si="36"/>
        <v>01</v>
      </c>
    </row>
    <row r="2311" spans="1:1" x14ac:dyDescent="0.4">
      <c r="A2311" s="14" t="str">
        <f t="shared" si="36"/>
        <v>01</v>
      </c>
    </row>
    <row r="2312" spans="1:1" x14ac:dyDescent="0.4">
      <c r="A2312" s="14" t="str">
        <f t="shared" si="36"/>
        <v>01</v>
      </c>
    </row>
    <row r="2313" spans="1:1" x14ac:dyDescent="0.4">
      <c r="A2313" s="14" t="str">
        <f t="shared" si="36"/>
        <v>01</v>
      </c>
    </row>
    <row r="2314" spans="1:1" x14ac:dyDescent="0.4">
      <c r="A2314" s="14" t="str">
        <f t="shared" si="36"/>
        <v>01</v>
      </c>
    </row>
    <row r="2315" spans="1:1" x14ac:dyDescent="0.4">
      <c r="A2315" s="14" t="str">
        <f t="shared" si="36"/>
        <v>01</v>
      </c>
    </row>
    <row r="2316" spans="1:1" x14ac:dyDescent="0.4">
      <c r="A2316" s="14" t="str">
        <f t="shared" si="36"/>
        <v>01</v>
      </c>
    </row>
    <row r="2317" spans="1:1" x14ac:dyDescent="0.4">
      <c r="A2317" s="14" t="str">
        <f t="shared" si="36"/>
        <v>01</v>
      </c>
    </row>
    <row r="2318" spans="1:1" x14ac:dyDescent="0.4">
      <c r="A2318" s="14" t="str">
        <f t="shared" si="36"/>
        <v>01</v>
      </c>
    </row>
    <row r="2319" spans="1:1" x14ac:dyDescent="0.4">
      <c r="A2319" s="14" t="str">
        <f t="shared" si="36"/>
        <v>01</v>
      </c>
    </row>
    <row r="2320" spans="1:1" x14ac:dyDescent="0.4">
      <c r="A2320" s="14" t="str">
        <f t="shared" si="36"/>
        <v>01</v>
      </c>
    </row>
    <row r="2321" spans="1:1" x14ac:dyDescent="0.4">
      <c r="A2321" s="14" t="str">
        <f t="shared" si="36"/>
        <v>01</v>
      </c>
    </row>
    <row r="2322" spans="1:1" x14ac:dyDescent="0.4">
      <c r="A2322" s="14" t="str">
        <f t="shared" si="36"/>
        <v>01</v>
      </c>
    </row>
    <row r="2323" spans="1:1" x14ac:dyDescent="0.4">
      <c r="A2323" s="14" t="str">
        <f t="shared" si="36"/>
        <v>01</v>
      </c>
    </row>
    <row r="2324" spans="1:1" x14ac:dyDescent="0.4">
      <c r="A2324" s="14" t="str">
        <f t="shared" si="36"/>
        <v>01</v>
      </c>
    </row>
    <row r="2325" spans="1:1" x14ac:dyDescent="0.4">
      <c r="A2325" s="14" t="str">
        <f t="shared" si="36"/>
        <v>01</v>
      </c>
    </row>
    <row r="2326" spans="1:1" x14ac:dyDescent="0.4">
      <c r="A2326" s="14" t="str">
        <f t="shared" si="36"/>
        <v>01</v>
      </c>
    </row>
    <row r="2327" spans="1:1" x14ac:dyDescent="0.4">
      <c r="A2327" s="14" t="str">
        <f t="shared" si="36"/>
        <v>01</v>
      </c>
    </row>
    <row r="2328" spans="1:1" x14ac:dyDescent="0.4">
      <c r="A2328" s="14" t="str">
        <f t="shared" si="36"/>
        <v>01</v>
      </c>
    </row>
    <row r="2329" spans="1:1" x14ac:dyDescent="0.4">
      <c r="A2329" s="14" t="str">
        <f t="shared" si="36"/>
        <v>01</v>
      </c>
    </row>
    <row r="2330" spans="1:1" x14ac:dyDescent="0.4">
      <c r="A2330" s="14" t="str">
        <f t="shared" si="36"/>
        <v>01</v>
      </c>
    </row>
    <row r="2331" spans="1:1" x14ac:dyDescent="0.4">
      <c r="A2331" s="14" t="str">
        <f t="shared" si="36"/>
        <v>01</v>
      </c>
    </row>
    <row r="2332" spans="1:1" x14ac:dyDescent="0.4">
      <c r="A2332" s="14" t="str">
        <f t="shared" si="36"/>
        <v>01</v>
      </c>
    </row>
    <row r="2333" spans="1:1" x14ac:dyDescent="0.4">
      <c r="A2333" s="14" t="str">
        <f t="shared" si="36"/>
        <v>01</v>
      </c>
    </row>
    <row r="2334" spans="1:1" x14ac:dyDescent="0.4">
      <c r="A2334" s="14" t="str">
        <f t="shared" si="36"/>
        <v>01</v>
      </c>
    </row>
    <row r="2335" spans="1:1" x14ac:dyDescent="0.4">
      <c r="A2335" s="14" t="str">
        <f t="shared" si="36"/>
        <v>01</v>
      </c>
    </row>
    <row r="2336" spans="1:1" x14ac:dyDescent="0.4">
      <c r="A2336" s="14" t="str">
        <f t="shared" si="36"/>
        <v>01</v>
      </c>
    </row>
    <row r="2337" spans="1:1" x14ac:dyDescent="0.4">
      <c r="A2337" s="14" t="str">
        <f t="shared" si="36"/>
        <v>01</v>
      </c>
    </row>
    <row r="2338" spans="1:1" x14ac:dyDescent="0.4">
      <c r="A2338" s="14" t="str">
        <f t="shared" si="36"/>
        <v>01</v>
      </c>
    </row>
    <row r="2339" spans="1:1" x14ac:dyDescent="0.4">
      <c r="A2339" s="14" t="str">
        <f t="shared" si="36"/>
        <v>01</v>
      </c>
    </row>
    <row r="2340" spans="1:1" x14ac:dyDescent="0.4">
      <c r="A2340" s="14" t="str">
        <f t="shared" si="36"/>
        <v>01</v>
      </c>
    </row>
    <row r="2341" spans="1:1" x14ac:dyDescent="0.4">
      <c r="A2341" s="14" t="str">
        <f t="shared" si="36"/>
        <v>01</v>
      </c>
    </row>
    <row r="2342" spans="1:1" x14ac:dyDescent="0.4">
      <c r="A2342" s="14" t="str">
        <f t="shared" si="36"/>
        <v>01</v>
      </c>
    </row>
    <row r="2343" spans="1:1" x14ac:dyDescent="0.4">
      <c r="A2343" s="14" t="str">
        <f t="shared" si="36"/>
        <v>01</v>
      </c>
    </row>
    <row r="2344" spans="1:1" x14ac:dyDescent="0.4">
      <c r="A2344" s="14" t="str">
        <f t="shared" si="36"/>
        <v>01</v>
      </c>
    </row>
    <row r="2345" spans="1:1" x14ac:dyDescent="0.4">
      <c r="A2345" s="14" t="str">
        <f t="shared" si="36"/>
        <v>01</v>
      </c>
    </row>
    <row r="2346" spans="1:1" x14ac:dyDescent="0.4">
      <c r="A2346" s="14" t="str">
        <f t="shared" si="36"/>
        <v>01</v>
      </c>
    </row>
    <row r="2347" spans="1:1" x14ac:dyDescent="0.4">
      <c r="A2347" s="14" t="str">
        <f t="shared" si="36"/>
        <v>01</v>
      </c>
    </row>
    <row r="2348" spans="1:1" x14ac:dyDescent="0.4">
      <c r="A2348" s="14" t="str">
        <f t="shared" si="36"/>
        <v>01</v>
      </c>
    </row>
    <row r="2349" spans="1:1" x14ac:dyDescent="0.4">
      <c r="A2349" s="14" t="str">
        <f t="shared" si="36"/>
        <v>01</v>
      </c>
    </row>
    <row r="2350" spans="1:1" x14ac:dyDescent="0.4">
      <c r="A2350" s="14" t="str">
        <f t="shared" si="36"/>
        <v>01</v>
      </c>
    </row>
    <row r="2351" spans="1:1" x14ac:dyDescent="0.4">
      <c r="A2351" s="14" t="str">
        <f t="shared" si="36"/>
        <v>01</v>
      </c>
    </row>
    <row r="2352" spans="1:1" x14ac:dyDescent="0.4">
      <c r="A2352" s="14" t="str">
        <f t="shared" si="36"/>
        <v>01</v>
      </c>
    </row>
    <row r="2353" spans="1:1" x14ac:dyDescent="0.4">
      <c r="A2353" s="14" t="str">
        <f t="shared" si="36"/>
        <v>01</v>
      </c>
    </row>
    <row r="2354" spans="1:1" x14ac:dyDescent="0.4">
      <c r="A2354" s="14" t="str">
        <f t="shared" si="36"/>
        <v>01</v>
      </c>
    </row>
    <row r="2355" spans="1:1" x14ac:dyDescent="0.4">
      <c r="A2355" s="14" t="str">
        <f t="shared" si="36"/>
        <v>01</v>
      </c>
    </row>
    <row r="2356" spans="1:1" x14ac:dyDescent="0.4">
      <c r="A2356" s="14" t="str">
        <f t="shared" si="36"/>
        <v>01</v>
      </c>
    </row>
    <row r="2357" spans="1:1" x14ac:dyDescent="0.4">
      <c r="A2357" s="14" t="str">
        <f t="shared" si="36"/>
        <v>01</v>
      </c>
    </row>
    <row r="2358" spans="1:1" x14ac:dyDescent="0.4">
      <c r="A2358" s="14" t="str">
        <f t="shared" si="36"/>
        <v>01</v>
      </c>
    </row>
    <row r="2359" spans="1:1" x14ac:dyDescent="0.4">
      <c r="A2359" s="14" t="str">
        <f t="shared" si="36"/>
        <v>01</v>
      </c>
    </row>
    <row r="2360" spans="1:1" x14ac:dyDescent="0.4">
      <c r="A2360" s="14" t="str">
        <f t="shared" si="36"/>
        <v>01</v>
      </c>
    </row>
    <row r="2361" spans="1:1" x14ac:dyDescent="0.4">
      <c r="A2361" s="14" t="str">
        <f t="shared" si="36"/>
        <v>01</v>
      </c>
    </row>
    <row r="2362" spans="1:1" x14ac:dyDescent="0.4">
      <c r="A2362" s="14" t="str">
        <f t="shared" si="36"/>
        <v>01</v>
      </c>
    </row>
    <row r="2363" spans="1:1" x14ac:dyDescent="0.4">
      <c r="A2363" s="14" t="str">
        <f t="shared" si="36"/>
        <v>01</v>
      </c>
    </row>
    <row r="2364" spans="1:1" x14ac:dyDescent="0.4">
      <c r="A2364" s="14" t="str">
        <f t="shared" si="36"/>
        <v>01</v>
      </c>
    </row>
    <row r="2365" spans="1:1" x14ac:dyDescent="0.4">
      <c r="A2365" s="14" t="str">
        <f t="shared" si="36"/>
        <v>01</v>
      </c>
    </row>
    <row r="2366" spans="1:1" x14ac:dyDescent="0.4">
      <c r="A2366" s="14" t="str">
        <f t="shared" si="36"/>
        <v>01</v>
      </c>
    </row>
    <row r="2367" spans="1:1" x14ac:dyDescent="0.4">
      <c r="A2367" s="14" t="str">
        <f t="shared" si="36"/>
        <v>01</v>
      </c>
    </row>
    <row r="2368" spans="1:1" x14ac:dyDescent="0.4">
      <c r="A2368" s="14" t="str">
        <f t="shared" si="36"/>
        <v>01</v>
      </c>
    </row>
    <row r="2369" spans="1:1" x14ac:dyDescent="0.4">
      <c r="A2369" s="14" t="str">
        <f t="shared" si="36"/>
        <v>01</v>
      </c>
    </row>
    <row r="2370" spans="1:1" x14ac:dyDescent="0.4">
      <c r="A2370" s="14" t="str">
        <f t="shared" si="36"/>
        <v>01</v>
      </c>
    </row>
    <row r="2371" spans="1:1" x14ac:dyDescent="0.4">
      <c r="A2371" s="14" t="str">
        <f t="shared" ref="A2371:A2434" si="37">TEXT(L2371,"MM")</f>
        <v>01</v>
      </c>
    </row>
    <row r="2372" spans="1:1" x14ac:dyDescent="0.4">
      <c r="A2372" s="14" t="str">
        <f t="shared" si="37"/>
        <v>01</v>
      </c>
    </row>
    <row r="2373" spans="1:1" x14ac:dyDescent="0.4">
      <c r="A2373" s="14" t="str">
        <f t="shared" si="37"/>
        <v>01</v>
      </c>
    </row>
    <row r="2374" spans="1:1" x14ac:dyDescent="0.4">
      <c r="A2374" s="14" t="str">
        <f t="shared" si="37"/>
        <v>01</v>
      </c>
    </row>
    <row r="2375" spans="1:1" x14ac:dyDescent="0.4">
      <c r="A2375" s="14" t="str">
        <f t="shared" si="37"/>
        <v>01</v>
      </c>
    </row>
    <row r="2376" spans="1:1" x14ac:dyDescent="0.4">
      <c r="A2376" s="14" t="str">
        <f t="shared" si="37"/>
        <v>01</v>
      </c>
    </row>
    <row r="2377" spans="1:1" x14ac:dyDescent="0.4">
      <c r="A2377" s="14" t="str">
        <f t="shared" si="37"/>
        <v>01</v>
      </c>
    </row>
    <row r="2378" spans="1:1" x14ac:dyDescent="0.4">
      <c r="A2378" s="14" t="str">
        <f t="shared" si="37"/>
        <v>01</v>
      </c>
    </row>
    <row r="2379" spans="1:1" x14ac:dyDescent="0.4">
      <c r="A2379" s="14" t="str">
        <f t="shared" si="37"/>
        <v>01</v>
      </c>
    </row>
    <row r="2380" spans="1:1" x14ac:dyDescent="0.4">
      <c r="A2380" s="14" t="str">
        <f t="shared" si="37"/>
        <v>01</v>
      </c>
    </row>
    <row r="2381" spans="1:1" x14ac:dyDescent="0.4">
      <c r="A2381" s="14" t="str">
        <f t="shared" si="37"/>
        <v>01</v>
      </c>
    </row>
    <row r="2382" spans="1:1" x14ac:dyDescent="0.4">
      <c r="A2382" s="14" t="str">
        <f t="shared" si="37"/>
        <v>01</v>
      </c>
    </row>
    <row r="2383" spans="1:1" x14ac:dyDescent="0.4">
      <c r="A2383" s="14" t="str">
        <f t="shared" si="37"/>
        <v>01</v>
      </c>
    </row>
    <row r="2384" spans="1:1" x14ac:dyDescent="0.4">
      <c r="A2384" s="14" t="str">
        <f t="shared" si="37"/>
        <v>01</v>
      </c>
    </row>
    <row r="2385" spans="1:1" x14ac:dyDescent="0.4">
      <c r="A2385" s="14" t="str">
        <f t="shared" si="37"/>
        <v>01</v>
      </c>
    </row>
    <row r="2386" spans="1:1" x14ac:dyDescent="0.4">
      <c r="A2386" s="14" t="str">
        <f t="shared" si="37"/>
        <v>01</v>
      </c>
    </row>
    <row r="2387" spans="1:1" x14ac:dyDescent="0.4">
      <c r="A2387" s="14" t="str">
        <f t="shared" si="37"/>
        <v>01</v>
      </c>
    </row>
    <row r="2388" spans="1:1" x14ac:dyDescent="0.4">
      <c r="A2388" s="14" t="str">
        <f t="shared" si="37"/>
        <v>01</v>
      </c>
    </row>
    <row r="2389" spans="1:1" x14ac:dyDescent="0.4">
      <c r="A2389" s="14" t="str">
        <f t="shared" si="37"/>
        <v>01</v>
      </c>
    </row>
    <row r="2390" spans="1:1" x14ac:dyDescent="0.4">
      <c r="A2390" s="14" t="str">
        <f t="shared" si="37"/>
        <v>01</v>
      </c>
    </row>
    <row r="2391" spans="1:1" x14ac:dyDescent="0.4">
      <c r="A2391" s="14" t="str">
        <f t="shared" si="37"/>
        <v>01</v>
      </c>
    </row>
    <row r="2392" spans="1:1" x14ac:dyDescent="0.4">
      <c r="A2392" s="14" t="str">
        <f t="shared" si="37"/>
        <v>01</v>
      </c>
    </row>
    <row r="2393" spans="1:1" x14ac:dyDescent="0.4">
      <c r="A2393" s="14" t="str">
        <f t="shared" si="37"/>
        <v>01</v>
      </c>
    </row>
    <row r="2394" spans="1:1" x14ac:dyDescent="0.4">
      <c r="A2394" s="14" t="str">
        <f t="shared" si="37"/>
        <v>01</v>
      </c>
    </row>
    <row r="2395" spans="1:1" x14ac:dyDescent="0.4">
      <c r="A2395" s="14" t="str">
        <f t="shared" si="37"/>
        <v>01</v>
      </c>
    </row>
    <row r="2396" spans="1:1" x14ac:dyDescent="0.4">
      <c r="A2396" s="14" t="str">
        <f t="shared" si="37"/>
        <v>01</v>
      </c>
    </row>
    <row r="2397" spans="1:1" x14ac:dyDescent="0.4">
      <c r="A2397" s="14" t="str">
        <f t="shared" si="37"/>
        <v>01</v>
      </c>
    </row>
    <row r="2398" spans="1:1" x14ac:dyDescent="0.4">
      <c r="A2398" s="14" t="str">
        <f t="shared" si="37"/>
        <v>01</v>
      </c>
    </row>
    <row r="2399" spans="1:1" x14ac:dyDescent="0.4">
      <c r="A2399" s="14" t="str">
        <f t="shared" si="37"/>
        <v>01</v>
      </c>
    </row>
    <row r="2400" spans="1:1" x14ac:dyDescent="0.4">
      <c r="A2400" s="14" t="str">
        <f t="shared" si="37"/>
        <v>01</v>
      </c>
    </row>
    <row r="2401" spans="1:1" x14ac:dyDescent="0.4">
      <c r="A2401" s="14" t="str">
        <f t="shared" si="37"/>
        <v>01</v>
      </c>
    </row>
    <row r="2402" spans="1:1" x14ac:dyDescent="0.4">
      <c r="A2402" s="14" t="str">
        <f t="shared" si="37"/>
        <v>01</v>
      </c>
    </row>
    <row r="2403" spans="1:1" x14ac:dyDescent="0.4">
      <c r="A2403" s="14" t="str">
        <f t="shared" si="37"/>
        <v>01</v>
      </c>
    </row>
    <row r="2404" spans="1:1" x14ac:dyDescent="0.4">
      <c r="A2404" s="14" t="str">
        <f t="shared" si="37"/>
        <v>01</v>
      </c>
    </row>
    <row r="2405" spans="1:1" x14ac:dyDescent="0.4">
      <c r="A2405" s="14" t="str">
        <f t="shared" si="37"/>
        <v>01</v>
      </c>
    </row>
    <row r="2406" spans="1:1" x14ac:dyDescent="0.4">
      <c r="A2406" s="14" t="str">
        <f t="shared" si="37"/>
        <v>01</v>
      </c>
    </row>
    <row r="2407" spans="1:1" x14ac:dyDescent="0.4">
      <c r="A2407" s="14" t="str">
        <f t="shared" si="37"/>
        <v>01</v>
      </c>
    </row>
    <row r="2408" spans="1:1" x14ac:dyDescent="0.4">
      <c r="A2408" s="14" t="str">
        <f t="shared" si="37"/>
        <v>01</v>
      </c>
    </row>
    <row r="2409" spans="1:1" x14ac:dyDescent="0.4">
      <c r="A2409" s="14" t="str">
        <f t="shared" si="37"/>
        <v>01</v>
      </c>
    </row>
    <row r="2410" spans="1:1" x14ac:dyDescent="0.4">
      <c r="A2410" s="14" t="str">
        <f t="shared" si="37"/>
        <v>01</v>
      </c>
    </row>
    <row r="2411" spans="1:1" x14ac:dyDescent="0.4">
      <c r="A2411" s="14" t="str">
        <f t="shared" si="37"/>
        <v>01</v>
      </c>
    </row>
    <row r="2412" spans="1:1" x14ac:dyDescent="0.4">
      <c r="A2412" s="14" t="str">
        <f t="shared" si="37"/>
        <v>01</v>
      </c>
    </row>
    <row r="2413" spans="1:1" x14ac:dyDescent="0.4">
      <c r="A2413" s="14" t="str">
        <f t="shared" si="37"/>
        <v>01</v>
      </c>
    </row>
    <row r="2414" spans="1:1" x14ac:dyDescent="0.4">
      <c r="A2414" s="14" t="str">
        <f t="shared" si="37"/>
        <v>01</v>
      </c>
    </row>
    <row r="2415" spans="1:1" x14ac:dyDescent="0.4">
      <c r="A2415" s="14" t="str">
        <f t="shared" si="37"/>
        <v>01</v>
      </c>
    </row>
    <row r="2416" spans="1:1" x14ac:dyDescent="0.4">
      <c r="A2416" s="14" t="str">
        <f t="shared" si="37"/>
        <v>01</v>
      </c>
    </row>
    <row r="2417" spans="1:1" x14ac:dyDescent="0.4">
      <c r="A2417" s="14" t="str">
        <f t="shared" si="37"/>
        <v>01</v>
      </c>
    </row>
    <row r="2418" spans="1:1" x14ac:dyDescent="0.4">
      <c r="A2418" s="14" t="str">
        <f t="shared" si="37"/>
        <v>01</v>
      </c>
    </row>
    <row r="2419" spans="1:1" x14ac:dyDescent="0.4">
      <c r="A2419" s="14" t="str">
        <f t="shared" si="37"/>
        <v>01</v>
      </c>
    </row>
    <row r="2420" spans="1:1" x14ac:dyDescent="0.4">
      <c r="A2420" s="14" t="str">
        <f t="shared" si="37"/>
        <v>01</v>
      </c>
    </row>
    <row r="2421" spans="1:1" x14ac:dyDescent="0.4">
      <c r="A2421" s="14" t="str">
        <f t="shared" si="37"/>
        <v>01</v>
      </c>
    </row>
    <row r="2422" spans="1:1" x14ac:dyDescent="0.4">
      <c r="A2422" s="14" t="str">
        <f t="shared" si="37"/>
        <v>01</v>
      </c>
    </row>
    <row r="2423" spans="1:1" x14ac:dyDescent="0.4">
      <c r="A2423" s="14" t="str">
        <f t="shared" si="37"/>
        <v>01</v>
      </c>
    </row>
    <row r="2424" spans="1:1" x14ac:dyDescent="0.4">
      <c r="A2424" s="14" t="str">
        <f t="shared" si="37"/>
        <v>01</v>
      </c>
    </row>
    <row r="2425" spans="1:1" x14ac:dyDescent="0.4">
      <c r="A2425" s="14" t="str">
        <f t="shared" si="37"/>
        <v>01</v>
      </c>
    </row>
    <row r="2426" spans="1:1" x14ac:dyDescent="0.4">
      <c r="A2426" s="14" t="str">
        <f t="shared" si="37"/>
        <v>01</v>
      </c>
    </row>
    <row r="2427" spans="1:1" x14ac:dyDescent="0.4">
      <c r="A2427" s="14" t="str">
        <f t="shared" si="37"/>
        <v>01</v>
      </c>
    </row>
    <row r="2428" spans="1:1" x14ac:dyDescent="0.4">
      <c r="A2428" s="14" t="str">
        <f t="shared" si="37"/>
        <v>01</v>
      </c>
    </row>
    <row r="2429" spans="1:1" x14ac:dyDescent="0.4">
      <c r="A2429" s="14" t="str">
        <f t="shared" si="37"/>
        <v>01</v>
      </c>
    </row>
    <row r="2430" spans="1:1" x14ac:dyDescent="0.4">
      <c r="A2430" s="14" t="str">
        <f t="shared" si="37"/>
        <v>01</v>
      </c>
    </row>
    <row r="2431" spans="1:1" x14ac:dyDescent="0.4">
      <c r="A2431" s="14" t="str">
        <f t="shared" si="37"/>
        <v>01</v>
      </c>
    </row>
    <row r="2432" spans="1:1" x14ac:dyDescent="0.4">
      <c r="A2432" s="14" t="str">
        <f t="shared" si="37"/>
        <v>01</v>
      </c>
    </row>
    <row r="2433" spans="1:1" x14ac:dyDescent="0.4">
      <c r="A2433" s="14" t="str">
        <f t="shared" si="37"/>
        <v>01</v>
      </c>
    </row>
    <row r="2434" spans="1:1" x14ac:dyDescent="0.4">
      <c r="A2434" s="14" t="str">
        <f t="shared" si="37"/>
        <v>01</v>
      </c>
    </row>
    <row r="2435" spans="1:1" x14ac:dyDescent="0.4">
      <c r="A2435" s="14" t="str">
        <f t="shared" ref="A2435:A2498" si="38">TEXT(L2435,"MM")</f>
        <v>01</v>
      </c>
    </row>
    <row r="2436" spans="1:1" x14ac:dyDescent="0.4">
      <c r="A2436" s="14" t="str">
        <f t="shared" si="38"/>
        <v>01</v>
      </c>
    </row>
    <row r="2437" spans="1:1" x14ac:dyDescent="0.4">
      <c r="A2437" s="14" t="str">
        <f t="shared" si="38"/>
        <v>01</v>
      </c>
    </row>
    <row r="2438" spans="1:1" x14ac:dyDescent="0.4">
      <c r="A2438" s="14" t="str">
        <f t="shared" si="38"/>
        <v>01</v>
      </c>
    </row>
    <row r="2439" spans="1:1" x14ac:dyDescent="0.4">
      <c r="A2439" s="14" t="str">
        <f t="shared" si="38"/>
        <v>01</v>
      </c>
    </row>
    <row r="2440" spans="1:1" x14ac:dyDescent="0.4">
      <c r="A2440" s="14" t="str">
        <f t="shared" si="38"/>
        <v>01</v>
      </c>
    </row>
    <row r="2441" spans="1:1" x14ac:dyDescent="0.4">
      <c r="A2441" s="14" t="str">
        <f t="shared" si="38"/>
        <v>01</v>
      </c>
    </row>
    <row r="2442" spans="1:1" x14ac:dyDescent="0.4">
      <c r="A2442" s="14" t="str">
        <f t="shared" si="38"/>
        <v>01</v>
      </c>
    </row>
    <row r="2443" spans="1:1" x14ac:dyDescent="0.4">
      <c r="A2443" s="14" t="str">
        <f t="shared" si="38"/>
        <v>01</v>
      </c>
    </row>
    <row r="2444" spans="1:1" x14ac:dyDescent="0.4">
      <c r="A2444" s="14" t="str">
        <f t="shared" si="38"/>
        <v>01</v>
      </c>
    </row>
    <row r="2445" spans="1:1" x14ac:dyDescent="0.4">
      <c r="A2445" s="14" t="str">
        <f t="shared" si="38"/>
        <v>01</v>
      </c>
    </row>
    <row r="2446" spans="1:1" x14ac:dyDescent="0.4">
      <c r="A2446" s="14" t="str">
        <f t="shared" si="38"/>
        <v>01</v>
      </c>
    </row>
    <row r="2447" spans="1:1" x14ac:dyDescent="0.4">
      <c r="A2447" s="14" t="str">
        <f t="shared" si="38"/>
        <v>01</v>
      </c>
    </row>
    <row r="2448" spans="1:1" x14ac:dyDescent="0.4">
      <c r="A2448" s="14" t="str">
        <f t="shared" si="38"/>
        <v>01</v>
      </c>
    </row>
    <row r="2449" spans="1:1" x14ac:dyDescent="0.4">
      <c r="A2449" s="14" t="str">
        <f t="shared" si="38"/>
        <v>01</v>
      </c>
    </row>
    <row r="2450" spans="1:1" x14ac:dyDescent="0.4">
      <c r="A2450" s="14" t="str">
        <f t="shared" si="38"/>
        <v>01</v>
      </c>
    </row>
    <row r="2451" spans="1:1" x14ac:dyDescent="0.4">
      <c r="A2451" s="14" t="str">
        <f t="shared" si="38"/>
        <v>01</v>
      </c>
    </row>
    <row r="2452" spans="1:1" x14ac:dyDescent="0.4">
      <c r="A2452" s="14" t="str">
        <f t="shared" si="38"/>
        <v>01</v>
      </c>
    </row>
    <row r="2453" spans="1:1" x14ac:dyDescent="0.4">
      <c r="A2453" s="14" t="str">
        <f t="shared" si="38"/>
        <v>01</v>
      </c>
    </row>
    <row r="2454" spans="1:1" x14ac:dyDescent="0.4">
      <c r="A2454" s="14" t="str">
        <f t="shared" si="38"/>
        <v>01</v>
      </c>
    </row>
    <row r="2455" spans="1:1" x14ac:dyDescent="0.4">
      <c r="A2455" s="14" t="str">
        <f t="shared" si="38"/>
        <v>01</v>
      </c>
    </row>
    <row r="2456" spans="1:1" x14ac:dyDescent="0.4">
      <c r="A2456" s="14" t="str">
        <f t="shared" si="38"/>
        <v>01</v>
      </c>
    </row>
    <row r="2457" spans="1:1" x14ac:dyDescent="0.4">
      <c r="A2457" s="14" t="str">
        <f t="shared" si="38"/>
        <v>01</v>
      </c>
    </row>
    <row r="2458" spans="1:1" x14ac:dyDescent="0.4">
      <c r="A2458" s="14" t="str">
        <f t="shared" si="38"/>
        <v>01</v>
      </c>
    </row>
    <row r="2459" spans="1:1" x14ac:dyDescent="0.4">
      <c r="A2459" s="14" t="str">
        <f t="shared" si="38"/>
        <v>01</v>
      </c>
    </row>
    <row r="2460" spans="1:1" x14ac:dyDescent="0.4">
      <c r="A2460" s="14" t="str">
        <f t="shared" si="38"/>
        <v>01</v>
      </c>
    </row>
    <row r="2461" spans="1:1" x14ac:dyDescent="0.4">
      <c r="A2461" s="14" t="str">
        <f t="shared" si="38"/>
        <v>01</v>
      </c>
    </row>
    <row r="2462" spans="1:1" x14ac:dyDescent="0.4">
      <c r="A2462" s="14" t="str">
        <f t="shared" si="38"/>
        <v>01</v>
      </c>
    </row>
    <row r="2463" spans="1:1" x14ac:dyDescent="0.4">
      <c r="A2463" s="14" t="str">
        <f t="shared" si="38"/>
        <v>01</v>
      </c>
    </row>
    <row r="2464" spans="1:1" x14ac:dyDescent="0.4">
      <c r="A2464" s="14" t="str">
        <f t="shared" si="38"/>
        <v>01</v>
      </c>
    </row>
    <row r="2465" spans="1:1" x14ac:dyDescent="0.4">
      <c r="A2465" s="14" t="str">
        <f t="shared" si="38"/>
        <v>01</v>
      </c>
    </row>
    <row r="2466" spans="1:1" x14ac:dyDescent="0.4">
      <c r="A2466" s="14" t="str">
        <f t="shared" si="38"/>
        <v>01</v>
      </c>
    </row>
    <row r="2467" spans="1:1" x14ac:dyDescent="0.4">
      <c r="A2467" s="14" t="str">
        <f t="shared" si="38"/>
        <v>01</v>
      </c>
    </row>
    <row r="2468" spans="1:1" x14ac:dyDescent="0.4">
      <c r="A2468" s="14" t="str">
        <f t="shared" si="38"/>
        <v>01</v>
      </c>
    </row>
    <row r="2469" spans="1:1" x14ac:dyDescent="0.4">
      <c r="A2469" s="14" t="str">
        <f t="shared" si="38"/>
        <v>01</v>
      </c>
    </row>
    <row r="2470" spans="1:1" x14ac:dyDescent="0.4">
      <c r="A2470" s="14" t="str">
        <f t="shared" si="38"/>
        <v>01</v>
      </c>
    </row>
    <row r="2471" spans="1:1" x14ac:dyDescent="0.4">
      <c r="A2471" s="14" t="str">
        <f t="shared" si="38"/>
        <v>01</v>
      </c>
    </row>
    <row r="2472" spans="1:1" x14ac:dyDescent="0.4">
      <c r="A2472" s="14" t="str">
        <f t="shared" si="38"/>
        <v>01</v>
      </c>
    </row>
    <row r="2473" spans="1:1" x14ac:dyDescent="0.4">
      <c r="A2473" s="14" t="str">
        <f t="shared" si="38"/>
        <v>01</v>
      </c>
    </row>
    <row r="2474" spans="1:1" x14ac:dyDescent="0.4">
      <c r="A2474" s="14" t="str">
        <f t="shared" si="38"/>
        <v>01</v>
      </c>
    </row>
    <row r="2475" spans="1:1" x14ac:dyDescent="0.4">
      <c r="A2475" s="14" t="str">
        <f t="shared" si="38"/>
        <v>01</v>
      </c>
    </row>
    <row r="2476" spans="1:1" x14ac:dyDescent="0.4">
      <c r="A2476" s="14" t="str">
        <f t="shared" si="38"/>
        <v>01</v>
      </c>
    </row>
    <row r="2477" spans="1:1" x14ac:dyDescent="0.4">
      <c r="A2477" s="14" t="str">
        <f t="shared" si="38"/>
        <v>01</v>
      </c>
    </row>
    <row r="2478" spans="1:1" x14ac:dyDescent="0.4">
      <c r="A2478" s="14" t="str">
        <f t="shared" si="38"/>
        <v>01</v>
      </c>
    </row>
    <row r="2479" spans="1:1" x14ac:dyDescent="0.4">
      <c r="A2479" s="14" t="str">
        <f t="shared" si="38"/>
        <v>01</v>
      </c>
    </row>
    <row r="2480" spans="1:1" x14ac:dyDescent="0.4">
      <c r="A2480" s="14" t="str">
        <f t="shared" si="38"/>
        <v>01</v>
      </c>
    </row>
    <row r="2481" spans="1:1" x14ac:dyDescent="0.4">
      <c r="A2481" s="14" t="str">
        <f t="shared" si="38"/>
        <v>01</v>
      </c>
    </row>
    <row r="2482" spans="1:1" x14ac:dyDescent="0.4">
      <c r="A2482" s="14" t="str">
        <f t="shared" si="38"/>
        <v>01</v>
      </c>
    </row>
    <row r="2483" spans="1:1" x14ac:dyDescent="0.4">
      <c r="A2483" s="14" t="str">
        <f t="shared" si="38"/>
        <v>01</v>
      </c>
    </row>
    <row r="2484" spans="1:1" x14ac:dyDescent="0.4">
      <c r="A2484" s="14" t="str">
        <f t="shared" si="38"/>
        <v>01</v>
      </c>
    </row>
    <row r="2485" spans="1:1" x14ac:dyDescent="0.4">
      <c r="A2485" s="14" t="str">
        <f t="shared" si="38"/>
        <v>01</v>
      </c>
    </row>
    <row r="2486" spans="1:1" x14ac:dyDescent="0.4">
      <c r="A2486" s="14" t="str">
        <f t="shared" si="38"/>
        <v>01</v>
      </c>
    </row>
    <row r="2487" spans="1:1" x14ac:dyDescent="0.4">
      <c r="A2487" s="14" t="str">
        <f t="shared" si="38"/>
        <v>01</v>
      </c>
    </row>
    <row r="2488" spans="1:1" x14ac:dyDescent="0.4">
      <c r="A2488" s="14" t="str">
        <f t="shared" si="38"/>
        <v>01</v>
      </c>
    </row>
    <row r="2489" spans="1:1" x14ac:dyDescent="0.4">
      <c r="A2489" s="14" t="str">
        <f t="shared" si="38"/>
        <v>01</v>
      </c>
    </row>
    <row r="2490" spans="1:1" x14ac:dyDescent="0.4">
      <c r="A2490" s="14" t="str">
        <f t="shared" si="38"/>
        <v>01</v>
      </c>
    </row>
    <row r="2491" spans="1:1" x14ac:dyDescent="0.4">
      <c r="A2491" s="14" t="str">
        <f t="shared" si="38"/>
        <v>01</v>
      </c>
    </row>
    <row r="2492" spans="1:1" x14ac:dyDescent="0.4">
      <c r="A2492" s="14" t="str">
        <f t="shared" si="38"/>
        <v>01</v>
      </c>
    </row>
    <row r="2493" spans="1:1" x14ac:dyDescent="0.4">
      <c r="A2493" s="14" t="str">
        <f t="shared" si="38"/>
        <v>01</v>
      </c>
    </row>
    <row r="2494" spans="1:1" x14ac:dyDescent="0.4">
      <c r="A2494" s="14" t="str">
        <f t="shared" si="38"/>
        <v>01</v>
      </c>
    </row>
    <row r="2495" spans="1:1" x14ac:dyDescent="0.4">
      <c r="A2495" s="14" t="str">
        <f t="shared" si="38"/>
        <v>01</v>
      </c>
    </row>
    <row r="2496" spans="1:1" x14ac:dyDescent="0.4">
      <c r="A2496" s="14" t="str">
        <f t="shared" si="38"/>
        <v>01</v>
      </c>
    </row>
    <row r="2497" spans="1:1" x14ac:dyDescent="0.4">
      <c r="A2497" s="14" t="str">
        <f t="shared" si="38"/>
        <v>01</v>
      </c>
    </row>
    <row r="2498" spans="1:1" x14ac:dyDescent="0.4">
      <c r="A2498" s="14" t="str">
        <f t="shared" si="38"/>
        <v>01</v>
      </c>
    </row>
    <row r="2499" spans="1:1" x14ac:dyDescent="0.4">
      <c r="A2499" s="14" t="str">
        <f t="shared" ref="A2499:A2562" si="39">TEXT(L2499,"MM")</f>
        <v>01</v>
      </c>
    </row>
    <row r="2500" spans="1:1" x14ac:dyDescent="0.4">
      <c r="A2500" s="14" t="str">
        <f t="shared" si="39"/>
        <v>01</v>
      </c>
    </row>
    <row r="2501" spans="1:1" x14ac:dyDescent="0.4">
      <c r="A2501" s="14" t="str">
        <f t="shared" si="39"/>
        <v>01</v>
      </c>
    </row>
    <row r="2502" spans="1:1" x14ac:dyDescent="0.4">
      <c r="A2502" s="14" t="str">
        <f t="shared" si="39"/>
        <v>01</v>
      </c>
    </row>
    <row r="2503" spans="1:1" x14ac:dyDescent="0.4">
      <c r="A2503" s="14" t="str">
        <f t="shared" si="39"/>
        <v>01</v>
      </c>
    </row>
    <row r="2504" spans="1:1" x14ac:dyDescent="0.4">
      <c r="A2504" s="14" t="str">
        <f t="shared" si="39"/>
        <v>01</v>
      </c>
    </row>
    <row r="2505" spans="1:1" x14ac:dyDescent="0.4">
      <c r="A2505" s="14" t="str">
        <f t="shared" si="39"/>
        <v>01</v>
      </c>
    </row>
    <row r="2506" spans="1:1" x14ac:dyDescent="0.4">
      <c r="A2506" s="14" t="str">
        <f t="shared" si="39"/>
        <v>01</v>
      </c>
    </row>
    <row r="2507" spans="1:1" x14ac:dyDescent="0.4">
      <c r="A2507" s="14" t="str">
        <f t="shared" si="39"/>
        <v>01</v>
      </c>
    </row>
    <row r="2508" spans="1:1" x14ac:dyDescent="0.4">
      <c r="A2508" s="14" t="str">
        <f t="shared" si="39"/>
        <v>01</v>
      </c>
    </row>
    <row r="2509" spans="1:1" x14ac:dyDescent="0.4">
      <c r="A2509" s="14" t="str">
        <f t="shared" si="39"/>
        <v>01</v>
      </c>
    </row>
    <row r="2510" spans="1:1" x14ac:dyDescent="0.4">
      <c r="A2510" s="14" t="str">
        <f t="shared" si="39"/>
        <v>01</v>
      </c>
    </row>
    <row r="2511" spans="1:1" x14ac:dyDescent="0.4">
      <c r="A2511" s="14" t="str">
        <f t="shared" si="39"/>
        <v>01</v>
      </c>
    </row>
    <row r="2512" spans="1:1" x14ac:dyDescent="0.4">
      <c r="A2512" s="14" t="str">
        <f t="shared" si="39"/>
        <v>01</v>
      </c>
    </row>
    <row r="2513" spans="1:1" x14ac:dyDescent="0.4">
      <c r="A2513" s="14" t="str">
        <f t="shared" si="39"/>
        <v>01</v>
      </c>
    </row>
    <row r="2514" spans="1:1" x14ac:dyDescent="0.4">
      <c r="A2514" s="14" t="str">
        <f t="shared" si="39"/>
        <v>01</v>
      </c>
    </row>
    <row r="2515" spans="1:1" x14ac:dyDescent="0.4">
      <c r="A2515" s="14" t="str">
        <f t="shared" si="39"/>
        <v>01</v>
      </c>
    </row>
    <row r="2516" spans="1:1" x14ac:dyDescent="0.4">
      <c r="A2516" s="14" t="str">
        <f t="shared" si="39"/>
        <v>01</v>
      </c>
    </row>
    <row r="2517" spans="1:1" x14ac:dyDescent="0.4">
      <c r="A2517" s="14" t="str">
        <f t="shared" si="39"/>
        <v>01</v>
      </c>
    </row>
    <row r="2518" spans="1:1" x14ac:dyDescent="0.4">
      <c r="A2518" s="14" t="str">
        <f t="shared" si="39"/>
        <v>01</v>
      </c>
    </row>
    <row r="2519" spans="1:1" x14ac:dyDescent="0.4">
      <c r="A2519" s="14" t="str">
        <f t="shared" si="39"/>
        <v>01</v>
      </c>
    </row>
    <row r="2520" spans="1:1" x14ac:dyDescent="0.4">
      <c r="A2520" s="14" t="str">
        <f t="shared" si="39"/>
        <v>01</v>
      </c>
    </row>
    <row r="2521" spans="1:1" x14ac:dyDescent="0.4">
      <c r="A2521" s="14" t="str">
        <f t="shared" si="39"/>
        <v>01</v>
      </c>
    </row>
    <row r="2522" spans="1:1" x14ac:dyDescent="0.4">
      <c r="A2522" s="14" t="str">
        <f t="shared" si="39"/>
        <v>01</v>
      </c>
    </row>
    <row r="2523" spans="1:1" x14ac:dyDescent="0.4">
      <c r="A2523" s="14" t="str">
        <f t="shared" si="39"/>
        <v>01</v>
      </c>
    </row>
    <row r="2524" spans="1:1" x14ac:dyDescent="0.4">
      <c r="A2524" s="14" t="str">
        <f t="shared" si="39"/>
        <v>01</v>
      </c>
    </row>
    <row r="2525" spans="1:1" x14ac:dyDescent="0.4">
      <c r="A2525" s="14" t="str">
        <f t="shared" si="39"/>
        <v>01</v>
      </c>
    </row>
    <row r="2526" spans="1:1" x14ac:dyDescent="0.4">
      <c r="A2526" s="14" t="str">
        <f t="shared" si="39"/>
        <v>01</v>
      </c>
    </row>
    <row r="2527" spans="1:1" x14ac:dyDescent="0.4">
      <c r="A2527" s="14" t="str">
        <f t="shared" si="39"/>
        <v>01</v>
      </c>
    </row>
    <row r="2528" spans="1:1" x14ac:dyDescent="0.4">
      <c r="A2528" s="14" t="str">
        <f t="shared" si="39"/>
        <v>01</v>
      </c>
    </row>
    <row r="2529" spans="1:1" x14ac:dyDescent="0.4">
      <c r="A2529" s="14" t="str">
        <f t="shared" si="39"/>
        <v>01</v>
      </c>
    </row>
    <row r="2530" spans="1:1" x14ac:dyDescent="0.4">
      <c r="A2530" s="14" t="str">
        <f t="shared" si="39"/>
        <v>01</v>
      </c>
    </row>
    <row r="2531" spans="1:1" x14ac:dyDescent="0.4">
      <c r="A2531" s="14" t="str">
        <f t="shared" si="39"/>
        <v>01</v>
      </c>
    </row>
    <row r="2532" spans="1:1" x14ac:dyDescent="0.4">
      <c r="A2532" s="14" t="str">
        <f t="shared" si="39"/>
        <v>01</v>
      </c>
    </row>
    <row r="2533" spans="1:1" x14ac:dyDescent="0.4">
      <c r="A2533" s="14" t="str">
        <f t="shared" si="39"/>
        <v>01</v>
      </c>
    </row>
    <row r="2534" spans="1:1" x14ac:dyDescent="0.4">
      <c r="A2534" s="14" t="str">
        <f t="shared" si="39"/>
        <v>01</v>
      </c>
    </row>
    <row r="2535" spans="1:1" x14ac:dyDescent="0.4">
      <c r="A2535" s="14" t="str">
        <f t="shared" si="39"/>
        <v>01</v>
      </c>
    </row>
    <row r="2536" spans="1:1" x14ac:dyDescent="0.4">
      <c r="A2536" s="14" t="str">
        <f t="shared" si="39"/>
        <v>01</v>
      </c>
    </row>
    <row r="2537" spans="1:1" x14ac:dyDescent="0.4">
      <c r="A2537" s="14" t="str">
        <f t="shared" si="39"/>
        <v>01</v>
      </c>
    </row>
    <row r="2538" spans="1:1" x14ac:dyDescent="0.4">
      <c r="A2538" s="14" t="str">
        <f t="shared" si="39"/>
        <v>01</v>
      </c>
    </row>
    <row r="2539" spans="1:1" x14ac:dyDescent="0.4">
      <c r="A2539" s="14" t="str">
        <f t="shared" si="39"/>
        <v>01</v>
      </c>
    </row>
    <row r="2540" spans="1:1" x14ac:dyDescent="0.4">
      <c r="A2540" s="14" t="str">
        <f t="shared" si="39"/>
        <v>01</v>
      </c>
    </row>
    <row r="2541" spans="1:1" x14ac:dyDescent="0.4">
      <c r="A2541" s="14" t="str">
        <f t="shared" si="39"/>
        <v>01</v>
      </c>
    </row>
    <row r="2542" spans="1:1" x14ac:dyDescent="0.4">
      <c r="A2542" s="14" t="str">
        <f t="shared" si="39"/>
        <v>01</v>
      </c>
    </row>
    <row r="2543" spans="1:1" x14ac:dyDescent="0.4">
      <c r="A2543" s="14" t="str">
        <f t="shared" si="39"/>
        <v>01</v>
      </c>
    </row>
    <row r="2544" spans="1:1" x14ac:dyDescent="0.4">
      <c r="A2544" s="14" t="str">
        <f t="shared" si="39"/>
        <v>01</v>
      </c>
    </row>
    <row r="2545" spans="1:1" x14ac:dyDescent="0.4">
      <c r="A2545" s="14" t="str">
        <f t="shared" si="39"/>
        <v>01</v>
      </c>
    </row>
    <row r="2546" spans="1:1" x14ac:dyDescent="0.4">
      <c r="A2546" s="14" t="str">
        <f t="shared" si="39"/>
        <v>01</v>
      </c>
    </row>
    <row r="2547" spans="1:1" x14ac:dyDescent="0.4">
      <c r="A2547" s="14" t="str">
        <f t="shared" si="39"/>
        <v>01</v>
      </c>
    </row>
    <row r="2548" spans="1:1" x14ac:dyDescent="0.4">
      <c r="A2548" s="14" t="str">
        <f t="shared" si="39"/>
        <v>01</v>
      </c>
    </row>
    <row r="2549" spans="1:1" x14ac:dyDescent="0.4">
      <c r="A2549" s="14" t="str">
        <f t="shared" si="39"/>
        <v>01</v>
      </c>
    </row>
    <row r="2550" spans="1:1" x14ac:dyDescent="0.4">
      <c r="A2550" s="14" t="str">
        <f t="shared" si="39"/>
        <v>01</v>
      </c>
    </row>
    <row r="2551" spans="1:1" x14ac:dyDescent="0.4">
      <c r="A2551" s="14" t="str">
        <f t="shared" si="39"/>
        <v>01</v>
      </c>
    </row>
    <row r="2552" spans="1:1" x14ac:dyDescent="0.4">
      <c r="A2552" s="14" t="str">
        <f t="shared" si="39"/>
        <v>01</v>
      </c>
    </row>
    <row r="2553" spans="1:1" x14ac:dyDescent="0.4">
      <c r="A2553" s="14" t="str">
        <f t="shared" si="39"/>
        <v>01</v>
      </c>
    </row>
    <row r="2554" spans="1:1" x14ac:dyDescent="0.4">
      <c r="A2554" s="14" t="str">
        <f t="shared" si="39"/>
        <v>01</v>
      </c>
    </row>
    <row r="2555" spans="1:1" x14ac:dyDescent="0.4">
      <c r="A2555" s="14" t="str">
        <f t="shared" si="39"/>
        <v>01</v>
      </c>
    </row>
    <row r="2556" spans="1:1" x14ac:dyDescent="0.4">
      <c r="A2556" s="14" t="str">
        <f t="shared" si="39"/>
        <v>01</v>
      </c>
    </row>
    <row r="2557" spans="1:1" x14ac:dyDescent="0.4">
      <c r="A2557" s="14" t="str">
        <f t="shared" si="39"/>
        <v>01</v>
      </c>
    </row>
    <row r="2558" spans="1:1" x14ac:dyDescent="0.4">
      <c r="A2558" s="14" t="str">
        <f t="shared" si="39"/>
        <v>01</v>
      </c>
    </row>
    <row r="2559" spans="1:1" x14ac:dyDescent="0.4">
      <c r="A2559" s="14" t="str">
        <f t="shared" si="39"/>
        <v>01</v>
      </c>
    </row>
    <row r="2560" spans="1:1" x14ac:dyDescent="0.4">
      <c r="A2560" s="14" t="str">
        <f t="shared" si="39"/>
        <v>01</v>
      </c>
    </row>
    <row r="2561" spans="1:1" x14ac:dyDescent="0.4">
      <c r="A2561" s="14" t="str">
        <f t="shared" si="39"/>
        <v>01</v>
      </c>
    </row>
    <row r="2562" spans="1:1" x14ac:dyDescent="0.4">
      <c r="A2562" s="14" t="str">
        <f t="shared" si="39"/>
        <v>01</v>
      </c>
    </row>
    <row r="2563" spans="1:1" x14ac:dyDescent="0.4">
      <c r="A2563" s="14" t="str">
        <f t="shared" ref="A2563:A2626" si="40">TEXT(L2563,"MM")</f>
        <v>01</v>
      </c>
    </row>
    <row r="2564" spans="1:1" x14ac:dyDescent="0.4">
      <c r="A2564" s="14" t="str">
        <f t="shared" si="40"/>
        <v>01</v>
      </c>
    </row>
    <row r="2565" spans="1:1" x14ac:dyDescent="0.4">
      <c r="A2565" s="14" t="str">
        <f t="shared" si="40"/>
        <v>01</v>
      </c>
    </row>
    <row r="2566" spans="1:1" x14ac:dyDescent="0.4">
      <c r="A2566" s="14" t="str">
        <f t="shared" si="40"/>
        <v>01</v>
      </c>
    </row>
    <row r="2567" spans="1:1" x14ac:dyDescent="0.4">
      <c r="A2567" s="14" t="str">
        <f t="shared" si="40"/>
        <v>01</v>
      </c>
    </row>
    <row r="2568" spans="1:1" x14ac:dyDescent="0.4">
      <c r="A2568" s="14" t="str">
        <f t="shared" si="40"/>
        <v>01</v>
      </c>
    </row>
    <row r="2569" spans="1:1" x14ac:dyDescent="0.4">
      <c r="A2569" s="14" t="str">
        <f t="shared" si="40"/>
        <v>01</v>
      </c>
    </row>
    <row r="2570" spans="1:1" x14ac:dyDescent="0.4">
      <c r="A2570" s="14" t="str">
        <f t="shared" si="40"/>
        <v>01</v>
      </c>
    </row>
    <row r="2571" spans="1:1" x14ac:dyDescent="0.4">
      <c r="A2571" s="14" t="str">
        <f t="shared" si="40"/>
        <v>01</v>
      </c>
    </row>
    <row r="2572" spans="1:1" x14ac:dyDescent="0.4">
      <c r="A2572" s="14" t="str">
        <f t="shared" si="40"/>
        <v>01</v>
      </c>
    </row>
    <row r="2573" spans="1:1" x14ac:dyDescent="0.4">
      <c r="A2573" s="14" t="str">
        <f t="shared" si="40"/>
        <v>01</v>
      </c>
    </row>
    <row r="2574" spans="1:1" x14ac:dyDescent="0.4">
      <c r="A2574" s="14" t="str">
        <f t="shared" si="40"/>
        <v>01</v>
      </c>
    </row>
    <row r="2575" spans="1:1" x14ac:dyDescent="0.4">
      <c r="A2575" s="14" t="str">
        <f t="shared" si="40"/>
        <v>01</v>
      </c>
    </row>
    <row r="2576" spans="1:1" x14ac:dyDescent="0.4">
      <c r="A2576" s="14" t="str">
        <f t="shared" si="40"/>
        <v>01</v>
      </c>
    </row>
    <row r="2577" spans="1:1" x14ac:dyDescent="0.4">
      <c r="A2577" s="14" t="str">
        <f t="shared" si="40"/>
        <v>01</v>
      </c>
    </row>
    <row r="2578" spans="1:1" x14ac:dyDescent="0.4">
      <c r="A2578" s="14" t="str">
        <f t="shared" si="40"/>
        <v>01</v>
      </c>
    </row>
    <row r="2579" spans="1:1" x14ac:dyDescent="0.4">
      <c r="A2579" s="14" t="str">
        <f t="shared" si="40"/>
        <v>01</v>
      </c>
    </row>
    <row r="2580" spans="1:1" x14ac:dyDescent="0.4">
      <c r="A2580" s="14" t="str">
        <f t="shared" si="40"/>
        <v>01</v>
      </c>
    </row>
    <row r="2581" spans="1:1" x14ac:dyDescent="0.4">
      <c r="A2581" s="14" t="str">
        <f t="shared" si="40"/>
        <v>01</v>
      </c>
    </row>
    <row r="2582" spans="1:1" x14ac:dyDescent="0.4">
      <c r="A2582" s="14" t="str">
        <f t="shared" si="40"/>
        <v>01</v>
      </c>
    </row>
    <row r="2583" spans="1:1" x14ac:dyDescent="0.4">
      <c r="A2583" s="14" t="str">
        <f t="shared" si="40"/>
        <v>01</v>
      </c>
    </row>
    <row r="2584" spans="1:1" x14ac:dyDescent="0.4">
      <c r="A2584" s="14" t="str">
        <f t="shared" si="40"/>
        <v>01</v>
      </c>
    </row>
    <row r="2585" spans="1:1" x14ac:dyDescent="0.4">
      <c r="A2585" s="14" t="str">
        <f t="shared" si="40"/>
        <v>01</v>
      </c>
    </row>
    <row r="2586" spans="1:1" x14ac:dyDescent="0.4">
      <c r="A2586" s="14" t="str">
        <f t="shared" si="40"/>
        <v>01</v>
      </c>
    </row>
    <row r="2587" spans="1:1" x14ac:dyDescent="0.4">
      <c r="A2587" s="14" t="str">
        <f t="shared" si="40"/>
        <v>01</v>
      </c>
    </row>
    <row r="2588" spans="1:1" x14ac:dyDescent="0.4">
      <c r="A2588" s="14" t="str">
        <f t="shared" si="40"/>
        <v>01</v>
      </c>
    </row>
    <row r="2589" spans="1:1" x14ac:dyDescent="0.4">
      <c r="A2589" s="14" t="str">
        <f t="shared" si="40"/>
        <v>01</v>
      </c>
    </row>
    <row r="2590" spans="1:1" x14ac:dyDescent="0.4">
      <c r="A2590" s="14" t="str">
        <f t="shared" si="40"/>
        <v>01</v>
      </c>
    </row>
    <row r="2591" spans="1:1" x14ac:dyDescent="0.4">
      <c r="A2591" s="14" t="str">
        <f t="shared" si="40"/>
        <v>01</v>
      </c>
    </row>
    <row r="2592" spans="1:1" x14ac:dyDescent="0.4">
      <c r="A2592" s="14" t="str">
        <f t="shared" si="40"/>
        <v>01</v>
      </c>
    </row>
    <row r="2593" spans="1:1" x14ac:dyDescent="0.4">
      <c r="A2593" s="14" t="str">
        <f t="shared" si="40"/>
        <v>01</v>
      </c>
    </row>
    <row r="2594" spans="1:1" x14ac:dyDescent="0.4">
      <c r="A2594" s="14" t="str">
        <f t="shared" si="40"/>
        <v>01</v>
      </c>
    </row>
    <row r="2595" spans="1:1" x14ac:dyDescent="0.4">
      <c r="A2595" s="14" t="str">
        <f t="shared" si="40"/>
        <v>01</v>
      </c>
    </row>
    <row r="2596" spans="1:1" x14ac:dyDescent="0.4">
      <c r="A2596" s="14" t="str">
        <f t="shared" si="40"/>
        <v>01</v>
      </c>
    </row>
    <row r="2597" spans="1:1" x14ac:dyDescent="0.4">
      <c r="A2597" s="14" t="str">
        <f t="shared" si="40"/>
        <v>01</v>
      </c>
    </row>
    <row r="2598" spans="1:1" x14ac:dyDescent="0.4">
      <c r="A2598" s="14" t="str">
        <f t="shared" si="40"/>
        <v>01</v>
      </c>
    </row>
    <row r="2599" spans="1:1" x14ac:dyDescent="0.4">
      <c r="A2599" s="14" t="str">
        <f t="shared" si="40"/>
        <v>01</v>
      </c>
    </row>
    <row r="2600" spans="1:1" x14ac:dyDescent="0.4">
      <c r="A2600" s="14" t="str">
        <f t="shared" si="40"/>
        <v>01</v>
      </c>
    </row>
    <row r="2601" spans="1:1" x14ac:dyDescent="0.4">
      <c r="A2601" s="14" t="str">
        <f t="shared" si="40"/>
        <v>01</v>
      </c>
    </row>
    <row r="2602" spans="1:1" x14ac:dyDescent="0.4">
      <c r="A2602" s="14" t="str">
        <f t="shared" si="40"/>
        <v>01</v>
      </c>
    </row>
    <row r="2603" spans="1:1" x14ac:dyDescent="0.4">
      <c r="A2603" s="14" t="str">
        <f t="shared" si="40"/>
        <v>01</v>
      </c>
    </row>
    <row r="2604" spans="1:1" x14ac:dyDescent="0.4">
      <c r="A2604" s="14" t="str">
        <f t="shared" si="40"/>
        <v>01</v>
      </c>
    </row>
    <row r="2605" spans="1:1" x14ac:dyDescent="0.4">
      <c r="A2605" s="14" t="str">
        <f t="shared" si="40"/>
        <v>01</v>
      </c>
    </row>
    <row r="2606" spans="1:1" x14ac:dyDescent="0.4">
      <c r="A2606" s="14" t="str">
        <f t="shared" si="40"/>
        <v>01</v>
      </c>
    </row>
    <row r="2607" spans="1:1" x14ac:dyDescent="0.4">
      <c r="A2607" s="14" t="str">
        <f t="shared" si="40"/>
        <v>01</v>
      </c>
    </row>
    <row r="2608" spans="1:1" x14ac:dyDescent="0.4">
      <c r="A2608" s="14" t="str">
        <f t="shared" si="40"/>
        <v>01</v>
      </c>
    </row>
    <row r="2609" spans="1:1" x14ac:dyDescent="0.4">
      <c r="A2609" s="14" t="str">
        <f t="shared" si="40"/>
        <v>01</v>
      </c>
    </row>
    <row r="2610" spans="1:1" x14ac:dyDescent="0.4">
      <c r="A2610" s="14" t="str">
        <f t="shared" si="40"/>
        <v>01</v>
      </c>
    </row>
    <row r="2611" spans="1:1" x14ac:dyDescent="0.4">
      <c r="A2611" s="14" t="str">
        <f t="shared" si="40"/>
        <v>01</v>
      </c>
    </row>
    <row r="2612" spans="1:1" x14ac:dyDescent="0.4">
      <c r="A2612" s="14" t="str">
        <f t="shared" si="40"/>
        <v>01</v>
      </c>
    </row>
    <row r="2613" spans="1:1" x14ac:dyDescent="0.4">
      <c r="A2613" s="14" t="str">
        <f t="shared" si="40"/>
        <v>01</v>
      </c>
    </row>
    <row r="2614" spans="1:1" x14ac:dyDescent="0.4">
      <c r="A2614" s="14" t="str">
        <f t="shared" si="40"/>
        <v>01</v>
      </c>
    </row>
    <row r="2615" spans="1:1" x14ac:dyDescent="0.4">
      <c r="A2615" s="14" t="str">
        <f t="shared" si="40"/>
        <v>01</v>
      </c>
    </row>
    <row r="2616" spans="1:1" x14ac:dyDescent="0.4">
      <c r="A2616" s="14" t="str">
        <f t="shared" si="40"/>
        <v>01</v>
      </c>
    </row>
    <row r="2617" spans="1:1" x14ac:dyDescent="0.4">
      <c r="A2617" s="14" t="str">
        <f t="shared" si="40"/>
        <v>01</v>
      </c>
    </row>
    <row r="2618" spans="1:1" x14ac:dyDescent="0.4">
      <c r="A2618" s="14" t="str">
        <f t="shared" si="40"/>
        <v>01</v>
      </c>
    </row>
    <row r="2619" spans="1:1" x14ac:dyDescent="0.4">
      <c r="A2619" s="14" t="str">
        <f t="shared" si="40"/>
        <v>01</v>
      </c>
    </row>
    <row r="2620" spans="1:1" x14ac:dyDescent="0.4">
      <c r="A2620" s="14" t="str">
        <f t="shared" si="40"/>
        <v>01</v>
      </c>
    </row>
    <row r="2621" spans="1:1" x14ac:dyDescent="0.4">
      <c r="A2621" s="14" t="str">
        <f t="shared" si="40"/>
        <v>01</v>
      </c>
    </row>
    <row r="2622" spans="1:1" x14ac:dyDescent="0.4">
      <c r="A2622" s="14" t="str">
        <f t="shared" si="40"/>
        <v>01</v>
      </c>
    </row>
    <row r="2623" spans="1:1" x14ac:dyDescent="0.4">
      <c r="A2623" s="14" t="str">
        <f t="shared" si="40"/>
        <v>01</v>
      </c>
    </row>
    <row r="2624" spans="1:1" x14ac:dyDescent="0.4">
      <c r="A2624" s="14" t="str">
        <f t="shared" si="40"/>
        <v>01</v>
      </c>
    </row>
    <row r="2625" spans="1:1" x14ac:dyDescent="0.4">
      <c r="A2625" s="14" t="str">
        <f t="shared" si="40"/>
        <v>01</v>
      </c>
    </row>
    <row r="2626" spans="1:1" x14ac:dyDescent="0.4">
      <c r="A2626" s="14" t="str">
        <f t="shared" si="40"/>
        <v>01</v>
      </c>
    </row>
    <row r="2627" spans="1:1" x14ac:dyDescent="0.4">
      <c r="A2627" s="14" t="str">
        <f t="shared" ref="A2627:A2690" si="41">TEXT(L2627,"MM")</f>
        <v>01</v>
      </c>
    </row>
    <row r="2628" spans="1:1" x14ac:dyDescent="0.4">
      <c r="A2628" s="14" t="str">
        <f t="shared" si="41"/>
        <v>01</v>
      </c>
    </row>
    <row r="2629" spans="1:1" x14ac:dyDescent="0.4">
      <c r="A2629" s="14" t="str">
        <f t="shared" si="41"/>
        <v>01</v>
      </c>
    </row>
    <row r="2630" spans="1:1" x14ac:dyDescent="0.4">
      <c r="A2630" s="14" t="str">
        <f t="shared" si="41"/>
        <v>01</v>
      </c>
    </row>
    <row r="2631" spans="1:1" x14ac:dyDescent="0.4">
      <c r="A2631" s="14" t="str">
        <f t="shared" si="41"/>
        <v>01</v>
      </c>
    </row>
    <row r="2632" spans="1:1" x14ac:dyDescent="0.4">
      <c r="A2632" s="14" t="str">
        <f t="shared" si="41"/>
        <v>01</v>
      </c>
    </row>
    <row r="2633" spans="1:1" x14ac:dyDescent="0.4">
      <c r="A2633" s="14" t="str">
        <f t="shared" si="41"/>
        <v>01</v>
      </c>
    </row>
    <row r="2634" spans="1:1" x14ac:dyDescent="0.4">
      <c r="A2634" s="14" t="str">
        <f t="shared" si="41"/>
        <v>01</v>
      </c>
    </row>
    <row r="2635" spans="1:1" x14ac:dyDescent="0.4">
      <c r="A2635" s="14" t="str">
        <f t="shared" si="41"/>
        <v>01</v>
      </c>
    </row>
    <row r="2636" spans="1:1" x14ac:dyDescent="0.4">
      <c r="A2636" s="14" t="str">
        <f t="shared" si="41"/>
        <v>01</v>
      </c>
    </row>
    <row r="2637" spans="1:1" x14ac:dyDescent="0.4">
      <c r="A2637" s="14" t="str">
        <f t="shared" si="41"/>
        <v>01</v>
      </c>
    </row>
    <row r="2638" spans="1:1" x14ac:dyDescent="0.4">
      <c r="A2638" s="14" t="str">
        <f t="shared" si="41"/>
        <v>01</v>
      </c>
    </row>
    <row r="2639" spans="1:1" x14ac:dyDescent="0.4">
      <c r="A2639" s="14" t="str">
        <f t="shared" si="41"/>
        <v>01</v>
      </c>
    </row>
    <row r="2640" spans="1:1" x14ac:dyDescent="0.4">
      <c r="A2640" s="14" t="str">
        <f t="shared" si="41"/>
        <v>01</v>
      </c>
    </row>
    <row r="2641" spans="1:1" x14ac:dyDescent="0.4">
      <c r="A2641" s="14" t="str">
        <f t="shared" si="41"/>
        <v>01</v>
      </c>
    </row>
    <row r="2642" spans="1:1" x14ac:dyDescent="0.4">
      <c r="A2642" s="14" t="str">
        <f t="shared" si="41"/>
        <v>01</v>
      </c>
    </row>
    <row r="2643" spans="1:1" x14ac:dyDescent="0.4">
      <c r="A2643" s="14" t="str">
        <f t="shared" si="41"/>
        <v>01</v>
      </c>
    </row>
    <row r="2644" spans="1:1" x14ac:dyDescent="0.4">
      <c r="A2644" s="14" t="str">
        <f t="shared" si="41"/>
        <v>01</v>
      </c>
    </row>
    <row r="2645" spans="1:1" x14ac:dyDescent="0.4">
      <c r="A2645" s="14" t="str">
        <f t="shared" si="41"/>
        <v>01</v>
      </c>
    </row>
    <row r="2646" spans="1:1" x14ac:dyDescent="0.4">
      <c r="A2646" s="14" t="str">
        <f t="shared" si="41"/>
        <v>01</v>
      </c>
    </row>
    <row r="2647" spans="1:1" x14ac:dyDescent="0.4">
      <c r="A2647" s="14" t="str">
        <f t="shared" si="41"/>
        <v>01</v>
      </c>
    </row>
    <row r="2648" spans="1:1" x14ac:dyDescent="0.4">
      <c r="A2648" s="14" t="str">
        <f t="shared" si="41"/>
        <v>01</v>
      </c>
    </row>
    <row r="2649" spans="1:1" x14ac:dyDescent="0.4">
      <c r="A2649" s="14" t="str">
        <f t="shared" si="41"/>
        <v>01</v>
      </c>
    </row>
    <row r="2650" spans="1:1" x14ac:dyDescent="0.4">
      <c r="A2650" s="14" t="str">
        <f t="shared" si="41"/>
        <v>01</v>
      </c>
    </row>
    <row r="2651" spans="1:1" x14ac:dyDescent="0.4">
      <c r="A2651" s="14" t="str">
        <f t="shared" si="41"/>
        <v>01</v>
      </c>
    </row>
    <row r="2652" spans="1:1" x14ac:dyDescent="0.4">
      <c r="A2652" s="14" t="str">
        <f t="shared" si="41"/>
        <v>01</v>
      </c>
    </row>
    <row r="2653" spans="1:1" x14ac:dyDescent="0.4">
      <c r="A2653" s="14" t="str">
        <f t="shared" si="41"/>
        <v>01</v>
      </c>
    </row>
    <row r="2654" spans="1:1" x14ac:dyDescent="0.4">
      <c r="A2654" s="14" t="str">
        <f t="shared" si="41"/>
        <v>01</v>
      </c>
    </row>
    <row r="2655" spans="1:1" x14ac:dyDescent="0.4">
      <c r="A2655" s="14" t="str">
        <f t="shared" si="41"/>
        <v>01</v>
      </c>
    </row>
    <row r="2656" spans="1:1" x14ac:dyDescent="0.4">
      <c r="A2656" s="14" t="str">
        <f t="shared" si="41"/>
        <v>01</v>
      </c>
    </row>
    <row r="2657" spans="1:1" x14ac:dyDescent="0.4">
      <c r="A2657" s="14" t="str">
        <f t="shared" si="41"/>
        <v>01</v>
      </c>
    </row>
    <row r="2658" spans="1:1" x14ac:dyDescent="0.4">
      <c r="A2658" s="14" t="str">
        <f t="shared" si="41"/>
        <v>01</v>
      </c>
    </row>
    <row r="2659" spans="1:1" x14ac:dyDescent="0.4">
      <c r="A2659" s="14" t="str">
        <f t="shared" si="41"/>
        <v>01</v>
      </c>
    </row>
    <row r="2660" spans="1:1" x14ac:dyDescent="0.4">
      <c r="A2660" s="14" t="str">
        <f t="shared" si="41"/>
        <v>01</v>
      </c>
    </row>
    <row r="2661" spans="1:1" x14ac:dyDescent="0.4">
      <c r="A2661" s="14" t="str">
        <f t="shared" si="41"/>
        <v>01</v>
      </c>
    </row>
    <row r="2662" spans="1:1" x14ac:dyDescent="0.4">
      <c r="A2662" s="14" t="str">
        <f t="shared" si="41"/>
        <v>01</v>
      </c>
    </row>
    <row r="2663" spans="1:1" x14ac:dyDescent="0.4">
      <c r="A2663" s="14" t="str">
        <f t="shared" si="41"/>
        <v>01</v>
      </c>
    </row>
    <row r="2664" spans="1:1" x14ac:dyDescent="0.4">
      <c r="A2664" s="14" t="str">
        <f t="shared" si="41"/>
        <v>01</v>
      </c>
    </row>
    <row r="2665" spans="1:1" x14ac:dyDescent="0.4">
      <c r="A2665" s="14" t="str">
        <f t="shared" si="41"/>
        <v>01</v>
      </c>
    </row>
    <row r="2666" spans="1:1" x14ac:dyDescent="0.4">
      <c r="A2666" s="14" t="str">
        <f t="shared" si="41"/>
        <v>01</v>
      </c>
    </row>
    <row r="2667" spans="1:1" x14ac:dyDescent="0.4">
      <c r="A2667" s="14" t="str">
        <f t="shared" si="41"/>
        <v>01</v>
      </c>
    </row>
    <row r="2668" spans="1:1" x14ac:dyDescent="0.4">
      <c r="A2668" s="14" t="str">
        <f t="shared" si="41"/>
        <v>01</v>
      </c>
    </row>
    <row r="2669" spans="1:1" x14ac:dyDescent="0.4">
      <c r="A2669" s="14" t="str">
        <f t="shared" si="41"/>
        <v>01</v>
      </c>
    </row>
    <row r="2670" spans="1:1" x14ac:dyDescent="0.4">
      <c r="A2670" s="14" t="str">
        <f t="shared" si="41"/>
        <v>01</v>
      </c>
    </row>
    <row r="2671" spans="1:1" x14ac:dyDescent="0.4">
      <c r="A2671" s="14" t="str">
        <f t="shared" si="41"/>
        <v>01</v>
      </c>
    </row>
    <row r="2672" spans="1:1" x14ac:dyDescent="0.4">
      <c r="A2672" s="14" t="str">
        <f t="shared" si="41"/>
        <v>01</v>
      </c>
    </row>
    <row r="2673" spans="1:1" x14ac:dyDescent="0.4">
      <c r="A2673" s="14" t="str">
        <f t="shared" si="41"/>
        <v>01</v>
      </c>
    </row>
    <row r="2674" spans="1:1" x14ac:dyDescent="0.4">
      <c r="A2674" s="14" t="str">
        <f t="shared" si="41"/>
        <v>01</v>
      </c>
    </row>
    <row r="2675" spans="1:1" x14ac:dyDescent="0.4">
      <c r="A2675" s="14" t="str">
        <f t="shared" si="41"/>
        <v>01</v>
      </c>
    </row>
    <row r="2676" spans="1:1" x14ac:dyDescent="0.4">
      <c r="A2676" s="14" t="str">
        <f t="shared" si="41"/>
        <v>01</v>
      </c>
    </row>
    <row r="2677" spans="1:1" x14ac:dyDescent="0.4">
      <c r="A2677" s="14" t="str">
        <f t="shared" si="41"/>
        <v>01</v>
      </c>
    </row>
    <row r="2678" spans="1:1" x14ac:dyDescent="0.4">
      <c r="A2678" s="14" t="str">
        <f t="shared" si="41"/>
        <v>01</v>
      </c>
    </row>
    <row r="2679" spans="1:1" x14ac:dyDescent="0.4">
      <c r="A2679" s="14" t="str">
        <f t="shared" si="41"/>
        <v>01</v>
      </c>
    </row>
    <row r="2680" spans="1:1" x14ac:dyDescent="0.4">
      <c r="A2680" s="14" t="str">
        <f t="shared" si="41"/>
        <v>01</v>
      </c>
    </row>
    <row r="2681" spans="1:1" x14ac:dyDescent="0.4">
      <c r="A2681" s="14" t="str">
        <f t="shared" si="41"/>
        <v>01</v>
      </c>
    </row>
    <row r="2682" spans="1:1" x14ac:dyDescent="0.4">
      <c r="A2682" s="14" t="str">
        <f t="shared" si="41"/>
        <v>01</v>
      </c>
    </row>
    <row r="2683" spans="1:1" x14ac:dyDescent="0.4">
      <c r="A2683" s="14" t="str">
        <f t="shared" si="41"/>
        <v>01</v>
      </c>
    </row>
    <row r="2684" spans="1:1" x14ac:dyDescent="0.4">
      <c r="A2684" s="14" t="str">
        <f t="shared" si="41"/>
        <v>01</v>
      </c>
    </row>
    <row r="2685" spans="1:1" x14ac:dyDescent="0.4">
      <c r="A2685" s="14" t="str">
        <f t="shared" si="41"/>
        <v>01</v>
      </c>
    </row>
    <row r="2686" spans="1:1" x14ac:dyDescent="0.4">
      <c r="A2686" s="14" t="str">
        <f t="shared" si="41"/>
        <v>01</v>
      </c>
    </row>
    <row r="2687" spans="1:1" x14ac:dyDescent="0.4">
      <c r="A2687" s="14" t="str">
        <f t="shared" si="41"/>
        <v>01</v>
      </c>
    </row>
    <row r="2688" spans="1:1" x14ac:dyDescent="0.4">
      <c r="A2688" s="14" t="str">
        <f t="shared" si="41"/>
        <v>01</v>
      </c>
    </row>
    <row r="2689" spans="1:1" x14ac:dyDescent="0.4">
      <c r="A2689" s="14" t="str">
        <f t="shared" si="41"/>
        <v>01</v>
      </c>
    </row>
    <row r="2690" spans="1:1" x14ac:dyDescent="0.4">
      <c r="A2690" s="14" t="str">
        <f t="shared" si="41"/>
        <v>01</v>
      </c>
    </row>
    <row r="2691" spans="1:1" x14ac:dyDescent="0.4">
      <c r="A2691" s="14" t="str">
        <f t="shared" ref="A2691:A2754" si="42">TEXT(L2691,"MM")</f>
        <v>01</v>
      </c>
    </row>
    <row r="2692" spans="1:1" x14ac:dyDescent="0.4">
      <c r="A2692" s="14" t="str">
        <f t="shared" si="42"/>
        <v>01</v>
      </c>
    </row>
    <row r="2693" spans="1:1" x14ac:dyDescent="0.4">
      <c r="A2693" s="14" t="str">
        <f t="shared" si="42"/>
        <v>01</v>
      </c>
    </row>
    <row r="2694" spans="1:1" x14ac:dyDescent="0.4">
      <c r="A2694" s="14" t="str">
        <f t="shared" si="42"/>
        <v>01</v>
      </c>
    </row>
    <row r="2695" spans="1:1" x14ac:dyDescent="0.4">
      <c r="A2695" s="14" t="str">
        <f t="shared" si="42"/>
        <v>01</v>
      </c>
    </row>
    <row r="2696" spans="1:1" x14ac:dyDescent="0.4">
      <c r="A2696" s="14" t="str">
        <f t="shared" si="42"/>
        <v>01</v>
      </c>
    </row>
    <row r="2697" spans="1:1" x14ac:dyDescent="0.4">
      <c r="A2697" s="14" t="str">
        <f t="shared" si="42"/>
        <v>01</v>
      </c>
    </row>
    <row r="2698" spans="1:1" x14ac:dyDescent="0.4">
      <c r="A2698" s="14" t="str">
        <f t="shared" si="42"/>
        <v>01</v>
      </c>
    </row>
    <row r="2699" spans="1:1" x14ac:dyDescent="0.4">
      <c r="A2699" s="14" t="str">
        <f t="shared" si="42"/>
        <v>01</v>
      </c>
    </row>
    <row r="2700" spans="1:1" x14ac:dyDescent="0.4">
      <c r="A2700" s="14" t="str">
        <f t="shared" si="42"/>
        <v>01</v>
      </c>
    </row>
    <row r="2701" spans="1:1" x14ac:dyDescent="0.4">
      <c r="A2701" s="14" t="str">
        <f t="shared" si="42"/>
        <v>01</v>
      </c>
    </row>
    <row r="2702" spans="1:1" x14ac:dyDescent="0.4">
      <c r="A2702" s="14" t="str">
        <f t="shared" si="42"/>
        <v>01</v>
      </c>
    </row>
    <row r="2703" spans="1:1" x14ac:dyDescent="0.4">
      <c r="A2703" s="14" t="str">
        <f t="shared" si="42"/>
        <v>01</v>
      </c>
    </row>
    <row r="2704" spans="1:1" x14ac:dyDescent="0.4">
      <c r="A2704" s="14" t="str">
        <f t="shared" si="42"/>
        <v>01</v>
      </c>
    </row>
    <row r="2705" spans="1:1" x14ac:dyDescent="0.4">
      <c r="A2705" s="14" t="str">
        <f t="shared" si="42"/>
        <v>01</v>
      </c>
    </row>
    <row r="2706" spans="1:1" x14ac:dyDescent="0.4">
      <c r="A2706" s="14" t="str">
        <f t="shared" si="42"/>
        <v>01</v>
      </c>
    </row>
    <row r="2707" spans="1:1" x14ac:dyDescent="0.4">
      <c r="A2707" s="14" t="str">
        <f t="shared" si="42"/>
        <v>01</v>
      </c>
    </row>
    <row r="2708" spans="1:1" x14ac:dyDescent="0.4">
      <c r="A2708" s="14" t="str">
        <f t="shared" si="42"/>
        <v>01</v>
      </c>
    </row>
    <row r="2709" spans="1:1" x14ac:dyDescent="0.4">
      <c r="A2709" s="14" t="str">
        <f t="shared" si="42"/>
        <v>01</v>
      </c>
    </row>
    <row r="2710" spans="1:1" x14ac:dyDescent="0.4">
      <c r="A2710" s="14" t="str">
        <f t="shared" si="42"/>
        <v>01</v>
      </c>
    </row>
    <row r="2711" spans="1:1" x14ac:dyDescent="0.4">
      <c r="A2711" s="14" t="str">
        <f t="shared" si="42"/>
        <v>01</v>
      </c>
    </row>
    <row r="2712" spans="1:1" x14ac:dyDescent="0.4">
      <c r="A2712" s="14" t="str">
        <f t="shared" si="42"/>
        <v>01</v>
      </c>
    </row>
    <row r="2713" spans="1:1" x14ac:dyDescent="0.4">
      <c r="A2713" s="14" t="str">
        <f t="shared" si="42"/>
        <v>01</v>
      </c>
    </row>
    <row r="2714" spans="1:1" x14ac:dyDescent="0.4">
      <c r="A2714" s="14" t="str">
        <f t="shared" si="42"/>
        <v>01</v>
      </c>
    </row>
    <row r="2715" spans="1:1" x14ac:dyDescent="0.4">
      <c r="A2715" s="14" t="str">
        <f t="shared" si="42"/>
        <v>01</v>
      </c>
    </row>
    <row r="2716" spans="1:1" x14ac:dyDescent="0.4">
      <c r="A2716" s="14" t="str">
        <f t="shared" si="42"/>
        <v>01</v>
      </c>
    </row>
    <row r="2717" spans="1:1" x14ac:dyDescent="0.4">
      <c r="A2717" s="14" t="str">
        <f t="shared" si="42"/>
        <v>01</v>
      </c>
    </row>
    <row r="2718" spans="1:1" x14ac:dyDescent="0.4">
      <c r="A2718" s="14" t="str">
        <f t="shared" si="42"/>
        <v>01</v>
      </c>
    </row>
    <row r="2719" spans="1:1" x14ac:dyDescent="0.4">
      <c r="A2719" s="14" t="str">
        <f t="shared" si="42"/>
        <v>01</v>
      </c>
    </row>
    <row r="2720" spans="1:1" x14ac:dyDescent="0.4">
      <c r="A2720" s="14" t="str">
        <f t="shared" si="42"/>
        <v>01</v>
      </c>
    </row>
    <row r="2721" spans="1:1" x14ac:dyDescent="0.4">
      <c r="A2721" s="14" t="str">
        <f t="shared" si="42"/>
        <v>01</v>
      </c>
    </row>
    <row r="2722" spans="1:1" x14ac:dyDescent="0.4">
      <c r="A2722" s="14" t="str">
        <f t="shared" si="42"/>
        <v>01</v>
      </c>
    </row>
    <row r="2723" spans="1:1" x14ac:dyDescent="0.4">
      <c r="A2723" s="14" t="str">
        <f t="shared" si="42"/>
        <v>01</v>
      </c>
    </row>
    <row r="2724" spans="1:1" x14ac:dyDescent="0.4">
      <c r="A2724" s="14" t="str">
        <f t="shared" si="42"/>
        <v>01</v>
      </c>
    </row>
    <row r="2725" spans="1:1" x14ac:dyDescent="0.4">
      <c r="A2725" s="14" t="str">
        <f t="shared" si="42"/>
        <v>01</v>
      </c>
    </row>
    <row r="2726" spans="1:1" x14ac:dyDescent="0.4">
      <c r="A2726" s="14" t="str">
        <f t="shared" si="42"/>
        <v>01</v>
      </c>
    </row>
    <row r="2727" spans="1:1" x14ac:dyDescent="0.4">
      <c r="A2727" s="14" t="str">
        <f t="shared" si="42"/>
        <v>01</v>
      </c>
    </row>
    <row r="2728" spans="1:1" x14ac:dyDescent="0.4">
      <c r="A2728" s="14" t="str">
        <f t="shared" si="42"/>
        <v>01</v>
      </c>
    </row>
    <row r="2729" spans="1:1" x14ac:dyDescent="0.4">
      <c r="A2729" s="14" t="str">
        <f t="shared" si="42"/>
        <v>01</v>
      </c>
    </row>
    <row r="2730" spans="1:1" x14ac:dyDescent="0.4">
      <c r="A2730" s="14" t="str">
        <f t="shared" si="42"/>
        <v>01</v>
      </c>
    </row>
    <row r="2731" spans="1:1" x14ac:dyDescent="0.4">
      <c r="A2731" s="14" t="str">
        <f t="shared" si="42"/>
        <v>01</v>
      </c>
    </row>
    <row r="2732" spans="1:1" x14ac:dyDescent="0.4">
      <c r="A2732" s="14" t="str">
        <f t="shared" si="42"/>
        <v>01</v>
      </c>
    </row>
    <row r="2733" spans="1:1" x14ac:dyDescent="0.4">
      <c r="A2733" s="14" t="str">
        <f t="shared" si="42"/>
        <v>01</v>
      </c>
    </row>
    <row r="2734" spans="1:1" x14ac:dyDescent="0.4">
      <c r="A2734" s="14" t="str">
        <f t="shared" si="42"/>
        <v>01</v>
      </c>
    </row>
    <row r="2735" spans="1:1" x14ac:dyDescent="0.4">
      <c r="A2735" s="14" t="str">
        <f t="shared" si="42"/>
        <v>01</v>
      </c>
    </row>
    <row r="2736" spans="1:1" x14ac:dyDescent="0.4">
      <c r="A2736" s="14" t="str">
        <f t="shared" si="42"/>
        <v>01</v>
      </c>
    </row>
    <row r="2737" spans="1:1" x14ac:dyDescent="0.4">
      <c r="A2737" s="14" t="str">
        <f t="shared" si="42"/>
        <v>01</v>
      </c>
    </row>
    <row r="2738" spans="1:1" x14ac:dyDescent="0.4">
      <c r="A2738" s="14" t="str">
        <f t="shared" si="42"/>
        <v>01</v>
      </c>
    </row>
    <row r="2739" spans="1:1" x14ac:dyDescent="0.4">
      <c r="A2739" s="14" t="str">
        <f t="shared" si="42"/>
        <v>01</v>
      </c>
    </row>
    <row r="2740" spans="1:1" x14ac:dyDescent="0.4">
      <c r="A2740" s="14" t="str">
        <f t="shared" si="42"/>
        <v>01</v>
      </c>
    </row>
    <row r="2741" spans="1:1" x14ac:dyDescent="0.4">
      <c r="A2741" s="14" t="str">
        <f t="shared" si="42"/>
        <v>01</v>
      </c>
    </row>
    <row r="2742" spans="1:1" x14ac:dyDescent="0.4">
      <c r="A2742" s="14" t="str">
        <f t="shared" si="42"/>
        <v>01</v>
      </c>
    </row>
    <row r="2743" spans="1:1" x14ac:dyDescent="0.4">
      <c r="A2743" s="14" t="str">
        <f t="shared" si="42"/>
        <v>01</v>
      </c>
    </row>
    <row r="2744" spans="1:1" x14ac:dyDescent="0.4">
      <c r="A2744" s="14" t="str">
        <f t="shared" si="42"/>
        <v>01</v>
      </c>
    </row>
    <row r="2745" spans="1:1" x14ac:dyDescent="0.4">
      <c r="A2745" s="14" t="str">
        <f t="shared" si="42"/>
        <v>01</v>
      </c>
    </row>
    <row r="2746" spans="1:1" x14ac:dyDescent="0.4">
      <c r="A2746" s="14" t="str">
        <f t="shared" si="42"/>
        <v>01</v>
      </c>
    </row>
    <row r="2747" spans="1:1" x14ac:dyDescent="0.4">
      <c r="A2747" s="14" t="str">
        <f t="shared" si="42"/>
        <v>01</v>
      </c>
    </row>
    <row r="2748" spans="1:1" x14ac:dyDescent="0.4">
      <c r="A2748" s="14" t="str">
        <f t="shared" si="42"/>
        <v>01</v>
      </c>
    </row>
    <row r="2749" spans="1:1" x14ac:dyDescent="0.4">
      <c r="A2749" s="14" t="str">
        <f t="shared" si="42"/>
        <v>01</v>
      </c>
    </row>
    <row r="2750" spans="1:1" x14ac:dyDescent="0.4">
      <c r="A2750" s="14" t="str">
        <f t="shared" si="42"/>
        <v>01</v>
      </c>
    </row>
    <row r="2751" spans="1:1" x14ac:dyDescent="0.4">
      <c r="A2751" s="14" t="str">
        <f t="shared" si="42"/>
        <v>01</v>
      </c>
    </row>
    <row r="2752" spans="1:1" x14ac:dyDescent="0.4">
      <c r="A2752" s="14" t="str">
        <f t="shared" si="42"/>
        <v>01</v>
      </c>
    </row>
    <row r="2753" spans="1:1" x14ac:dyDescent="0.4">
      <c r="A2753" s="14" t="str">
        <f t="shared" si="42"/>
        <v>01</v>
      </c>
    </row>
    <row r="2754" spans="1:1" x14ac:dyDescent="0.4">
      <c r="A2754" s="14" t="str">
        <f t="shared" si="42"/>
        <v>01</v>
      </c>
    </row>
    <row r="2755" spans="1:1" x14ac:dyDescent="0.4">
      <c r="A2755" s="14" t="str">
        <f t="shared" ref="A2755:A2818" si="43">TEXT(L2755,"MM")</f>
        <v>01</v>
      </c>
    </row>
    <row r="2756" spans="1:1" x14ac:dyDescent="0.4">
      <c r="A2756" s="14" t="str">
        <f t="shared" si="43"/>
        <v>01</v>
      </c>
    </row>
    <row r="2757" spans="1:1" x14ac:dyDescent="0.4">
      <c r="A2757" s="14" t="str">
        <f t="shared" si="43"/>
        <v>01</v>
      </c>
    </row>
    <row r="2758" spans="1:1" x14ac:dyDescent="0.4">
      <c r="A2758" s="14" t="str">
        <f t="shared" si="43"/>
        <v>01</v>
      </c>
    </row>
    <row r="2759" spans="1:1" x14ac:dyDescent="0.4">
      <c r="A2759" s="14" t="str">
        <f t="shared" si="43"/>
        <v>01</v>
      </c>
    </row>
    <row r="2760" spans="1:1" x14ac:dyDescent="0.4">
      <c r="A2760" s="14" t="str">
        <f t="shared" si="43"/>
        <v>01</v>
      </c>
    </row>
    <row r="2761" spans="1:1" x14ac:dyDescent="0.4">
      <c r="A2761" s="14" t="str">
        <f t="shared" si="43"/>
        <v>01</v>
      </c>
    </row>
    <row r="2762" spans="1:1" x14ac:dyDescent="0.4">
      <c r="A2762" s="14" t="str">
        <f t="shared" si="43"/>
        <v>01</v>
      </c>
    </row>
    <row r="2763" spans="1:1" x14ac:dyDescent="0.4">
      <c r="A2763" s="14" t="str">
        <f t="shared" si="43"/>
        <v>01</v>
      </c>
    </row>
    <row r="2764" spans="1:1" x14ac:dyDescent="0.4">
      <c r="A2764" s="14" t="str">
        <f t="shared" si="43"/>
        <v>01</v>
      </c>
    </row>
    <row r="2765" spans="1:1" x14ac:dyDescent="0.4">
      <c r="A2765" s="14" t="str">
        <f t="shared" si="43"/>
        <v>01</v>
      </c>
    </row>
    <row r="2766" spans="1:1" x14ac:dyDescent="0.4">
      <c r="A2766" s="14" t="str">
        <f t="shared" si="43"/>
        <v>01</v>
      </c>
    </row>
    <row r="2767" spans="1:1" x14ac:dyDescent="0.4">
      <c r="A2767" s="14" t="str">
        <f t="shared" si="43"/>
        <v>01</v>
      </c>
    </row>
    <row r="2768" spans="1:1" x14ac:dyDescent="0.4">
      <c r="A2768" s="14" t="str">
        <f t="shared" si="43"/>
        <v>01</v>
      </c>
    </row>
    <row r="2769" spans="1:1" x14ac:dyDescent="0.4">
      <c r="A2769" s="14" t="str">
        <f t="shared" si="43"/>
        <v>01</v>
      </c>
    </row>
    <row r="2770" spans="1:1" x14ac:dyDescent="0.4">
      <c r="A2770" s="14" t="str">
        <f t="shared" si="43"/>
        <v>01</v>
      </c>
    </row>
    <row r="2771" spans="1:1" x14ac:dyDescent="0.4">
      <c r="A2771" s="14" t="str">
        <f t="shared" si="43"/>
        <v>01</v>
      </c>
    </row>
    <row r="2772" spans="1:1" x14ac:dyDescent="0.4">
      <c r="A2772" s="14" t="str">
        <f t="shared" si="43"/>
        <v>01</v>
      </c>
    </row>
    <row r="2773" spans="1:1" x14ac:dyDescent="0.4">
      <c r="A2773" s="14" t="str">
        <f t="shared" si="43"/>
        <v>01</v>
      </c>
    </row>
    <row r="2774" spans="1:1" x14ac:dyDescent="0.4">
      <c r="A2774" s="14" t="str">
        <f t="shared" si="43"/>
        <v>01</v>
      </c>
    </row>
    <row r="2775" spans="1:1" x14ac:dyDescent="0.4">
      <c r="A2775" s="14" t="str">
        <f t="shared" si="43"/>
        <v>01</v>
      </c>
    </row>
    <row r="2776" spans="1:1" x14ac:dyDescent="0.4">
      <c r="A2776" s="14" t="str">
        <f t="shared" si="43"/>
        <v>01</v>
      </c>
    </row>
    <row r="2777" spans="1:1" x14ac:dyDescent="0.4">
      <c r="A2777" s="14" t="str">
        <f t="shared" si="43"/>
        <v>01</v>
      </c>
    </row>
    <row r="2778" spans="1:1" x14ac:dyDescent="0.4">
      <c r="A2778" s="14" t="str">
        <f t="shared" si="43"/>
        <v>01</v>
      </c>
    </row>
    <row r="2779" spans="1:1" x14ac:dyDescent="0.4">
      <c r="A2779" s="14" t="str">
        <f t="shared" si="43"/>
        <v>01</v>
      </c>
    </row>
    <row r="2780" spans="1:1" x14ac:dyDescent="0.4">
      <c r="A2780" s="14" t="str">
        <f t="shared" si="43"/>
        <v>01</v>
      </c>
    </row>
    <row r="2781" spans="1:1" x14ac:dyDescent="0.4">
      <c r="A2781" s="14" t="str">
        <f t="shared" si="43"/>
        <v>01</v>
      </c>
    </row>
    <row r="2782" spans="1:1" x14ac:dyDescent="0.4">
      <c r="A2782" s="14" t="str">
        <f t="shared" si="43"/>
        <v>01</v>
      </c>
    </row>
    <row r="2783" spans="1:1" x14ac:dyDescent="0.4">
      <c r="A2783" s="14" t="str">
        <f t="shared" si="43"/>
        <v>01</v>
      </c>
    </row>
    <row r="2784" spans="1:1" x14ac:dyDescent="0.4">
      <c r="A2784" s="14" t="str">
        <f t="shared" si="43"/>
        <v>01</v>
      </c>
    </row>
    <row r="2785" spans="1:1" x14ac:dyDescent="0.4">
      <c r="A2785" s="14" t="str">
        <f t="shared" si="43"/>
        <v>01</v>
      </c>
    </row>
    <row r="2786" spans="1:1" x14ac:dyDescent="0.4">
      <c r="A2786" s="14" t="str">
        <f t="shared" si="43"/>
        <v>01</v>
      </c>
    </row>
    <row r="2787" spans="1:1" x14ac:dyDescent="0.4">
      <c r="A2787" s="14" t="str">
        <f t="shared" si="43"/>
        <v>01</v>
      </c>
    </row>
    <row r="2788" spans="1:1" x14ac:dyDescent="0.4">
      <c r="A2788" s="14" t="str">
        <f t="shared" si="43"/>
        <v>01</v>
      </c>
    </row>
    <row r="2789" spans="1:1" x14ac:dyDescent="0.4">
      <c r="A2789" s="14" t="str">
        <f t="shared" si="43"/>
        <v>01</v>
      </c>
    </row>
    <row r="2790" spans="1:1" x14ac:dyDescent="0.4">
      <c r="A2790" s="14" t="str">
        <f t="shared" si="43"/>
        <v>01</v>
      </c>
    </row>
    <row r="2791" spans="1:1" x14ac:dyDescent="0.4">
      <c r="A2791" s="14" t="str">
        <f t="shared" si="43"/>
        <v>01</v>
      </c>
    </row>
    <row r="2792" spans="1:1" x14ac:dyDescent="0.4">
      <c r="A2792" s="14" t="str">
        <f t="shared" si="43"/>
        <v>01</v>
      </c>
    </row>
    <row r="2793" spans="1:1" x14ac:dyDescent="0.4">
      <c r="A2793" s="14" t="str">
        <f t="shared" si="43"/>
        <v>01</v>
      </c>
    </row>
    <row r="2794" spans="1:1" x14ac:dyDescent="0.4">
      <c r="A2794" s="14" t="str">
        <f t="shared" si="43"/>
        <v>01</v>
      </c>
    </row>
    <row r="2795" spans="1:1" x14ac:dyDescent="0.4">
      <c r="A2795" s="14" t="str">
        <f t="shared" si="43"/>
        <v>01</v>
      </c>
    </row>
    <row r="2796" spans="1:1" x14ac:dyDescent="0.4">
      <c r="A2796" s="14" t="str">
        <f t="shared" si="43"/>
        <v>01</v>
      </c>
    </row>
    <row r="2797" spans="1:1" x14ac:dyDescent="0.4">
      <c r="A2797" s="14" t="str">
        <f t="shared" si="43"/>
        <v>01</v>
      </c>
    </row>
    <row r="2798" spans="1:1" x14ac:dyDescent="0.4">
      <c r="A2798" s="14" t="str">
        <f t="shared" si="43"/>
        <v>01</v>
      </c>
    </row>
    <row r="2799" spans="1:1" x14ac:dyDescent="0.4">
      <c r="A2799" s="14" t="str">
        <f t="shared" si="43"/>
        <v>01</v>
      </c>
    </row>
    <row r="2800" spans="1:1" x14ac:dyDescent="0.4">
      <c r="A2800" s="14" t="str">
        <f t="shared" si="43"/>
        <v>01</v>
      </c>
    </row>
    <row r="2801" spans="1:1" x14ac:dyDescent="0.4">
      <c r="A2801" s="14" t="str">
        <f t="shared" si="43"/>
        <v>01</v>
      </c>
    </row>
    <row r="2802" spans="1:1" x14ac:dyDescent="0.4">
      <c r="A2802" s="14" t="str">
        <f t="shared" si="43"/>
        <v>01</v>
      </c>
    </row>
    <row r="2803" spans="1:1" x14ac:dyDescent="0.4">
      <c r="A2803" s="14" t="str">
        <f t="shared" si="43"/>
        <v>01</v>
      </c>
    </row>
    <row r="2804" spans="1:1" x14ac:dyDescent="0.4">
      <c r="A2804" s="14" t="str">
        <f t="shared" si="43"/>
        <v>01</v>
      </c>
    </row>
    <row r="2805" spans="1:1" x14ac:dyDescent="0.4">
      <c r="A2805" s="14" t="str">
        <f t="shared" si="43"/>
        <v>01</v>
      </c>
    </row>
    <row r="2806" spans="1:1" x14ac:dyDescent="0.4">
      <c r="A2806" s="14" t="str">
        <f t="shared" si="43"/>
        <v>01</v>
      </c>
    </row>
    <row r="2807" spans="1:1" x14ac:dyDescent="0.4">
      <c r="A2807" s="14" t="str">
        <f t="shared" si="43"/>
        <v>01</v>
      </c>
    </row>
    <row r="2808" spans="1:1" x14ac:dyDescent="0.4">
      <c r="A2808" s="14" t="str">
        <f t="shared" si="43"/>
        <v>01</v>
      </c>
    </row>
    <row r="2809" spans="1:1" x14ac:dyDescent="0.4">
      <c r="A2809" s="14" t="str">
        <f t="shared" si="43"/>
        <v>01</v>
      </c>
    </row>
    <row r="2810" spans="1:1" x14ac:dyDescent="0.4">
      <c r="A2810" s="14" t="str">
        <f t="shared" si="43"/>
        <v>01</v>
      </c>
    </row>
    <row r="2811" spans="1:1" x14ac:dyDescent="0.4">
      <c r="A2811" s="14" t="str">
        <f t="shared" si="43"/>
        <v>01</v>
      </c>
    </row>
    <row r="2812" spans="1:1" x14ac:dyDescent="0.4">
      <c r="A2812" s="14" t="str">
        <f t="shared" si="43"/>
        <v>01</v>
      </c>
    </row>
    <row r="2813" spans="1:1" x14ac:dyDescent="0.4">
      <c r="A2813" s="14" t="str">
        <f t="shared" si="43"/>
        <v>01</v>
      </c>
    </row>
    <row r="2814" spans="1:1" x14ac:dyDescent="0.4">
      <c r="A2814" s="14" t="str">
        <f t="shared" si="43"/>
        <v>01</v>
      </c>
    </row>
    <row r="2815" spans="1:1" x14ac:dyDescent="0.4">
      <c r="A2815" s="14" t="str">
        <f t="shared" si="43"/>
        <v>01</v>
      </c>
    </row>
    <row r="2816" spans="1:1" x14ac:dyDescent="0.4">
      <c r="A2816" s="14" t="str">
        <f t="shared" si="43"/>
        <v>01</v>
      </c>
    </row>
    <row r="2817" spans="1:1" x14ac:dyDescent="0.4">
      <c r="A2817" s="14" t="str">
        <f t="shared" si="43"/>
        <v>01</v>
      </c>
    </row>
    <row r="2818" spans="1:1" x14ac:dyDescent="0.4">
      <c r="A2818" s="14" t="str">
        <f t="shared" si="43"/>
        <v>01</v>
      </c>
    </row>
    <row r="2819" spans="1:1" x14ac:dyDescent="0.4">
      <c r="A2819" s="14" t="str">
        <f t="shared" ref="A2819:A2882" si="44">TEXT(L2819,"MM")</f>
        <v>01</v>
      </c>
    </row>
    <row r="2820" spans="1:1" x14ac:dyDescent="0.4">
      <c r="A2820" s="14" t="str">
        <f t="shared" si="44"/>
        <v>01</v>
      </c>
    </row>
    <row r="2821" spans="1:1" x14ac:dyDescent="0.4">
      <c r="A2821" s="14" t="str">
        <f t="shared" si="44"/>
        <v>01</v>
      </c>
    </row>
    <row r="2822" spans="1:1" x14ac:dyDescent="0.4">
      <c r="A2822" s="14" t="str">
        <f t="shared" si="44"/>
        <v>01</v>
      </c>
    </row>
    <row r="2823" spans="1:1" x14ac:dyDescent="0.4">
      <c r="A2823" s="14" t="str">
        <f t="shared" si="44"/>
        <v>01</v>
      </c>
    </row>
    <row r="2824" spans="1:1" x14ac:dyDescent="0.4">
      <c r="A2824" s="14" t="str">
        <f t="shared" si="44"/>
        <v>01</v>
      </c>
    </row>
    <row r="2825" spans="1:1" x14ac:dyDescent="0.4">
      <c r="A2825" s="14" t="str">
        <f t="shared" si="44"/>
        <v>01</v>
      </c>
    </row>
    <row r="2826" spans="1:1" x14ac:dyDescent="0.4">
      <c r="A2826" s="14" t="str">
        <f t="shared" si="44"/>
        <v>01</v>
      </c>
    </row>
    <row r="2827" spans="1:1" x14ac:dyDescent="0.4">
      <c r="A2827" s="14" t="str">
        <f t="shared" si="44"/>
        <v>01</v>
      </c>
    </row>
    <row r="2828" spans="1:1" x14ac:dyDescent="0.4">
      <c r="A2828" s="14" t="str">
        <f t="shared" si="44"/>
        <v>01</v>
      </c>
    </row>
    <row r="2829" spans="1:1" x14ac:dyDescent="0.4">
      <c r="A2829" s="14" t="str">
        <f t="shared" si="44"/>
        <v>01</v>
      </c>
    </row>
    <row r="2830" spans="1:1" x14ac:dyDescent="0.4">
      <c r="A2830" s="14" t="str">
        <f t="shared" si="44"/>
        <v>01</v>
      </c>
    </row>
    <row r="2831" spans="1:1" x14ac:dyDescent="0.4">
      <c r="A2831" s="14" t="str">
        <f t="shared" si="44"/>
        <v>01</v>
      </c>
    </row>
    <row r="2832" spans="1:1" x14ac:dyDescent="0.4">
      <c r="A2832" s="14" t="str">
        <f t="shared" si="44"/>
        <v>01</v>
      </c>
    </row>
    <row r="2833" spans="1:1" x14ac:dyDescent="0.4">
      <c r="A2833" s="14" t="str">
        <f t="shared" si="44"/>
        <v>01</v>
      </c>
    </row>
    <row r="2834" spans="1:1" x14ac:dyDescent="0.4">
      <c r="A2834" s="14" t="str">
        <f t="shared" si="44"/>
        <v>01</v>
      </c>
    </row>
    <row r="2835" spans="1:1" x14ac:dyDescent="0.4">
      <c r="A2835" s="14" t="str">
        <f t="shared" si="44"/>
        <v>01</v>
      </c>
    </row>
    <row r="2836" spans="1:1" x14ac:dyDescent="0.4">
      <c r="A2836" s="14" t="str">
        <f t="shared" si="44"/>
        <v>01</v>
      </c>
    </row>
    <row r="2837" spans="1:1" x14ac:dyDescent="0.4">
      <c r="A2837" s="14" t="str">
        <f t="shared" si="44"/>
        <v>01</v>
      </c>
    </row>
    <row r="2838" spans="1:1" x14ac:dyDescent="0.4">
      <c r="A2838" s="14" t="str">
        <f t="shared" si="44"/>
        <v>01</v>
      </c>
    </row>
    <row r="2839" spans="1:1" x14ac:dyDescent="0.4">
      <c r="A2839" s="14" t="str">
        <f t="shared" si="44"/>
        <v>01</v>
      </c>
    </row>
    <row r="2840" spans="1:1" x14ac:dyDescent="0.4">
      <c r="A2840" s="14" t="str">
        <f t="shared" si="44"/>
        <v>01</v>
      </c>
    </row>
    <row r="2841" spans="1:1" x14ac:dyDescent="0.4">
      <c r="A2841" s="14" t="str">
        <f t="shared" si="44"/>
        <v>01</v>
      </c>
    </row>
    <row r="2842" spans="1:1" x14ac:dyDescent="0.4">
      <c r="A2842" s="14" t="str">
        <f t="shared" si="44"/>
        <v>01</v>
      </c>
    </row>
    <row r="2843" spans="1:1" x14ac:dyDescent="0.4">
      <c r="A2843" s="14" t="str">
        <f t="shared" si="44"/>
        <v>01</v>
      </c>
    </row>
    <row r="2844" spans="1:1" x14ac:dyDescent="0.4">
      <c r="A2844" s="14" t="str">
        <f t="shared" si="44"/>
        <v>01</v>
      </c>
    </row>
    <row r="2845" spans="1:1" x14ac:dyDescent="0.4">
      <c r="A2845" s="14" t="str">
        <f t="shared" si="44"/>
        <v>01</v>
      </c>
    </row>
    <row r="2846" spans="1:1" x14ac:dyDescent="0.4">
      <c r="A2846" s="14" t="str">
        <f t="shared" si="44"/>
        <v>01</v>
      </c>
    </row>
    <row r="2847" spans="1:1" x14ac:dyDescent="0.4">
      <c r="A2847" s="14" t="str">
        <f t="shared" si="44"/>
        <v>01</v>
      </c>
    </row>
    <row r="2848" spans="1:1" x14ac:dyDescent="0.4">
      <c r="A2848" s="14" t="str">
        <f t="shared" si="44"/>
        <v>01</v>
      </c>
    </row>
    <row r="2849" spans="1:1" x14ac:dyDescent="0.4">
      <c r="A2849" s="14" t="str">
        <f t="shared" si="44"/>
        <v>01</v>
      </c>
    </row>
    <row r="2850" spans="1:1" x14ac:dyDescent="0.4">
      <c r="A2850" s="14" t="str">
        <f t="shared" si="44"/>
        <v>01</v>
      </c>
    </row>
    <row r="2851" spans="1:1" x14ac:dyDescent="0.4">
      <c r="A2851" s="14" t="str">
        <f t="shared" si="44"/>
        <v>01</v>
      </c>
    </row>
    <row r="2852" spans="1:1" x14ac:dyDescent="0.4">
      <c r="A2852" s="14" t="str">
        <f t="shared" si="44"/>
        <v>01</v>
      </c>
    </row>
    <row r="2853" spans="1:1" x14ac:dyDescent="0.4">
      <c r="A2853" s="14" t="str">
        <f t="shared" si="44"/>
        <v>01</v>
      </c>
    </row>
    <row r="2854" spans="1:1" x14ac:dyDescent="0.4">
      <c r="A2854" s="14" t="str">
        <f t="shared" si="44"/>
        <v>01</v>
      </c>
    </row>
    <row r="2855" spans="1:1" x14ac:dyDescent="0.4">
      <c r="A2855" s="14" t="str">
        <f t="shared" si="44"/>
        <v>01</v>
      </c>
    </row>
    <row r="2856" spans="1:1" x14ac:dyDescent="0.4">
      <c r="A2856" s="14" t="str">
        <f t="shared" si="44"/>
        <v>01</v>
      </c>
    </row>
    <row r="2857" spans="1:1" x14ac:dyDescent="0.4">
      <c r="A2857" s="14" t="str">
        <f t="shared" si="44"/>
        <v>01</v>
      </c>
    </row>
    <row r="2858" spans="1:1" x14ac:dyDescent="0.4">
      <c r="A2858" s="14" t="str">
        <f t="shared" si="44"/>
        <v>01</v>
      </c>
    </row>
    <row r="2859" spans="1:1" x14ac:dyDescent="0.4">
      <c r="A2859" s="14" t="str">
        <f t="shared" si="44"/>
        <v>01</v>
      </c>
    </row>
    <row r="2860" spans="1:1" x14ac:dyDescent="0.4">
      <c r="A2860" s="14" t="str">
        <f t="shared" si="44"/>
        <v>01</v>
      </c>
    </row>
    <row r="2861" spans="1:1" x14ac:dyDescent="0.4">
      <c r="A2861" s="14" t="str">
        <f t="shared" si="44"/>
        <v>01</v>
      </c>
    </row>
    <row r="2862" spans="1:1" x14ac:dyDescent="0.4">
      <c r="A2862" s="14" t="str">
        <f t="shared" si="44"/>
        <v>01</v>
      </c>
    </row>
    <row r="2863" spans="1:1" x14ac:dyDescent="0.4">
      <c r="A2863" s="14" t="str">
        <f t="shared" si="44"/>
        <v>01</v>
      </c>
    </row>
    <row r="2864" spans="1:1" x14ac:dyDescent="0.4">
      <c r="A2864" s="14" t="str">
        <f t="shared" si="44"/>
        <v>01</v>
      </c>
    </row>
    <row r="2865" spans="1:1" x14ac:dyDescent="0.4">
      <c r="A2865" s="14" t="str">
        <f t="shared" si="44"/>
        <v>01</v>
      </c>
    </row>
    <row r="2866" spans="1:1" x14ac:dyDescent="0.4">
      <c r="A2866" s="14" t="str">
        <f t="shared" si="44"/>
        <v>01</v>
      </c>
    </row>
    <row r="2867" spans="1:1" x14ac:dyDescent="0.4">
      <c r="A2867" s="14" t="str">
        <f t="shared" si="44"/>
        <v>01</v>
      </c>
    </row>
    <row r="2868" spans="1:1" x14ac:dyDescent="0.4">
      <c r="A2868" s="14" t="str">
        <f t="shared" si="44"/>
        <v>01</v>
      </c>
    </row>
    <row r="2869" spans="1:1" x14ac:dyDescent="0.4">
      <c r="A2869" s="14" t="str">
        <f t="shared" si="44"/>
        <v>01</v>
      </c>
    </row>
    <row r="2870" spans="1:1" x14ac:dyDescent="0.4">
      <c r="A2870" s="14" t="str">
        <f t="shared" si="44"/>
        <v>01</v>
      </c>
    </row>
    <row r="2871" spans="1:1" x14ac:dyDescent="0.4">
      <c r="A2871" s="14" t="str">
        <f t="shared" si="44"/>
        <v>01</v>
      </c>
    </row>
    <row r="2872" spans="1:1" x14ac:dyDescent="0.4">
      <c r="A2872" s="14" t="str">
        <f t="shared" si="44"/>
        <v>01</v>
      </c>
    </row>
    <row r="2873" spans="1:1" x14ac:dyDescent="0.4">
      <c r="A2873" s="14" t="str">
        <f t="shared" si="44"/>
        <v>01</v>
      </c>
    </row>
    <row r="2874" spans="1:1" x14ac:dyDescent="0.4">
      <c r="A2874" s="14" t="str">
        <f t="shared" si="44"/>
        <v>01</v>
      </c>
    </row>
    <row r="2875" spans="1:1" x14ac:dyDescent="0.4">
      <c r="A2875" s="14" t="str">
        <f t="shared" si="44"/>
        <v>01</v>
      </c>
    </row>
    <row r="2876" spans="1:1" x14ac:dyDescent="0.4">
      <c r="A2876" s="14" t="str">
        <f t="shared" si="44"/>
        <v>01</v>
      </c>
    </row>
    <row r="2877" spans="1:1" x14ac:dyDescent="0.4">
      <c r="A2877" s="14" t="str">
        <f t="shared" si="44"/>
        <v>01</v>
      </c>
    </row>
    <row r="2878" spans="1:1" x14ac:dyDescent="0.4">
      <c r="A2878" s="14" t="str">
        <f t="shared" si="44"/>
        <v>01</v>
      </c>
    </row>
    <row r="2879" spans="1:1" x14ac:dyDescent="0.4">
      <c r="A2879" s="14" t="str">
        <f t="shared" si="44"/>
        <v>01</v>
      </c>
    </row>
    <row r="2880" spans="1:1" x14ac:dyDescent="0.4">
      <c r="A2880" s="14" t="str">
        <f t="shared" si="44"/>
        <v>01</v>
      </c>
    </row>
    <row r="2881" spans="1:1" x14ac:dyDescent="0.4">
      <c r="A2881" s="14" t="str">
        <f t="shared" si="44"/>
        <v>01</v>
      </c>
    </row>
    <row r="2882" spans="1:1" x14ac:dyDescent="0.4">
      <c r="A2882" s="14" t="str">
        <f t="shared" si="44"/>
        <v>01</v>
      </c>
    </row>
    <row r="2883" spans="1:1" x14ac:dyDescent="0.4">
      <c r="A2883" s="14" t="str">
        <f t="shared" ref="A2883:A2946" si="45">TEXT(L2883,"MM")</f>
        <v>01</v>
      </c>
    </row>
    <row r="2884" spans="1:1" x14ac:dyDescent="0.4">
      <c r="A2884" s="14" t="str">
        <f t="shared" si="45"/>
        <v>01</v>
      </c>
    </row>
    <row r="2885" spans="1:1" x14ac:dyDescent="0.4">
      <c r="A2885" s="14" t="str">
        <f t="shared" si="45"/>
        <v>01</v>
      </c>
    </row>
    <row r="2886" spans="1:1" x14ac:dyDescent="0.4">
      <c r="A2886" s="14" t="str">
        <f t="shared" si="45"/>
        <v>01</v>
      </c>
    </row>
    <row r="2887" spans="1:1" x14ac:dyDescent="0.4">
      <c r="A2887" s="14" t="str">
        <f t="shared" si="45"/>
        <v>01</v>
      </c>
    </row>
    <row r="2888" spans="1:1" x14ac:dyDescent="0.4">
      <c r="A2888" s="14" t="str">
        <f t="shared" si="45"/>
        <v>01</v>
      </c>
    </row>
    <row r="2889" spans="1:1" x14ac:dyDescent="0.4">
      <c r="A2889" s="14" t="str">
        <f t="shared" si="45"/>
        <v>01</v>
      </c>
    </row>
    <row r="2890" spans="1:1" x14ac:dyDescent="0.4">
      <c r="A2890" s="14" t="str">
        <f t="shared" si="45"/>
        <v>01</v>
      </c>
    </row>
    <row r="2891" spans="1:1" x14ac:dyDescent="0.4">
      <c r="A2891" s="14" t="str">
        <f t="shared" si="45"/>
        <v>01</v>
      </c>
    </row>
    <row r="2892" spans="1:1" x14ac:dyDescent="0.4">
      <c r="A2892" s="14" t="str">
        <f t="shared" si="45"/>
        <v>01</v>
      </c>
    </row>
    <row r="2893" spans="1:1" x14ac:dyDescent="0.4">
      <c r="A2893" s="14" t="str">
        <f t="shared" si="45"/>
        <v>01</v>
      </c>
    </row>
    <row r="2894" spans="1:1" x14ac:dyDescent="0.4">
      <c r="A2894" s="14" t="str">
        <f t="shared" si="45"/>
        <v>01</v>
      </c>
    </row>
    <row r="2895" spans="1:1" x14ac:dyDescent="0.4">
      <c r="A2895" s="14" t="str">
        <f t="shared" si="45"/>
        <v>01</v>
      </c>
    </row>
    <row r="2896" spans="1:1" x14ac:dyDescent="0.4">
      <c r="A2896" s="14" t="str">
        <f t="shared" si="45"/>
        <v>01</v>
      </c>
    </row>
    <row r="2897" spans="1:1" x14ac:dyDescent="0.4">
      <c r="A2897" s="14" t="str">
        <f t="shared" si="45"/>
        <v>01</v>
      </c>
    </row>
    <row r="2898" spans="1:1" x14ac:dyDescent="0.4">
      <c r="A2898" s="14" t="str">
        <f t="shared" si="45"/>
        <v>01</v>
      </c>
    </row>
    <row r="2899" spans="1:1" x14ac:dyDescent="0.4">
      <c r="A2899" s="14" t="str">
        <f t="shared" si="45"/>
        <v>01</v>
      </c>
    </row>
    <row r="2900" spans="1:1" x14ac:dyDescent="0.4">
      <c r="A2900" s="14" t="str">
        <f t="shared" si="45"/>
        <v>01</v>
      </c>
    </row>
    <row r="2901" spans="1:1" x14ac:dyDescent="0.4">
      <c r="A2901" s="14" t="str">
        <f t="shared" si="45"/>
        <v>01</v>
      </c>
    </row>
    <row r="2902" spans="1:1" x14ac:dyDescent="0.4">
      <c r="A2902" s="14" t="str">
        <f t="shared" si="45"/>
        <v>01</v>
      </c>
    </row>
    <row r="2903" spans="1:1" x14ac:dyDescent="0.4">
      <c r="A2903" s="14" t="str">
        <f t="shared" si="45"/>
        <v>01</v>
      </c>
    </row>
    <row r="2904" spans="1:1" x14ac:dyDescent="0.4">
      <c r="A2904" s="14" t="str">
        <f t="shared" si="45"/>
        <v>01</v>
      </c>
    </row>
    <row r="2905" spans="1:1" x14ac:dyDescent="0.4">
      <c r="A2905" s="14" t="str">
        <f t="shared" si="45"/>
        <v>01</v>
      </c>
    </row>
    <row r="2906" spans="1:1" x14ac:dyDescent="0.4">
      <c r="A2906" s="14" t="str">
        <f t="shared" si="45"/>
        <v>01</v>
      </c>
    </row>
    <row r="2907" spans="1:1" x14ac:dyDescent="0.4">
      <c r="A2907" s="14" t="str">
        <f t="shared" si="45"/>
        <v>01</v>
      </c>
    </row>
    <row r="2908" spans="1:1" x14ac:dyDescent="0.4">
      <c r="A2908" s="14" t="str">
        <f t="shared" si="45"/>
        <v>01</v>
      </c>
    </row>
    <row r="2909" spans="1:1" x14ac:dyDescent="0.4">
      <c r="A2909" s="14" t="str">
        <f t="shared" si="45"/>
        <v>01</v>
      </c>
    </row>
    <row r="2910" spans="1:1" x14ac:dyDescent="0.4">
      <c r="A2910" s="14" t="str">
        <f t="shared" si="45"/>
        <v>01</v>
      </c>
    </row>
    <row r="2911" spans="1:1" x14ac:dyDescent="0.4">
      <c r="A2911" s="14" t="str">
        <f t="shared" si="45"/>
        <v>01</v>
      </c>
    </row>
    <row r="2912" spans="1:1" x14ac:dyDescent="0.4">
      <c r="A2912" s="14" t="str">
        <f t="shared" si="45"/>
        <v>01</v>
      </c>
    </row>
    <row r="2913" spans="1:1" x14ac:dyDescent="0.4">
      <c r="A2913" s="14" t="str">
        <f t="shared" si="45"/>
        <v>01</v>
      </c>
    </row>
    <row r="2914" spans="1:1" x14ac:dyDescent="0.4">
      <c r="A2914" s="14" t="str">
        <f t="shared" si="45"/>
        <v>01</v>
      </c>
    </row>
    <row r="2915" spans="1:1" x14ac:dyDescent="0.4">
      <c r="A2915" s="14" t="str">
        <f t="shared" si="45"/>
        <v>01</v>
      </c>
    </row>
    <row r="2916" spans="1:1" x14ac:dyDescent="0.4">
      <c r="A2916" s="14" t="str">
        <f t="shared" si="45"/>
        <v>01</v>
      </c>
    </row>
    <row r="2917" spans="1:1" x14ac:dyDescent="0.4">
      <c r="A2917" s="14" t="str">
        <f t="shared" si="45"/>
        <v>01</v>
      </c>
    </row>
    <row r="2918" spans="1:1" x14ac:dyDescent="0.4">
      <c r="A2918" s="14" t="str">
        <f t="shared" si="45"/>
        <v>01</v>
      </c>
    </row>
    <row r="2919" spans="1:1" x14ac:dyDescent="0.4">
      <c r="A2919" s="14" t="str">
        <f t="shared" si="45"/>
        <v>01</v>
      </c>
    </row>
    <row r="2920" spans="1:1" x14ac:dyDescent="0.4">
      <c r="A2920" s="14" t="str">
        <f t="shared" si="45"/>
        <v>01</v>
      </c>
    </row>
    <row r="2921" spans="1:1" x14ac:dyDescent="0.4">
      <c r="A2921" s="14" t="str">
        <f t="shared" si="45"/>
        <v>01</v>
      </c>
    </row>
    <row r="2922" spans="1:1" x14ac:dyDescent="0.4">
      <c r="A2922" s="14" t="str">
        <f t="shared" si="45"/>
        <v>01</v>
      </c>
    </row>
    <row r="2923" spans="1:1" x14ac:dyDescent="0.4">
      <c r="A2923" s="14" t="str">
        <f t="shared" si="45"/>
        <v>01</v>
      </c>
    </row>
    <row r="2924" spans="1:1" x14ac:dyDescent="0.4">
      <c r="A2924" s="14" t="str">
        <f t="shared" si="45"/>
        <v>01</v>
      </c>
    </row>
    <row r="2925" spans="1:1" x14ac:dyDescent="0.4">
      <c r="A2925" s="14" t="str">
        <f t="shared" si="45"/>
        <v>01</v>
      </c>
    </row>
    <row r="2926" spans="1:1" x14ac:dyDescent="0.4">
      <c r="A2926" s="14" t="str">
        <f t="shared" si="45"/>
        <v>01</v>
      </c>
    </row>
    <row r="2927" spans="1:1" x14ac:dyDescent="0.4">
      <c r="A2927" s="14" t="str">
        <f t="shared" si="45"/>
        <v>01</v>
      </c>
    </row>
    <row r="2928" spans="1:1" x14ac:dyDescent="0.4">
      <c r="A2928" s="14" t="str">
        <f t="shared" si="45"/>
        <v>01</v>
      </c>
    </row>
    <row r="2929" spans="1:1" x14ac:dyDescent="0.4">
      <c r="A2929" s="14" t="str">
        <f t="shared" si="45"/>
        <v>01</v>
      </c>
    </row>
    <row r="2930" spans="1:1" x14ac:dyDescent="0.4">
      <c r="A2930" s="14" t="str">
        <f t="shared" si="45"/>
        <v>01</v>
      </c>
    </row>
    <row r="2931" spans="1:1" x14ac:dyDescent="0.4">
      <c r="A2931" s="14" t="str">
        <f t="shared" si="45"/>
        <v>01</v>
      </c>
    </row>
    <row r="2932" spans="1:1" x14ac:dyDescent="0.4">
      <c r="A2932" s="14" t="str">
        <f t="shared" si="45"/>
        <v>01</v>
      </c>
    </row>
    <row r="2933" spans="1:1" x14ac:dyDescent="0.4">
      <c r="A2933" s="14" t="str">
        <f t="shared" si="45"/>
        <v>01</v>
      </c>
    </row>
    <row r="2934" spans="1:1" x14ac:dyDescent="0.4">
      <c r="A2934" s="14" t="str">
        <f t="shared" si="45"/>
        <v>01</v>
      </c>
    </row>
    <row r="2935" spans="1:1" x14ac:dyDescent="0.4">
      <c r="A2935" s="14" t="str">
        <f t="shared" si="45"/>
        <v>01</v>
      </c>
    </row>
    <row r="2936" spans="1:1" x14ac:dyDescent="0.4">
      <c r="A2936" s="14" t="str">
        <f t="shared" si="45"/>
        <v>01</v>
      </c>
    </row>
    <row r="2937" spans="1:1" x14ac:dyDescent="0.4">
      <c r="A2937" s="14" t="str">
        <f t="shared" si="45"/>
        <v>01</v>
      </c>
    </row>
    <row r="2938" spans="1:1" x14ac:dyDescent="0.4">
      <c r="A2938" s="14" t="str">
        <f t="shared" si="45"/>
        <v>01</v>
      </c>
    </row>
    <row r="2939" spans="1:1" x14ac:dyDescent="0.4">
      <c r="A2939" s="14" t="str">
        <f t="shared" si="45"/>
        <v>01</v>
      </c>
    </row>
    <row r="2940" spans="1:1" x14ac:dyDescent="0.4">
      <c r="A2940" s="14" t="str">
        <f t="shared" si="45"/>
        <v>01</v>
      </c>
    </row>
    <row r="2941" spans="1:1" x14ac:dyDescent="0.4">
      <c r="A2941" s="14" t="str">
        <f t="shared" si="45"/>
        <v>01</v>
      </c>
    </row>
    <row r="2942" spans="1:1" x14ac:dyDescent="0.4">
      <c r="A2942" s="14" t="str">
        <f t="shared" si="45"/>
        <v>01</v>
      </c>
    </row>
    <row r="2943" spans="1:1" x14ac:dyDescent="0.4">
      <c r="A2943" s="14" t="str">
        <f t="shared" si="45"/>
        <v>01</v>
      </c>
    </row>
    <row r="2944" spans="1:1" x14ac:dyDescent="0.4">
      <c r="A2944" s="14" t="str">
        <f t="shared" si="45"/>
        <v>01</v>
      </c>
    </row>
    <row r="2945" spans="1:1" x14ac:dyDescent="0.4">
      <c r="A2945" s="14" t="str">
        <f t="shared" si="45"/>
        <v>01</v>
      </c>
    </row>
    <row r="2946" spans="1:1" x14ac:dyDescent="0.4">
      <c r="A2946" s="14" t="str">
        <f t="shared" si="45"/>
        <v>01</v>
      </c>
    </row>
    <row r="2947" spans="1:1" x14ac:dyDescent="0.4">
      <c r="A2947" s="14" t="str">
        <f t="shared" ref="A2947:A3010" si="46">TEXT(L2947,"MM")</f>
        <v>01</v>
      </c>
    </row>
    <row r="2948" spans="1:1" x14ac:dyDescent="0.4">
      <c r="A2948" s="14" t="str">
        <f t="shared" si="46"/>
        <v>01</v>
      </c>
    </row>
    <row r="2949" spans="1:1" x14ac:dyDescent="0.4">
      <c r="A2949" s="14" t="str">
        <f t="shared" si="46"/>
        <v>01</v>
      </c>
    </row>
    <row r="2950" spans="1:1" x14ac:dyDescent="0.4">
      <c r="A2950" s="14" t="str">
        <f t="shared" si="46"/>
        <v>01</v>
      </c>
    </row>
    <row r="2951" spans="1:1" x14ac:dyDescent="0.4">
      <c r="A2951" s="14" t="str">
        <f t="shared" si="46"/>
        <v>01</v>
      </c>
    </row>
    <row r="2952" spans="1:1" x14ac:dyDescent="0.4">
      <c r="A2952" s="14" t="str">
        <f t="shared" si="46"/>
        <v>01</v>
      </c>
    </row>
    <row r="2953" spans="1:1" x14ac:dyDescent="0.4">
      <c r="A2953" s="14" t="str">
        <f t="shared" si="46"/>
        <v>01</v>
      </c>
    </row>
    <row r="2954" spans="1:1" x14ac:dyDescent="0.4">
      <c r="A2954" s="14" t="str">
        <f t="shared" si="46"/>
        <v>01</v>
      </c>
    </row>
    <row r="2955" spans="1:1" x14ac:dyDescent="0.4">
      <c r="A2955" s="14" t="str">
        <f t="shared" si="46"/>
        <v>01</v>
      </c>
    </row>
    <row r="2956" spans="1:1" x14ac:dyDescent="0.4">
      <c r="A2956" s="14" t="str">
        <f t="shared" si="46"/>
        <v>01</v>
      </c>
    </row>
    <row r="2957" spans="1:1" x14ac:dyDescent="0.4">
      <c r="A2957" s="14" t="str">
        <f t="shared" si="46"/>
        <v>01</v>
      </c>
    </row>
    <row r="2958" spans="1:1" x14ac:dyDescent="0.4">
      <c r="A2958" s="14" t="str">
        <f t="shared" si="46"/>
        <v>01</v>
      </c>
    </row>
    <row r="2959" spans="1:1" x14ac:dyDescent="0.4">
      <c r="A2959" s="14" t="str">
        <f t="shared" si="46"/>
        <v>01</v>
      </c>
    </row>
    <row r="2960" spans="1:1" x14ac:dyDescent="0.4">
      <c r="A2960" s="14" t="str">
        <f t="shared" si="46"/>
        <v>01</v>
      </c>
    </row>
    <row r="2961" spans="1:1" x14ac:dyDescent="0.4">
      <c r="A2961" s="14" t="str">
        <f t="shared" si="46"/>
        <v>01</v>
      </c>
    </row>
    <row r="2962" spans="1:1" x14ac:dyDescent="0.4">
      <c r="A2962" s="14" t="str">
        <f t="shared" si="46"/>
        <v>01</v>
      </c>
    </row>
    <row r="2963" spans="1:1" x14ac:dyDescent="0.4">
      <c r="A2963" s="14" t="str">
        <f t="shared" si="46"/>
        <v>01</v>
      </c>
    </row>
    <row r="2964" spans="1:1" x14ac:dyDescent="0.4">
      <c r="A2964" s="14" t="str">
        <f t="shared" si="46"/>
        <v>01</v>
      </c>
    </row>
    <row r="2965" spans="1:1" x14ac:dyDescent="0.4">
      <c r="A2965" s="14" t="str">
        <f t="shared" si="46"/>
        <v>01</v>
      </c>
    </row>
    <row r="2966" spans="1:1" x14ac:dyDescent="0.4">
      <c r="A2966" s="14" t="str">
        <f t="shared" si="46"/>
        <v>01</v>
      </c>
    </row>
    <row r="2967" spans="1:1" x14ac:dyDescent="0.4">
      <c r="A2967" s="14" t="str">
        <f t="shared" si="46"/>
        <v>01</v>
      </c>
    </row>
    <row r="2968" spans="1:1" x14ac:dyDescent="0.4">
      <c r="A2968" s="14" t="str">
        <f t="shared" si="46"/>
        <v>01</v>
      </c>
    </row>
    <row r="2969" spans="1:1" x14ac:dyDescent="0.4">
      <c r="A2969" s="14" t="str">
        <f t="shared" si="46"/>
        <v>01</v>
      </c>
    </row>
    <row r="2970" spans="1:1" x14ac:dyDescent="0.4">
      <c r="A2970" s="14" t="str">
        <f t="shared" si="46"/>
        <v>01</v>
      </c>
    </row>
    <row r="2971" spans="1:1" x14ac:dyDescent="0.4">
      <c r="A2971" s="14" t="str">
        <f t="shared" si="46"/>
        <v>01</v>
      </c>
    </row>
    <row r="2972" spans="1:1" x14ac:dyDescent="0.4">
      <c r="A2972" s="14" t="str">
        <f t="shared" si="46"/>
        <v>01</v>
      </c>
    </row>
    <row r="2973" spans="1:1" x14ac:dyDescent="0.4">
      <c r="A2973" s="14" t="str">
        <f t="shared" si="46"/>
        <v>01</v>
      </c>
    </row>
    <row r="2974" spans="1:1" x14ac:dyDescent="0.4">
      <c r="A2974" s="14" t="str">
        <f t="shared" si="46"/>
        <v>01</v>
      </c>
    </row>
    <row r="2975" spans="1:1" x14ac:dyDescent="0.4">
      <c r="A2975" s="14" t="str">
        <f t="shared" si="46"/>
        <v>01</v>
      </c>
    </row>
    <row r="2976" spans="1:1" x14ac:dyDescent="0.4">
      <c r="A2976" s="14" t="str">
        <f t="shared" si="46"/>
        <v>01</v>
      </c>
    </row>
    <row r="2977" spans="1:1" x14ac:dyDescent="0.4">
      <c r="A2977" s="14" t="str">
        <f t="shared" si="46"/>
        <v>01</v>
      </c>
    </row>
    <row r="2978" spans="1:1" x14ac:dyDescent="0.4">
      <c r="A2978" s="14" t="str">
        <f t="shared" si="46"/>
        <v>01</v>
      </c>
    </row>
    <row r="2979" spans="1:1" x14ac:dyDescent="0.4">
      <c r="A2979" s="14" t="str">
        <f t="shared" si="46"/>
        <v>01</v>
      </c>
    </row>
    <row r="2980" spans="1:1" x14ac:dyDescent="0.4">
      <c r="A2980" s="14" t="str">
        <f t="shared" si="46"/>
        <v>01</v>
      </c>
    </row>
    <row r="2981" spans="1:1" x14ac:dyDescent="0.4">
      <c r="A2981" s="14" t="str">
        <f t="shared" si="46"/>
        <v>01</v>
      </c>
    </row>
    <row r="2982" spans="1:1" x14ac:dyDescent="0.4">
      <c r="A2982" s="14" t="str">
        <f t="shared" si="46"/>
        <v>01</v>
      </c>
    </row>
    <row r="2983" spans="1:1" x14ac:dyDescent="0.4">
      <c r="A2983" s="14" t="str">
        <f t="shared" si="46"/>
        <v>01</v>
      </c>
    </row>
    <row r="2984" spans="1:1" x14ac:dyDescent="0.4">
      <c r="A2984" s="14" t="str">
        <f t="shared" si="46"/>
        <v>01</v>
      </c>
    </row>
    <row r="2985" spans="1:1" x14ac:dyDescent="0.4">
      <c r="A2985" s="14" t="str">
        <f t="shared" si="46"/>
        <v>01</v>
      </c>
    </row>
    <row r="2986" spans="1:1" x14ac:dyDescent="0.4">
      <c r="A2986" s="14" t="str">
        <f t="shared" si="46"/>
        <v>01</v>
      </c>
    </row>
    <row r="2987" spans="1:1" x14ac:dyDescent="0.4">
      <c r="A2987" s="14" t="str">
        <f t="shared" si="46"/>
        <v>01</v>
      </c>
    </row>
    <row r="2988" spans="1:1" x14ac:dyDescent="0.4">
      <c r="A2988" s="14" t="str">
        <f t="shared" si="46"/>
        <v>01</v>
      </c>
    </row>
    <row r="2989" spans="1:1" x14ac:dyDescent="0.4">
      <c r="A2989" s="14" t="str">
        <f t="shared" si="46"/>
        <v>01</v>
      </c>
    </row>
    <row r="2990" spans="1:1" x14ac:dyDescent="0.4">
      <c r="A2990" s="14" t="str">
        <f t="shared" si="46"/>
        <v>01</v>
      </c>
    </row>
    <row r="2991" spans="1:1" x14ac:dyDescent="0.4">
      <c r="A2991" s="14" t="str">
        <f t="shared" si="46"/>
        <v>01</v>
      </c>
    </row>
    <row r="2992" spans="1:1" x14ac:dyDescent="0.4">
      <c r="A2992" s="14" t="str">
        <f t="shared" si="46"/>
        <v>01</v>
      </c>
    </row>
    <row r="2993" spans="1:1" x14ac:dyDescent="0.4">
      <c r="A2993" s="14" t="str">
        <f t="shared" si="46"/>
        <v>01</v>
      </c>
    </row>
    <row r="2994" spans="1:1" x14ac:dyDescent="0.4">
      <c r="A2994" s="14" t="str">
        <f t="shared" si="46"/>
        <v>01</v>
      </c>
    </row>
    <row r="2995" spans="1:1" x14ac:dyDescent="0.4">
      <c r="A2995" s="14" t="str">
        <f t="shared" si="46"/>
        <v>01</v>
      </c>
    </row>
    <row r="2996" spans="1:1" x14ac:dyDescent="0.4">
      <c r="A2996" s="14" t="str">
        <f t="shared" si="46"/>
        <v>01</v>
      </c>
    </row>
    <row r="2997" spans="1:1" x14ac:dyDescent="0.4">
      <c r="A2997" s="14" t="str">
        <f t="shared" si="46"/>
        <v>01</v>
      </c>
    </row>
    <row r="2998" spans="1:1" x14ac:dyDescent="0.4">
      <c r="A2998" s="14" t="str">
        <f t="shared" si="46"/>
        <v>01</v>
      </c>
    </row>
    <row r="2999" spans="1:1" x14ac:dyDescent="0.4">
      <c r="A2999" s="14" t="str">
        <f t="shared" si="46"/>
        <v>01</v>
      </c>
    </row>
    <row r="3000" spans="1:1" x14ac:dyDescent="0.4">
      <c r="A3000" s="14" t="str">
        <f t="shared" si="46"/>
        <v>01</v>
      </c>
    </row>
    <row r="3001" spans="1:1" x14ac:dyDescent="0.4">
      <c r="A3001" s="14" t="str">
        <f t="shared" si="46"/>
        <v>01</v>
      </c>
    </row>
    <row r="3002" spans="1:1" x14ac:dyDescent="0.4">
      <c r="A3002" s="14" t="str">
        <f t="shared" si="46"/>
        <v>01</v>
      </c>
    </row>
    <row r="3003" spans="1:1" x14ac:dyDescent="0.4">
      <c r="A3003" s="14" t="str">
        <f t="shared" si="46"/>
        <v>01</v>
      </c>
    </row>
    <row r="3004" spans="1:1" x14ac:dyDescent="0.4">
      <c r="A3004" s="14" t="str">
        <f t="shared" si="46"/>
        <v>01</v>
      </c>
    </row>
    <row r="3005" spans="1:1" x14ac:dyDescent="0.4">
      <c r="A3005" s="14" t="str">
        <f t="shared" si="46"/>
        <v>01</v>
      </c>
    </row>
    <row r="3006" spans="1:1" x14ac:dyDescent="0.4">
      <c r="A3006" s="14" t="str">
        <f t="shared" si="46"/>
        <v>01</v>
      </c>
    </row>
    <row r="3007" spans="1:1" x14ac:dyDescent="0.4">
      <c r="A3007" s="14" t="str">
        <f t="shared" si="46"/>
        <v>01</v>
      </c>
    </row>
    <row r="3008" spans="1:1" x14ac:dyDescent="0.4">
      <c r="A3008" s="14" t="str">
        <f t="shared" si="46"/>
        <v>01</v>
      </c>
    </row>
    <row r="3009" spans="1:1" x14ac:dyDescent="0.4">
      <c r="A3009" s="14" t="str">
        <f t="shared" si="46"/>
        <v>01</v>
      </c>
    </row>
    <row r="3010" spans="1:1" x14ac:dyDescent="0.4">
      <c r="A3010" s="14" t="str">
        <f t="shared" si="46"/>
        <v>01</v>
      </c>
    </row>
    <row r="3011" spans="1:1" x14ac:dyDescent="0.4">
      <c r="A3011" s="14" t="str">
        <f t="shared" ref="A3011:A3074" si="47">TEXT(L3011,"MM")</f>
        <v>01</v>
      </c>
    </row>
    <row r="3012" spans="1:1" x14ac:dyDescent="0.4">
      <c r="A3012" s="14" t="str">
        <f t="shared" si="47"/>
        <v>01</v>
      </c>
    </row>
    <row r="3013" spans="1:1" x14ac:dyDescent="0.4">
      <c r="A3013" s="14" t="str">
        <f t="shared" si="47"/>
        <v>01</v>
      </c>
    </row>
    <row r="3014" spans="1:1" x14ac:dyDescent="0.4">
      <c r="A3014" s="14" t="str">
        <f t="shared" si="47"/>
        <v>01</v>
      </c>
    </row>
    <row r="3015" spans="1:1" x14ac:dyDescent="0.4">
      <c r="A3015" s="14" t="str">
        <f t="shared" si="47"/>
        <v>01</v>
      </c>
    </row>
    <row r="3016" spans="1:1" x14ac:dyDescent="0.4">
      <c r="A3016" s="14" t="str">
        <f t="shared" si="47"/>
        <v>01</v>
      </c>
    </row>
    <row r="3017" spans="1:1" x14ac:dyDescent="0.4">
      <c r="A3017" s="14" t="str">
        <f t="shared" si="47"/>
        <v>01</v>
      </c>
    </row>
    <row r="3018" spans="1:1" x14ac:dyDescent="0.4">
      <c r="A3018" s="14" t="str">
        <f t="shared" si="47"/>
        <v>01</v>
      </c>
    </row>
    <row r="3019" spans="1:1" x14ac:dyDescent="0.4">
      <c r="A3019" s="14" t="str">
        <f t="shared" si="47"/>
        <v>01</v>
      </c>
    </row>
    <row r="3020" spans="1:1" x14ac:dyDescent="0.4">
      <c r="A3020" s="14" t="str">
        <f t="shared" si="47"/>
        <v>01</v>
      </c>
    </row>
    <row r="3021" spans="1:1" x14ac:dyDescent="0.4">
      <c r="A3021" s="14" t="str">
        <f t="shared" si="47"/>
        <v>01</v>
      </c>
    </row>
    <row r="3022" spans="1:1" x14ac:dyDescent="0.4">
      <c r="A3022" s="14" t="str">
        <f t="shared" si="47"/>
        <v>01</v>
      </c>
    </row>
    <row r="3023" spans="1:1" x14ac:dyDescent="0.4">
      <c r="A3023" s="14" t="str">
        <f t="shared" si="47"/>
        <v>01</v>
      </c>
    </row>
    <row r="3024" spans="1:1" x14ac:dyDescent="0.4">
      <c r="A3024" s="14" t="str">
        <f t="shared" si="47"/>
        <v>01</v>
      </c>
    </row>
    <row r="3025" spans="1:1" x14ac:dyDescent="0.4">
      <c r="A3025" s="14" t="str">
        <f t="shared" si="47"/>
        <v>01</v>
      </c>
    </row>
    <row r="3026" spans="1:1" x14ac:dyDescent="0.4">
      <c r="A3026" s="14" t="str">
        <f t="shared" si="47"/>
        <v>01</v>
      </c>
    </row>
    <row r="3027" spans="1:1" x14ac:dyDescent="0.4">
      <c r="A3027" s="14" t="str">
        <f t="shared" si="47"/>
        <v>01</v>
      </c>
    </row>
    <row r="3028" spans="1:1" x14ac:dyDescent="0.4">
      <c r="A3028" s="14" t="str">
        <f t="shared" si="47"/>
        <v>01</v>
      </c>
    </row>
    <row r="3029" spans="1:1" x14ac:dyDescent="0.4">
      <c r="A3029" s="14" t="str">
        <f t="shared" si="47"/>
        <v>01</v>
      </c>
    </row>
    <row r="3030" spans="1:1" x14ac:dyDescent="0.4">
      <c r="A3030" s="14" t="str">
        <f t="shared" si="47"/>
        <v>01</v>
      </c>
    </row>
    <row r="3031" spans="1:1" x14ac:dyDescent="0.4">
      <c r="A3031" s="14" t="str">
        <f t="shared" si="47"/>
        <v>01</v>
      </c>
    </row>
    <row r="3032" spans="1:1" x14ac:dyDescent="0.4">
      <c r="A3032" s="14" t="str">
        <f t="shared" si="47"/>
        <v>01</v>
      </c>
    </row>
    <row r="3033" spans="1:1" x14ac:dyDescent="0.4">
      <c r="A3033" s="14" t="str">
        <f t="shared" si="47"/>
        <v>01</v>
      </c>
    </row>
    <row r="3034" spans="1:1" x14ac:dyDescent="0.4">
      <c r="A3034" s="14" t="str">
        <f t="shared" si="47"/>
        <v>01</v>
      </c>
    </row>
    <row r="3035" spans="1:1" x14ac:dyDescent="0.4">
      <c r="A3035" s="14" t="str">
        <f t="shared" si="47"/>
        <v>01</v>
      </c>
    </row>
    <row r="3036" spans="1:1" x14ac:dyDescent="0.4">
      <c r="A3036" s="14" t="str">
        <f t="shared" si="47"/>
        <v>01</v>
      </c>
    </row>
    <row r="3037" spans="1:1" x14ac:dyDescent="0.4">
      <c r="A3037" s="14" t="str">
        <f t="shared" si="47"/>
        <v>01</v>
      </c>
    </row>
    <row r="3038" spans="1:1" x14ac:dyDescent="0.4">
      <c r="A3038" s="14" t="str">
        <f t="shared" si="47"/>
        <v>01</v>
      </c>
    </row>
    <row r="3039" spans="1:1" x14ac:dyDescent="0.4">
      <c r="A3039" s="14" t="str">
        <f t="shared" si="47"/>
        <v>01</v>
      </c>
    </row>
    <row r="3040" spans="1:1" x14ac:dyDescent="0.4">
      <c r="A3040" s="14" t="str">
        <f t="shared" si="47"/>
        <v>01</v>
      </c>
    </row>
    <row r="3041" spans="1:1" x14ac:dyDescent="0.4">
      <c r="A3041" s="14" t="str">
        <f t="shared" si="47"/>
        <v>01</v>
      </c>
    </row>
    <row r="3042" spans="1:1" x14ac:dyDescent="0.4">
      <c r="A3042" s="14" t="str">
        <f t="shared" si="47"/>
        <v>01</v>
      </c>
    </row>
    <row r="3043" spans="1:1" x14ac:dyDescent="0.4">
      <c r="A3043" s="14" t="str">
        <f t="shared" si="47"/>
        <v>01</v>
      </c>
    </row>
    <row r="3044" spans="1:1" x14ac:dyDescent="0.4">
      <c r="A3044" s="14" t="str">
        <f t="shared" si="47"/>
        <v>01</v>
      </c>
    </row>
    <row r="3045" spans="1:1" x14ac:dyDescent="0.4">
      <c r="A3045" s="14" t="str">
        <f t="shared" si="47"/>
        <v>01</v>
      </c>
    </row>
    <row r="3046" spans="1:1" x14ac:dyDescent="0.4">
      <c r="A3046" s="14" t="str">
        <f t="shared" si="47"/>
        <v>01</v>
      </c>
    </row>
    <row r="3047" spans="1:1" x14ac:dyDescent="0.4">
      <c r="A3047" s="14" t="str">
        <f t="shared" si="47"/>
        <v>01</v>
      </c>
    </row>
    <row r="3048" spans="1:1" x14ac:dyDescent="0.4">
      <c r="A3048" s="14" t="str">
        <f t="shared" si="47"/>
        <v>01</v>
      </c>
    </row>
    <row r="3049" spans="1:1" x14ac:dyDescent="0.4">
      <c r="A3049" s="14" t="str">
        <f t="shared" si="47"/>
        <v>01</v>
      </c>
    </row>
    <row r="3050" spans="1:1" x14ac:dyDescent="0.4">
      <c r="A3050" s="14" t="str">
        <f t="shared" si="47"/>
        <v>01</v>
      </c>
    </row>
    <row r="3051" spans="1:1" x14ac:dyDescent="0.4">
      <c r="A3051" s="14" t="str">
        <f t="shared" si="47"/>
        <v>01</v>
      </c>
    </row>
    <row r="3052" spans="1:1" x14ac:dyDescent="0.4">
      <c r="A3052" s="14" t="str">
        <f t="shared" si="47"/>
        <v>01</v>
      </c>
    </row>
    <row r="3053" spans="1:1" x14ac:dyDescent="0.4">
      <c r="A3053" s="14" t="str">
        <f t="shared" si="47"/>
        <v>01</v>
      </c>
    </row>
    <row r="3054" spans="1:1" x14ac:dyDescent="0.4">
      <c r="A3054" s="14" t="str">
        <f t="shared" si="47"/>
        <v>01</v>
      </c>
    </row>
    <row r="3055" spans="1:1" x14ac:dyDescent="0.4">
      <c r="A3055" s="14" t="str">
        <f t="shared" si="47"/>
        <v>01</v>
      </c>
    </row>
    <row r="3056" spans="1:1" x14ac:dyDescent="0.4">
      <c r="A3056" s="14" t="str">
        <f t="shared" si="47"/>
        <v>01</v>
      </c>
    </row>
    <row r="3057" spans="1:1" x14ac:dyDescent="0.4">
      <c r="A3057" s="14" t="str">
        <f t="shared" si="47"/>
        <v>01</v>
      </c>
    </row>
    <row r="3058" spans="1:1" x14ac:dyDescent="0.4">
      <c r="A3058" s="14" t="str">
        <f t="shared" si="47"/>
        <v>01</v>
      </c>
    </row>
    <row r="3059" spans="1:1" x14ac:dyDescent="0.4">
      <c r="A3059" s="14" t="str">
        <f t="shared" si="47"/>
        <v>01</v>
      </c>
    </row>
    <row r="3060" spans="1:1" x14ac:dyDescent="0.4">
      <c r="A3060" s="14" t="str">
        <f t="shared" si="47"/>
        <v>01</v>
      </c>
    </row>
    <row r="3061" spans="1:1" x14ac:dyDescent="0.4">
      <c r="A3061" s="14" t="str">
        <f t="shared" si="47"/>
        <v>01</v>
      </c>
    </row>
    <row r="3062" spans="1:1" x14ac:dyDescent="0.4">
      <c r="A3062" s="14" t="str">
        <f t="shared" si="47"/>
        <v>01</v>
      </c>
    </row>
    <row r="3063" spans="1:1" x14ac:dyDescent="0.4">
      <c r="A3063" s="14" t="str">
        <f t="shared" si="47"/>
        <v>01</v>
      </c>
    </row>
    <row r="3064" spans="1:1" x14ac:dyDescent="0.4">
      <c r="A3064" s="14" t="str">
        <f t="shared" si="47"/>
        <v>01</v>
      </c>
    </row>
    <row r="3065" spans="1:1" x14ac:dyDescent="0.4">
      <c r="A3065" s="14" t="str">
        <f t="shared" si="47"/>
        <v>01</v>
      </c>
    </row>
    <row r="3066" spans="1:1" x14ac:dyDescent="0.4">
      <c r="A3066" s="14" t="str">
        <f t="shared" si="47"/>
        <v>01</v>
      </c>
    </row>
    <row r="3067" spans="1:1" x14ac:dyDescent="0.4">
      <c r="A3067" s="14" t="str">
        <f t="shared" si="47"/>
        <v>01</v>
      </c>
    </row>
    <row r="3068" spans="1:1" x14ac:dyDescent="0.4">
      <c r="A3068" s="14" t="str">
        <f t="shared" si="47"/>
        <v>01</v>
      </c>
    </row>
    <row r="3069" spans="1:1" x14ac:dyDescent="0.4">
      <c r="A3069" s="14" t="str">
        <f t="shared" si="47"/>
        <v>01</v>
      </c>
    </row>
    <row r="3070" spans="1:1" x14ac:dyDescent="0.4">
      <c r="A3070" s="14" t="str">
        <f t="shared" si="47"/>
        <v>01</v>
      </c>
    </row>
    <row r="3071" spans="1:1" x14ac:dyDescent="0.4">
      <c r="A3071" s="14" t="str">
        <f t="shared" si="47"/>
        <v>01</v>
      </c>
    </row>
    <row r="3072" spans="1:1" x14ac:dyDescent="0.4">
      <c r="A3072" s="14" t="str">
        <f t="shared" si="47"/>
        <v>01</v>
      </c>
    </row>
    <row r="3073" spans="1:1" x14ac:dyDescent="0.4">
      <c r="A3073" s="14" t="str">
        <f t="shared" si="47"/>
        <v>01</v>
      </c>
    </row>
    <row r="3074" spans="1:1" x14ac:dyDescent="0.4">
      <c r="A3074" s="14" t="str">
        <f t="shared" si="47"/>
        <v>01</v>
      </c>
    </row>
    <row r="3075" spans="1:1" x14ac:dyDescent="0.4">
      <c r="A3075" s="14" t="str">
        <f t="shared" ref="A3075:A3138" si="48">TEXT(L3075,"MM")</f>
        <v>01</v>
      </c>
    </row>
    <row r="3076" spans="1:1" x14ac:dyDescent="0.4">
      <c r="A3076" s="14" t="str">
        <f t="shared" si="48"/>
        <v>01</v>
      </c>
    </row>
    <row r="3077" spans="1:1" x14ac:dyDescent="0.4">
      <c r="A3077" s="14" t="str">
        <f t="shared" si="48"/>
        <v>01</v>
      </c>
    </row>
    <row r="3078" spans="1:1" x14ac:dyDescent="0.4">
      <c r="A3078" s="14" t="str">
        <f t="shared" si="48"/>
        <v>01</v>
      </c>
    </row>
    <row r="3079" spans="1:1" x14ac:dyDescent="0.4">
      <c r="A3079" s="14" t="str">
        <f t="shared" si="48"/>
        <v>01</v>
      </c>
    </row>
    <row r="3080" spans="1:1" x14ac:dyDescent="0.4">
      <c r="A3080" s="14" t="str">
        <f t="shared" si="48"/>
        <v>01</v>
      </c>
    </row>
    <row r="3081" spans="1:1" x14ac:dyDescent="0.4">
      <c r="A3081" s="14" t="str">
        <f t="shared" si="48"/>
        <v>01</v>
      </c>
    </row>
    <row r="3082" spans="1:1" x14ac:dyDescent="0.4">
      <c r="A3082" s="14" t="str">
        <f t="shared" si="48"/>
        <v>01</v>
      </c>
    </row>
    <row r="3083" spans="1:1" x14ac:dyDescent="0.4">
      <c r="A3083" s="14" t="str">
        <f t="shared" si="48"/>
        <v>01</v>
      </c>
    </row>
    <row r="3084" spans="1:1" x14ac:dyDescent="0.4">
      <c r="A3084" s="14" t="str">
        <f t="shared" si="48"/>
        <v>01</v>
      </c>
    </row>
    <row r="3085" spans="1:1" x14ac:dyDescent="0.4">
      <c r="A3085" s="14" t="str">
        <f t="shared" si="48"/>
        <v>01</v>
      </c>
    </row>
    <row r="3086" spans="1:1" x14ac:dyDescent="0.4">
      <c r="A3086" s="14" t="str">
        <f t="shared" si="48"/>
        <v>01</v>
      </c>
    </row>
    <row r="3087" spans="1:1" x14ac:dyDescent="0.4">
      <c r="A3087" s="14" t="str">
        <f t="shared" si="48"/>
        <v>01</v>
      </c>
    </row>
    <row r="3088" spans="1:1" x14ac:dyDescent="0.4">
      <c r="A3088" s="14" t="str">
        <f t="shared" si="48"/>
        <v>01</v>
      </c>
    </row>
    <row r="3089" spans="1:1" x14ac:dyDescent="0.4">
      <c r="A3089" s="14" t="str">
        <f t="shared" si="48"/>
        <v>01</v>
      </c>
    </row>
    <row r="3090" spans="1:1" x14ac:dyDescent="0.4">
      <c r="A3090" s="14" t="str">
        <f t="shared" si="48"/>
        <v>01</v>
      </c>
    </row>
    <row r="3091" spans="1:1" x14ac:dyDescent="0.4">
      <c r="A3091" s="14" t="str">
        <f t="shared" si="48"/>
        <v>01</v>
      </c>
    </row>
    <row r="3092" spans="1:1" x14ac:dyDescent="0.4">
      <c r="A3092" s="14" t="str">
        <f t="shared" si="48"/>
        <v>01</v>
      </c>
    </row>
    <row r="3093" spans="1:1" x14ac:dyDescent="0.4">
      <c r="A3093" s="14" t="str">
        <f t="shared" si="48"/>
        <v>01</v>
      </c>
    </row>
    <row r="3094" spans="1:1" x14ac:dyDescent="0.4">
      <c r="A3094" s="14" t="str">
        <f t="shared" si="48"/>
        <v>01</v>
      </c>
    </row>
    <row r="3095" spans="1:1" x14ac:dyDescent="0.4">
      <c r="A3095" s="14" t="str">
        <f t="shared" si="48"/>
        <v>01</v>
      </c>
    </row>
    <row r="3096" spans="1:1" x14ac:dyDescent="0.4">
      <c r="A3096" s="14" t="str">
        <f t="shared" si="48"/>
        <v>01</v>
      </c>
    </row>
    <row r="3097" spans="1:1" x14ac:dyDescent="0.4">
      <c r="A3097" s="14" t="str">
        <f t="shared" si="48"/>
        <v>01</v>
      </c>
    </row>
    <row r="3098" spans="1:1" x14ac:dyDescent="0.4">
      <c r="A3098" s="14" t="str">
        <f t="shared" si="48"/>
        <v>01</v>
      </c>
    </row>
    <row r="3099" spans="1:1" x14ac:dyDescent="0.4">
      <c r="A3099" s="14" t="str">
        <f t="shared" si="48"/>
        <v>01</v>
      </c>
    </row>
    <row r="3100" spans="1:1" x14ac:dyDescent="0.4">
      <c r="A3100" s="14" t="str">
        <f t="shared" si="48"/>
        <v>01</v>
      </c>
    </row>
    <row r="3101" spans="1:1" x14ac:dyDescent="0.4">
      <c r="A3101" s="14" t="str">
        <f t="shared" si="48"/>
        <v>01</v>
      </c>
    </row>
    <row r="3102" spans="1:1" x14ac:dyDescent="0.4">
      <c r="A3102" s="14" t="str">
        <f t="shared" si="48"/>
        <v>01</v>
      </c>
    </row>
    <row r="3103" spans="1:1" x14ac:dyDescent="0.4">
      <c r="A3103" s="14" t="str">
        <f t="shared" si="48"/>
        <v>01</v>
      </c>
    </row>
    <row r="3104" spans="1:1" x14ac:dyDescent="0.4">
      <c r="A3104" s="14" t="str">
        <f t="shared" si="48"/>
        <v>01</v>
      </c>
    </row>
    <row r="3105" spans="1:1" x14ac:dyDescent="0.4">
      <c r="A3105" s="14" t="str">
        <f t="shared" si="48"/>
        <v>01</v>
      </c>
    </row>
    <row r="3106" spans="1:1" x14ac:dyDescent="0.4">
      <c r="A3106" s="14" t="str">
        <f t="shared" si="48"/>
        <v>01</v>
      </c>
    </row>
    <row r="3107" spans="1:1" x14ac:dyDescent="0.4">
      <c r="A3107" s="14" t="str">
        <f t="shared" si="48"/>
        <v>01</v>
      </c>
    </row>
    <row r="3108" spans="1:1" x14ac:dyDescent="0.4">
      <c r="A3108" s="14" t="str">
        <f t="shared" si="48"/>
        <v>01</v>
      </c>
    </row>
    <row r="3109" spans="1:1" x14ac:dyDescent="0.4">
      <c r="A3109" s="14" t="str">
        <f t="shared" si="48"/>
        <v>01</v>
      </c>
    </row>
    <row r="3110" spans="1:1" x14ac:dyDescent="0.4">
      <c r="A3110" s="14" t="str">
        <f t="shared" si="48"/>
        <v>01</v>
      </c>
    </row>
    <row r="3111" spans="1:1" x14ac:dyDescent="0.4">
      <c r="A3111" s="14" t="str">
        <f t="shared" si="48"/>
        <v>01</v>
      </c>
    </row>
    <row r="3112" spans="1:1" x14ac:dyDescent="0.4">
      <c r="A3112" s="14" t="str">
        <f t="shared" si="48"/>
        <v>01</v>
      </c>
    </row>
    <row r="3113" spans="1:1" x14ac:dyDescent="0.4">
      <c r="A3113" s="14" t="str">
        <f t="shared" si="48"/>
        <v>01</v>
      </c>
    </row>
    <row r="3114" spans="1:1" x14ac:dyDescent="0.4">
      <c r="A3114" s="14" t="str">
        <f t="shared" si="48"/>
        <v>01</v>
      </c>
    </row>
    <row r="3115" spans="1:1" x14ac:dyDescent="0.4">
      <c r="A3115" s="14" t="str">
        <f t="shared" si="48"/>
        <v>01</v>
      </c>
    </row>
    <row r="3116" spans="1:1" x14ac:dyDescent="0.4">
      <c r="A3116" s="14" t="str">
        <f t="shared" si="48"/>
        <v>01</v>
      </c>
    </row>
    <row r="3117" spans="1:1" x14ac:dyDescent="0.4">
      <c r="A3117" s="14" t="str">
        <f t="shared" si="48"/>
        <v>01</v>
      </c>
    </row>
    <row r="3118" spans="1:1" x14ac:dyDescent="0.4">
      <c r="A3118" s="14" t="str">
        <f t="shared" si="48"/>
        <v>01</v>
      </c>
    </row>
    <row r="3119" spans="1:1" x14ac:dyDescent="0.4">
      <c r="A3119" s="14" t="str">
        <f t="shared" si="48"/>
        <v>01</v>
      </c>
    </row>
    <row r="3120" spans="1:1" x14ac:dyDescent="0.4">
      <c r="A3120" s="14" t="str">
        <f t="shared" si="48"/>
        <v>01</v>
      </c>
    </row>
    <row r="3121" spans="1:1" x14ac:dyDescent="0.4">
      <c r="A3121" s="14" t="str">
        <f t="shared" si="48"/>
        <v>01</v>
      </c>
    </row>
    <row r="3122" spans="1:1" x14ac:dyDescent="0.4">
      <c r="A3122" s="14" t="str">
        <f t="shared" si="48"/>
        <v>01</v>
      </c>
    </row>
    <row r="3123" spans="1:1" x14ac:dyDescent="0.4">
      <c r="A3123" s="14" t="str">
        <f t="shared" si="48"/>
        <v>01</v>
      </c>
    </row>
    <row r="3124" spans="1:1" x14ac:dyDescent="0.4">
      <c r="A3124" s="14" t="str">
        <f t="shared" si="48"/>
        <v>01</v>
      </c>
    </row>
    <row r="3125" spans="1:1" x14ac:dyDescent="0.4">
      <c r="A3125" s="14" t="str">
        <f t="shared" si="48"/>
        <v>01</v>
      </c>
    </row>
    <row r="3126" spans="1:1" x14ac:dyDescent="0.4">
      <c r="A3126" s="14" t="str">
        <f t="shared" si="48"/>
        <v>01</v>
      </c>
    </row>
    <row r="3127" spans="1:1" x14ac:dyDescent="0.4">
      <c r="A3127" s="14" t="str">
        <f t="shared" si="48"/>
        <v>01</v>
      </c>
    </row>
    <row r="3128" spans="1:1" x14ac:dyDescent="0.4">
      <c r="A3128" s="14" t="str">
        <f t="shared" si="48"/>
        <v>01</v>
      </c>
    </row>
    <row r="3129" spans="1:1" x14ac:dyDescent="0.4">
      <c r="A3129" s="14" t="str">
        <f t="shared" si="48"/>
        <v>01</v>
      </c>
    </row>
    <row r="3130" spans="1:1" x14ac:dyDescent="0.4">
      <c r="A3130" s="14" t="str">
        <f t="shared" si="48"/>
        <v>01</v>
      </c>
    </row>
    <row r="3131" spans="1:1" x14ac:dyDescent="0.4">
      <c r="A3131" s="14" t="str">
        <f t="shared" si="48"/>
        <v>01</v>
      </c>
    </row>
    <row r="3132" spans="1:1" x14ac:dyDescent="0.4">
      <c r="A3132" s="14" t="str">
        <f t="shared" si="48"/>
        <v>01</v>
      </c>
    </row>
    <row r="3133" spans="1:1" x14ac:dyDescent="0.4">
      <c r="A3133" s="14" t="str">
        <f t="shared" si="48"/>
        <v>01</v>
      </c>
    </row>
    <row r="3134" spans="1:1" x14ac:dyDescent="0.4">
      <c r="A3134" s="14" t="str">
        <f t="shared" si="48"/>
        <v>01</v>
      </c>
    </row>
    <row r="3135" spans="1:1" x14ac:dyDescent="0.4">
      <c r="A3135" s="14" t="str">
        <f t="shared" si="48"/>
        <v>01</v>
      </c>
    </row>
    <row r="3136" spans="1:1" x14ac:dyDescent="0.4">
      <c r="A3136" s="14" t="str">
        <f t="shared" si="48"/>
        <v>01</v>
      </c>
    </row>
    <row r="3137" spans="1:1" x14ac:dyDescent="0.4">
      <c r="A3137" s="14" t="str">
        <f t="shared" si="48"/>
        <v>01</v>
      </c>
    </row>
    <row r="3138" spans="1:1" x14ac:dyDescent="0.4">
      <c r="A3138" s="14" t="str">
        <f t="shared" si="48"/>
        <v>01</v>
      </c>
    </row>
    <row r="3139" spans="1:1" x14ac:dyDescent="0.4">
      <c r="A3139" s="14" t="str">
        <f t="shared" ref="A3139:A3202" si="49">TEXT(L3139,"MM")</f>
        <v>01</v>
      </c>
    </row>
    <row r="3140" spans="1:1" x14ac:dyDescent="0.4">
      <c r="A3140" s="14" t="str">
        <f t="shared" si="49"/>
        <v>01</v>
      </c>
    </row>
    <row r="3141" spans="1:1" x14ac:dyDescent="0.4">
      <c r="A3141" s="14" t="str">
        <f t="shared" si="49"/>
        <v>01</v>
      </c>
    </row>
    <row r="3142" spans="1:1" x14ac:dyDescent="0.4">
      <c r="A3142" s="14" t="str">
        <f t="shared" si="49"/>
        <v>01</v>
      </c>
    </row>
    <row r="3143" spans="1:1" x14ac:dyDescent="0.4">
      <c r="A3143" s="14" t="str">
        <f t="shared" si="49"/>
        <v>01</v>
      </c>
    </row>
    <row r="3144" spans="1:1" x14ac:dyDescent="0.4">
      <c r="A3144" s="14" t="str">
        <f t="shared" si="49"/>
        <v>01</v>
      </c>
    </row>
    <row r="3145" spans="1:1" x14ac:dyDescent="0.4">
      <c r="A3145" s="14" t="str">
        <f t="shared" si="49"/>
        <v>01</v>
      </c>
    </row>
    <row r="3146" spans="1:1" x14ac:dyDescent="0.4">
      <c r="A3146" s="14" t="str">
        <f t="shared" si="49"/>
        <v>01</v>
      </c>
    </row>
    <row r="3147" spans="1:1" x14ac:dyDescent="0.4">
      <c r="A3147" s="14" t="str">
        <f t="shared" si="49"/>
        <v>01</v>
      </c>
    </row>
    <row r="3148" spans="1:1" x14ac:dyDescent="0.4">
      <c r="A3148" s="14" t="str">
        <f t="shared" si="49"/>
        <v>01</v>
      </c>
    </row>
    <row r="3149" spans="1:1" x14ac:dyDescent="0.4">
      <c r="A3149" s="14" t="str">
        <f t="shared" si="49"/>
        <v>01</v>
      </c>
    </row>
    <row r="3150" spans="1:1" x14ac:dyDescent="0.4">
      <c r="A3150" s="14" t="str">
        <f t="shared" si="49"/>
        <v>01</v>
      </c>
    </row>
    <row r="3151" spans="1:1" x14ac:dyDescent="0.4">
      <c r="A3151" s="14" t="str">
        <f t="shared" si="49"/>
        <v>01</v>
      </c>
    </row>
    <row r="3152" spans="1:1" x14ac:dyDescent="0.4">
      <c r="A3152" s="14" t="str">
        <f t="shared" si="49"/>
        <v>01</v>
      </c>
    </row>
    <row r="3153" spans="1:1" x14ac:dyDescent="0.4">
      <c r="A3153" s="14" t="str">
        <f t="shared" si="49"/>
        <v>01</v>
      </c>
    </row>
    <row r="3154" spans="1:1" x14ac:dyDescent="0.4">
      <c r="A3154" s="14" t="str">
        <f t="shared" si="49"/>
        <v>01</v>
      </c>
    </row>
    <row r="3155" spans="1:1" x14ac:dyDescent="0.4">
      <c r="A3155" s="14" t="str">
        <f t="shared" si="49"/>
        <v>01</v>
      </c>
    </row>
    <row r="3156" spans="1:1" x14ac:dyDescent="0.4">
      <c r="A3156" s="14" t="str">
        <f t="shared" si="49"/>
        <v>01</v>
      </c>
    </row>
    <row r="3157" spans="1:1" x14ac:dyDescent="0.4">
      <c r="A3157" s="14" t="str">
        <f t="shared" si="49"/>
        <v>01</v>
      </c>
    </row>
    <row r="3158" spans="1:1" x14ac:dyDescent="0.4">
      <c r="A3158" s="14" t="str">
        <f t="shared" si="49"/>
        <v>01</v>
      </c>
    </row>
    <row r="3159" spans="1:1" x14ac:dyDescent="0.4">
      <c r="A3159" s="14" t="str">
        <f t="shared" si="49"/>
        <v>01</v>
      </c>
    </row>
    <row r="3160" spans="1:1" x14ac:dyDescent="0.4">
      <c r="A3160" s="14" t="str">
        <f t="shared" si="49"/>
        <v>01</v>
      </c>
    </row>
    <row r="3161" spans="1:1" x14ac:dyDescent="0.4">
      <c r="A3161" s="14" t="str">
        <f t="shared" si="49"/>
        <v>01</v>
      </c>
    </row>
    <row r="3162" spans="1:1" x14ac:dyDescent="0.4">
      <c r="A3162" s="14" t="str">
        <f t="shared" si="49"/>
        <v>01</v>
      </c>
    </row>
    <row r="3163" spans="1:1" x14ac:dyDescent="0.4">
      <c r="A3163" s="14" t="str">
        <f t="shared" si="49"/>
        <v>01</v>
      </c>
    </row>
    <row r="3164" spans="1:1" x14ac:dyDescent="0.4">
      <c r="A3164" s="14" t="str">
        <f t="shared" si="49"/>
        <v>01</v>
      </c>
    </row>
    <row r="3165" spans="1:1" x14ac:dyDescent="0.4">
      <c r="A3165" s="14" t="str">
        <f t="shared" si="49"/>
        <v>01</v>
      </c>
    </row>
    <row r="3166" spans="1:1" x14ac:dyDescent="0.4">
      <c r="A3166" s="14" t="str">
        <f t="shared" si="49"/>
        <v>01</v>
      </c>
    </row>
    <row r="3167" spans="1:1" x14ac:dyDescent="0.4">
      <c r="A3167" s="14" t="str">
        <f t="shared" si="49"/>
        <v>01</v>
      </c>
    </row>
    <row r="3168" spans="1:1" x14ac:dyDescent="0.4">
      <c r="A3168" s="14" t="str">
        <f t="shared" si="49"/>
        <v>01</v>
      </c>
    </row>
    <row r="3169" spans="1:1" x14ac:dyDescent="0.4">
      <c r="A3169" s="14" t="str">
        <f t="shared" si="49"/>
        <v>01</v>
      </c>
    </row>
    <row r="3170" spans="1:1" x14ac:dyDescent="0.4">
      <c r="A3170" s="14" t="str">
        <f t="shared" si="49"/>
        <v>01</v>
      </c>
    </row>
    <row r="3171" spans="1:1" x14ac:dyDescent="0.4">
      <c r="A3171" s="14" t="str">
        <f t="shared" si="49"/>
        <v>01</v>
      </c>
    </row>
    <row r="3172" spans="1:1" x14ac:dyDescent="0.4">
      <c r="A3172" s="14" t="str">
        <f t="shared" si="49"/>
        <v>01</v>
      </c>
    </row>
    <row r="3173" spans="1:1" x14ac:dyDescent="0.4">
      <c r="A3173" s="14" t="str">
        <f t="shared" si="49"/>
        <v>01</v>
      </c>
    </row>
    <row r="3174" spans="1:1" x14ac:dyDescent="0.4">
      <c r="A3174" s="14" t="str">
        <f t="shared" si="49"/>
        <v>01</v>
      </c>
    </row>
    <row r="3175" spans="1:1" x14ac:dyDescent="0.4">
      <c r="A3175" s="14" t="str">
        <f t="shared" si="49"/>
        <v>01</v>
      </c>
    </row>
    <row r="3176" spans="1:1" x14ac:dyDescent="0.4">
      <c r="A3176" s="14" t="str">
        <f t="shared" si="49"/>
        <v>01</v>
      </c>
    </row>
    <row r="3177" spans="1:1" x14ac:dyDescent="0.4">
      <c r="A3177" s="14" t="str">
        <f t="shared" si="49"/>
        <v>01</v>
      </c>
    </row>
    <row r="3178" spans="1:1" x14ac:dyDescent="0.4">
      <c r="A3178" s="14" t="str">
        <f t="shared" si="49"/>
        <v>01</v>
      </c>
    </row>
    <row r="3179" spans="1:1" x14ac:dyDescent="0.4">
      <c r="A3179" s="14" t="str">
        <f t="shared" si="49"/>
        <v>01</v>
      </c>
    </row>
    <row r="3180" spans="1:1" x14ac:dyDescent="0.4">
      <c r="A3180" s="14" t="str">
        <f t="shared" si="49"/>
        <v>01</v>
      </c>
    </row>
    <row r="3181" spans="1:1" x14ac:dyDescent="0.4">
      <c r="A3181" s="14" t="str">
        <f t="shared" si="49"/>
        <v>01</v>
      </c>
    </row>
    <row r="3182" spans="1:1" x14ac:dyDescent="0.4">
      <c r="A3182" s="14" t="str">
        <f t="shared" si="49"/>
        <v>01</v>
      </c>
    </row>
    <row r="3183" spans="1:1" x14ac:dyDescent="0.4">
      <c r="A3183" s="14" t="str">
        <f t="shared" si="49"/>
        <v>01</v>
      </c>
    </row>
    <row r="3184" spans="1:1" x14ac:dyDescent="0.4">
      <c r="A3184" s="14" t="str">
        <f t="shared" si="49"/>
        <v>01</v>
      </c>
    </row>
    <row r="3185" spans="1:1" x14ac:dyDescent="0.4">
      <c r="A3185" s="14" t="str">
        <f t="shared" si="49"/>
        <v>01</v>
      </c>
    </row>
    <row r="3186" spans="1:1" x14ac:dyDescent="0.4">
      <c r="A3186" s="14" t="str">
        <f t="shared" si="49"/>
        <v>01</v>
      </c>
    </row>
    <row r="3187" spans="1:1" x14ac:dyDescent="0.4">
      <c r="A3187" s="14" t="str">
        <f t="shared" si="49"/>
        <v>01</v>
      </c>
    </row>
    <row r="3188" spans="1:1" x14ac:dyDescent="0.4">
      <c r="A3188" s="14" t="str">
        <f t="shared" si="49"/>
        <v>01</v>
      </c>
    </row>
    <row r="3189" spans="1:1" x14ac:dyDescent="0.4">
      <c r="A3189" s="14" t="str">
        <f t="shared" si="49"/>
        <v>01</v>
      </c>
    </row>
    <row r="3190" spans="1:1" x14ac:dyDescent="0.4">
      <c r="A3190" s="14" t="str">
        <f t="shared" si="49"/>
        <v>01</v>
      </c>
    </row>
    <row r="3191" spans="1:1" x14ac:dyDescent="0.4">
      <c r="A3191" s="14" t="str">
        <f t="shared" si="49"/>
        <v>01</v>
      </c>
    </row>
    <row r="3192" spans="1:1" x14ac:dyDescent="0.4">
      <c r="A3192" s="14" t="str">
        <f t="shared" si="49"/>
        <v>01</v>
      </c>
    </row>
    <row r="3193" spans="1:1" x14ac:dyDescent="0.4">
      <c r="A3193" s="14" t="str">
        <f t="shared" si="49"/>
        <v>01</v>
      </c>
    </row>
    <row r="3194" spans="1:1" x14ac:dyDescent="0.4">
      <c r="A3194" s="14" t="str">
        <f t="shared" si="49"/>
        <v>01</v>
      </c>
    </row>
    <row r="3195" spans="1:1" x14ac:dyDescent="0.4">
      <c r="A3195" s="14" t="str">
        <f t="shared" si="49"/>
        <v>01</v>
      </c>
    </row>
    <row r="3196" spans="1:1" x14ac:dyDescent="0.4">
      <c r="A3196" s="14" t="str">
        <f t="shared" si="49"/>
        <v>01</v>
      </c>
    </row>
    <row r="3197" spans="1:1" x14ac:dyDescent="0.4">
      <c r="A3197" s="14" t="str">
        <f t="shared" si="49"/>
        <v>01</v>
      </c>
    </row>
    <row r="3198" spans="1:1" x14ac:dyDescent="0.4">
      <c r="A3198" s="14" t="str">
        <f t="shared" si="49"/>
        <v>01</v>
      </c>
    </row>
    <row r="3199" spans="1:1" x14ac:dyDescent="0.4">
      <c r="A3199" s="14" t="str">
        <f t="shared" si="49"/>
        <v>01</v>
      </c>
    </row>
    <row r="3200" spans="1:1" x14ac:dyDescent="0.4">
      <c r="A3200" s="14" t="str">
        <f t="shared" si="49"/>
        <v>01</v>
      </c>
    </row>
    <row r="3201" spans="1:1" x14ac:dyDescent="0.4">
      <c r="A3201" s="14" t="str">
        <f t="shared" si="49"/>
        <v>01</v>
      </c>
    </row>
    <row r="3202" spans="1:1" x14ac:dyDescent="0.4">
      <c r="A3202" s="14" t="str">
        <f t="shared" si="49"/>
        <v>01</v>
      </c>
    </row>
    <row r="3203" spans="1:1" x14ac:dyDescent="0.4">
      <c r="A3203" s="14" t="str">
        <f t="shared" ref="A3203:A3266" si="50">TEXT(L3203,"MM")</f>
        <v>01</v>
      </c>
    </row>
    <row r="3204" spans="1:1" x14ac:dyDescent="0.4">
      <c r="A3204" s="14" t="str">
        <f t="shared" si="50"/>
        <v>01</v>
      </c>
    </row>
    <row r="3205" spans="1:1" x14ac:dyDescent="0.4">
      <c r="A3205" s="14" t="str">
        <f t="shared" si="50"/>
        <v>01</v>
      </c>
    </row>
    <row r="3206" spans="1:1" x14ac:dyDescent="0.4">
      <c r="A3206" s="14" t="str">
        <f t="shared" si="50"/>
        <v>01</v>
      </c>
    </row>
    <row r="3207" spans="1:1" x14ac:dyDescent="0.4">
      <c r="A3207" s="14" t="str">
        <f t="shared" si="50"/>
        <v>01</v>
      </c>
    </row>
    <row r="3208" spans="1:1" x14ac:dyDescent="0.4">
      <c r="A3208" s="14" t="str">
        <f t="shared" si="50"/>
        <v>01</v>
      </c>
    </row>
    <row r="3209" spans="1:1" x14ac:dyDescent="0.4">
      <c r="A3209" s="14" t="str">
        <f t="shared" si="50"/>
        <v>01</v>
      </c>
    </row>
    <row r="3210" spans="1:1" x14ac:dyDescent="0.4">
      <c r="A3210" s="14" t="str">
        <f t="shared" si="50"/>
        <v>01</v>
      </c>
    </row>
    <row r="3211" spans="1:1" x14ac:dyDescent="0.4">
      <c r="A3211" s="14" t="str">
        <f t="shared" si="50"/>
        <v>01</v>
      </c>
    </row>
    <row r="3212" spans="1:1" x14ac:dyDescent="0.4">
      <c r="A3212" s="14" t="str">
        <f t="shared" si="50"/>
        <v>01</v>
      </c>
    </row>
    <row r="3213" spans="1:1" x14ac:dyDescent="0.4">
      <c r="A3213" s="14" t="str">
        <f t="shared" si="50"/>
        <v>01</v>
      </c>
    </row>
    <row r="3214" spans="1:1" x14ac:dyDescent="0.4">
      <c r="A3214" s="14" t="str">
        <f t="shared" si="50"/>
        <v>01</v>
      </c>
    </row>
    <row r="3215" spans="1:1" x14ac:dyDescent="0.4">
      <c r="A3215" s="14" t="str">
        <f t="shared" si="50"/>
        <v>01</v>
      </c>
    </row>
    <row r="3216" spans="1:1" x14ac:dyDescent="0.4">
      <c r="A3216" s="14" t="str">
        <f t="shared" si="50"/>
        <v>01</v>
      </c>
    </row>
    <row r="3217" spans="1:25" x14ac:dyDescent="0.4">
      <c r="A3217" s="14" t="str">
        <f t="shared" si="50"/>
        <v>01</v>
      </c>
    </row>
    <row r="3218" spans="1:25" x14ac:dyDescent="0.4">
      <c r="A3218" s="14" t="str">
        <f t="shared" si="50"/>
        <v>01</v>
      </c>
      <c r="R3218"/>
      <c r="S3218"/>
      <c r="T3218"/>
      <c r="V3218"/>
      <c r="W3218"/>
      <c r="X3218"/>
      <c r="Y3218"/>
    </row>
    <row r="3219" spans="1:25" x14ac:dyDescent="0.4">
      <c r="A3219" s="14" t="str">
        <f t="shared" si="50"/>
        <v>01</v>
      </c>
      <c r="R3219"/>
      <c r="S3219"/>
      <c r="T3219"/>
      <c r="V3219"/>
      <c r="W3219"/>
      <c r="X3219"/>
      <c r="Y3219"/>
    </row>
    <row r="3220" spans="1:25" x14ac:dyDescent="0.4">
      <c r="A3220" s="14" t="str">
        <f t="shared" si="50"/>
        <v>01</v>
      </c>
      <c r="R3220"/>
      <c r="S3220"/>
      <c r="T3220"/>
      <c r="V3220"/>
      <c r="W3220"/>
      <c r="X3220"/>
      <c r="Y3220"/>
    </row>
    <row r="3221" spans="1:25" x14ac:dyDescent="0.4">
      <c r="A3221" s="14" t="str">
        <f t="shared" si="50"/>
        <v>01</v>
      </c>
      <c r="R3221"/>
      <c r="S3221"/>
      <c r="T3221"/>
      <c r="V3221"/>
      <c r="W3221"/>
      <c r="X3221"/>
      <c r="Y3221"/>
    </row>
    <row r="3222" spans="1:25" x14ac:dyDescent="0.4">
      <c r="A3222" s="14" t="str">
        <f t="shared" si="50"/>
        <v>01</v>
      </c>
      <c r="R3222"/>
      <c r="S3222"/>
      <c r="T3222"/>
      <c r="V3222"/>
      <c r="W3222"/>
      <c r="X3222"/>
      <c r="Y3222"/>
    </row>
    <row r="3223" spans="1:25" x14ac:dyDescent="0.4">
      <c r="A3223" s="14" t="str">
        <f t="shared" si="50"/>
        <v>01</v>
      </c>
      <c r="R3223"/>
      <c r="S3223"/>
      <c r="T3223"/>
      <c r="V3223"/>
      <c r="W3223"/>
      <c r="X3223"/>
      <c r="Y3223"/>
    </row>
    <row r="3224" spans="1:25" x14ac:dyDescent="0.4">
      <c r="A3224" s="14" t="str">
        <f t="shared" si="50"/>
        <v>01</v>
      </c>
      <c r="R3224"/>
      <c r="S3224"/>
      <c r="T3224"/>
      <c r="V3224"/>
      <c r="W3224"/>
      <c r="X3224"/>
      <c r="Y3224"/>
    </row>
    <row r="3225" spans="1:25" x14ac:dyDescent="0.4">
      <c r="A3225" s="14" t="str">
        <f t="shared" si="50"/>
        <v>01</v>
      </c>
      <c r="R3225"/>
      <c r="S3225"/>
      <c r="T3225"/>
      <c r="V3225"/>
      <c r="W3225"/>
      <c r="X3225"/>
      <c r="Y3225"/>
    </row>
    <row r="3226" spans="1:25" x14ac:dyDescent="0.4">
      <c r="A3226" s="14" t="str">
        <f t="shared" si="50"/>
        <v>01</v>
      </c>
      <c r="R3226"/>
      <c r="S3226"/>
      <c r="T3226"/>
      <c r="V3226"/>
      <c r="W3226"/>
      <c r="X3226"/>
      <c r="Y3226"/>
    </row>
    <row r="3227" spans="1:25" x14ac:dyDescent="0.4">
      <c r="A3227" s="14" t="str">
        <f t="shared" si="50"/>
        <v>01</v>
      </c>
      <c r="R3227"/>
      <c r="S3227"/>
      <c r="T3227"/>
      <c r="V3227"/>
      <c r="W3227"/>
      <c r="X3227"/>
      <c r="Y3227"/>
    </row>
    <row r="3228" spans="1:25" x14ac:dyDescent="0.4">
      <c r="A3228" s="14" t="str">
        <f t="shared" si="50"/>
        <v>01</v>
      </c>
      <c r="R3228"/>
      <c r="S3228"/>
      <c r="T3228"/>
      <c r="V3228"/>
      <c r="W3228"/>
      <c r="X3228"/>
      <c r="Y3228"/>
    </row>
    <row r="3229" spans="1:25" x14ac:dyDescent="0.4">
      <c r="A3229" s="14" t="str">
        <f t="shared" si="50"/>
        <v>01</v>
      </c>
      <c r="R3229"/>
      <c r="S3229"/>
      <c r="T3229"/>
      <c r="V3229"/>
      <c r="W3229"/>
      <c r="X3229"/>
      <c r="Y3229"/>
    </row>
    <row r="3230" spans="1:25" x14ac:dyDescent="0.4">
      <c r="A3230" s="14" t="str">
        <f t="shared" si="50"/>
        <v>01</v>
      </c>
      <c r="R3230"/>
      <c r="S3230"/>
      <c r="T3230"/>
      <c r="V3230"/>
      <c r="W3230"/>
      <c r="X3230"/>
      <c r="Y3230"/>
    </row>
    <row r="3231" spans="1:25" x14ac:dyDescent="0.4">
      <c r="A3231" s="14" t="str">
        <f t="shared" si="50"/>
        <v>01</v>
      </c>
      <c r="R3231"/>
      <c r="S3231"/>
      <c r="T3231"/>
      <c r="V3231"/>
      <c r="W3231"/>
      <c r="X3231"/>
      <c r="Y3231"/>
    </row>
    <row r="3232" spans="1:25" x14ac:dyDescent="0.4">
      <c r="A3232" s="14" t="str">
        <f t="shared" si="50"/>
        <v>01</v>
      </c>
      <c r="R3232"/>
      <c r="S3232"/>
      <c r="T3232"/>
      <c r="V3232"/>
      <c r="W3232"/>
      <c r="X3232"/>
      <c r="Y3232"/>
    </row>
    <row r="3233" spans="1:25" x14ac:dyDescent="0.4">
      <c r="A3233" s="14" t="str">
        <f t="shared" si="50"/>
        <v>01</v>
      </c>
      <c r="R3233"/>
      <c r="S3233"/>
      <c r="T3233"/>
      <c r="V3233"/>
      <c r="W3233"/>
      <c r="X3233"/>
      <c r="Y3233"/>
    </row>
    <row r="3234" spans="1:25" x14ac:dyDescent="0.4">
      <c r="A3234" s="14" t="str">
        <f t="shared" si="50"/>
        <v>01</v>
      </c>
      <c r="R3234"/>
      <c r="S3234"/>
      <c r="T3234"/>
      <c r="V3234"/>
      <c r="W3234"/>
      <c r="X3234"/>
      <c r="Y3234"/>
    </row>
    <row r="3235" spans="1:25" x14ac:dyDescent="0.4">
      <c r="A3235" s="14" t="str">
        <f t="shared" si="50"/>
        <v>01</v>
      </c>
      <c r="R3235"/>
      <c r="S3235"/>
      <c r="T3235"/>
      <c r="V3235"/>
      <c r="W3235"/>
      <c r="X3235"/>
      <c r="Y3235"/>
    </row>
    <row r="3236" spans="1:25" x14ac:dyDescent="0.4">
      <c r="A3236" s="14" t="str">
        <f t="shared" si="50"/>
        <v>01</v>
      </c>
      <c r="R3236"/>
      <c r="S3236"/>
      <c r="T3236"/>
      <c r="V3236"/>
      <c r="W3236"/>
      <c r="X3236"/>
      <c r="Y3236"/>
    </row>
    <row r="3237" spans="1:25" x14ac:dyDescent="0.4">
      <c r="A3237" s="14" t="str">
        <f t="shared" si="50"/>
        <v>01</v>
      </c>
      <c r="R3237"/>
      <c r="S3237"/>
      <c r="T3237"/>
      <c r="V3237"/>
      <c r="W3237"/>
      <c r="X3237"/>
      <c r="Y3237"/>
    </row>
    <row r="3238" spans="1:25" x14ac:dyDescent="0.4">
      <c r="A3238" s="14" t="str">
        <f t="shared" si="50"/>
        <v>01</v>
      </c>
      <c r="R3238"/>
      <c r="S3238"/>
      <c r="T3238"/>
      <c r="V3238"/>
      <c r="W3238"/>
      <c r="X3238"/>
      <c r="Y3238"/>
    </row>
    <row r="3239" spans="1:25" x14ac:dyDescent="0.4">
      <c r="A3239" s="14" t="str">
        <f t="shared" si="50"/>
        <v>01</v>
      </c>
      <c r="R3239"/>
      <c r="S3239"/>
      <c r="T3239"/>
      <c r="V3239"/>
      <c r="W3239"/>
      <c r="X3239"/>
      <c r="Y3239"/>
    </row>
    <row r="3240" spans="1:25" x14ac:dyDescent="0.4">
      <c r="A3240" s="14" t="str">
        <f t="shared" si="50"/>
        <v>01</v>
      </c>
      <c r="R3240"/>
      <c r="S3240"/>
      <c r="T3240"/>
      <c r="V3240"/>
      <c r="W3240"/>
      <c r="X3240"/>
      <c r="Y3240"/>
    </row>
    <row r="3241" spans="1:25" x14ac:dyDescent="0.4">
      <c r="A3241" s="14" t="str">
        <f t="shared" si="50"/>
        <v>01</v>
      </c>
      <c r="R3241"/>
      <c r="S3241"/>
      <c r="T3241"/>
      <c r="V3241"/>
      <c r="W3241"/>
      <c r="X3241"/>
      <c r="Y3241"/>
    </row>
    <row r="3242" spans="1:25" x14ac:dyDescent="0.4">
      <c r="A3242" s="14" t="str">
        <f t="shared" si="50"/>
        <v>01</v>
      </c>
      <c r="R3242"/>
      <c r="S3242"/>
      <c r="T3242"/>
      <c r="V3242"/>
      <c r="W3242"/>
      <c r="X3242"/>
      <c r="Y3242"/>
    </row>
    <row r="3243" spans="1:25" x14ac:dyDescent="0.4">
      <c r="A3243" s="14" t="str">
        <f t="shared" si="50"/>
        <v>01</v>
      </c>
      <c r="R3243"/>
      <c r="S3243"/>
      <c r="T3243"/>
      <c r="V3243"/>
      <c r="W3243"/>
      <c r="X3243"/>
      <c r="Y3243"/>
    </row>
    <row r="3244" spans="1:25" x14ac:dyDescent="0.4">
      <c r="A3244" s="14" t="str">
        <f t="shared" si="50"/>
        <v>01</v>
      </c>
      <c r="R3244"/>
      <c r="S3244"/>
      <c r="T3244"/>
      <c r="V3244"/>
      <c r="W3244"/>
      <c r="X3244"/>
      <c r="Y3244"/>
    </row>
    <row r="3245" spans="1:25" x14ac:dyDescent="0.4">
      <c r="A3245" s="14" t="str">
        <f t="shared" si="50"/>
        <v>01</v>
      </c>
      <c r="R3245"/>
      <c r="S3245"/>
      <c r="T3245"/>
      <c r="V3245"/>
      <c r="W3245"/>
      <c r="X3245"/>
      <c r="Y3245"/>
    </row>
    <row r="3246" spans="1:25" x14ac:dyDescent="0.4">
      <c r="A3246" s="14" t="str">
        <f t="shared" si="50"/>
        <v>01</v>
      </c>
      <c r="R3246"/>
      <c r="S3246"/>
      <c r="T3246"/>
      <c r="V3246"/>
      <c r="W3246"/>
      <c r="X3246"/>
      <c r="Y3246"/>
    </row>
    <row r="3247" spans="1:25" x14ac:dyDescent="0.4">
      <c r="A3247" s="14" t="str">
        <f t="shared" si="50"/>
        <v>01</v>
      </c>
      <c r="R3247"/>
      <c r="S3247"/>
      <c r="T3247"/>
      <c r="V3247"/>
      <c r="W3247"/>
      <c r="X3247"/>
      <c r="Y3247"/>
    </row>
    <row r="3248" spans="1:25" x14ac:dyDescent="0.4">
      <c r="A3248" s="14" t="str">
        <f t="shared" si="50"/>
        <v>01</v>
      </c>
      <c r="R3248"/>
      <c r="S3248"/>
      <c r="T3248"/>
      <c r="V3248"/>
      <c r="W3248"/>
      <c r="X3248"/>
      <c r="Y3248"/>
    </row>
    <row r="3249" spans="1:25" x14ac:dyDescent="0.4">
      <c r="A3249" s="14" t="str">
        <f t="shared" si="50"/>
        <v>01</v>
      </c>
      <c r="R3249"/>
      <c r="S3249"/>
      <c r="T3249"/>
      <c r="V3249"/>
      <c r="W3249"/>
      <c r="X3249"/>
      <c r="Y3249"/>
    </row>
    <row r="3250" spans="1:25" x14ac:dyDescent="0.4">
      <c r="A3250" s="14" t="str">
        <f t="shared" si="50"/>
        <v>01</v>
      </c>
      <c r="R3250"/>
      <c r="S3250"/>
      <c r="T3250"/>
      <c r="V3250"/>
      <c r="W3250"/>
      <c r="X3250"/>
      <c r="Y3250"/>
    </row>
    <row r="3251" spans="1:25" x14ac:dyDescent="0.4">
      <c r="A3251" s="14" t="str">
        <f t="shared" si="50"/>
        <v>01</v>
      </c>
      <c r="R3251"/>
      <c r="S3251"/>
      <c r="T3251"/>
      <c r="V3251"/>
      <c r="W3251"/>
      <c r="X3251"/>
      <c r="Y3251"/>
    </row>
    <row r="3252" spans="1:25" x14ac:dyDescent="0.4">
      <c r="A3252" s="14" t="str">
        <f t="shared" si="50"/>
        <v>01</v>
      </c>
      <c r="R3252"/>
      <c r="S3252"/>
      <c r="T3252"/>
      <c r="V3252"/>
      <c r="W3252"/>
      <c r="X3252"/>
      <c r="Y3252"/>
    </row>
    <row r="3253" spans="1:25" x14ac:dyDescent="0.4">
      <c r="A3253" s="14" t="str">
        <f t="shared" si="50"/>
        <v>01</v>
      </c>
      <c r="R3253"/>
      <c r="S3253"/>
      <c r="T3253"/>
      <c r="V3253"/>
      <c r="W3253"/>
      <c r="X3253"/>
      <c r="Y3253"/>
    </row>
    <row r="3254" spans="1:25" x14ac:dyDescent="0.4">
      <c r="A3254" s="14" t="str">
        <f t="shared" si="50"/>
        <v>01</v>
      </c>
      <c r="R3254"/>
      <c r="S3254"/>
      <c r="T3254"/>
      <c r="V3254"/>
      <c r="W3254"/>
      <c r="X3254"/>
      <c r="Y3254"/>
    </row>
    <row r="3255" spans="1:25" x14ac:dyDescent="0.4">
      <c r="A3255" s="14" t="str">
        <f t="shared" si="50"/>
        <v>01</v>
      </c>
      <c r="R3255"/>
      <c r="S3255"/>
      <c r="T3255"/>
      <c r="V3255"/>
      <c r="W3255"/>
      <c r="X3255"/>
      <c r="Y3255"/>
    </row>
    <row r="3256" spans="1:25" x14ac:dyDescent="0.4">
      <c r="A3256" s="14" t="str">
        <f t="shared" si="50"/>
        <v>01</v>
      </c>
      <c r="R3256"/>
      <c r="S3256"/>
      <c r="T3256"/>
      <c r="V3256"/>
      <c r="W3256"/>
      <c r="X3256"/>
      <c r="Y3256"/>
    </row>
    <row r="3257" spans="1:25" x14ac:dyDescent="0.4">
      <c r="A3257" s="14" t="str">
        <f t="shared" si="50"/>
        <v>01</v>
      </c>
      <c r="R3257"/>
      <c r="S3257"/>
      <c r="T3257"/>
      <c r="V3257"/>
      <c r="W3257"/>
      <c r="X3257"/>
      <c r="Y3257"/>
    </row>
    <row r="3258" spans="1:25" x14ac:dyDescent="0.4">
      <c r="A3258" s="14" t="str">
        <f t="shared" si="50"/>
        <v>01</v>
      </c>
      <c r="R3258"/>
      <c r="S3258"/>
      <c r="T3258"/>
      <c r="V3258"/>
      <c r="W3258"/>
      <c r="X3258"/>
      <c r="Y3258"/>
    </row>
    <row r="3259" spans="1:25" x14ac:dyDescent="0.4">
      <c r="A3259" s="14" t="str">
        <f t="shared" si="50"/>
        <v>01</v>
      </c>
      <c r="R3259"/>
      <c r="S3259"/>
      <c r="T3259"/>
      <c r="V3259"/>
      <c r="W3259"/>
      <c r="X3259"/>
      <c r="Y3259"/>
    </row>
    <row r="3260" spans="1:25" x14ac:dyDescent="0.4">
      <c r="A3260" s="14" t="str">
        <f t="shared" si="50"/>
        <v>01</v>
      </c>
      <c r="R3260"/>
      <c r="S3260"/>
      <c r="T3260"/>
      <c r="V3260"/>
      <c r="W3260"/>
      <c r="X3260"/>
      <c r="Y3260"/>
    </row>
    <row r="3261" spans="1:25" x14ac:dyDescent="0.4">
      <c r="A3261" s="14" t="str">
        <f t="shared" si="50"/>
        <v>01</v>
      </c>
      <c r="R3261"/>
      <c r="S3261"/>
      <c r="T3261"/>
      <c r="V3261"/>
      <c r="W3261"/>
      <c r="X3261"/>
      <c r="Y3261"/>
    </row>
    <row r="3262" spans="1:25" x14ac:dyDescent="0.4">
      <c r="A3262" s="14" t="str">
        <f t="shared" si="50"/>
        <v>01</v>
      </c>
      <c r="R3262"/>
      <c r="S3262"/>
      <c r="T3262"/>
      <c r="V3262"/>
      <c r="W3262"/>
      <c r="X3262"/>
      <c r="Y3262"/>
    </row>
    <row r="3263" spans="1:25" x14ac:dyDescent="0.4">
      <c r="A3263" s="14" t="str">
        <f t="shared" si="50"/>
        <v>01</v>
      </c>
      <c r="R3263"/>
      <c r="S3263"/>
      <c r="T3263"/>
      <c r="V3263"/>
      <c r="W3263"/>
      <c r="X3263"/>
      <c r="Y3263"/>
    </row>
    <row r="3264" spans="1:25" x14ac:dyDescent="0.4">
      <c r="A3264" s="14" t="str">
        <f t="shared" si="50"/>
        <v>01</v>
      </c>
      <c r="R3264"/>
      <c r="S3264"/>
      <c r="T3264"/>
      <c r="V3264"/>
      <c r="W3264"/>
      <c r="X3264"/>
      <c r="Y3264"/>
    </row>
    <row r="3265" spans="1:25" x14ac:dyDescent="0.4">
      <c r="A3265" s="14" t="str">
        <f t="shared" si="50"/>
        <v>01</v>
      </c>
      <c r="R3265"/>
      <c r="S3265"/>
      <c r="T3265"/>
      <c r="V3265"/>
      <c r="W3265"/>
      <c r="X3265"/>
      <c r="Y3265"/>
    </row>
    <row r="3266" spans="1:25" x14ac:dyDescent="0.4">
      <c r="A3266" s="14" t="str">
        <f t="shared" si="50"/>
        <v>01</v>
      </c>
      <c r="R3266"/>
      <c r="S3266"/>
      <c r="T3266"/>
      <c r="V3266"/>
      <c r="W3266"/>
      <c r="X3266"/>
      <c r="Y3266"/>
    </row>
    <row r="3267" spans="1:25" x14ac:dyDescent="0.4">
      <c r="A3267" s="14" t="str">
        <f t="shared" ref="A3267:A3330" si="51">TEXT(L3267,"MM")</f>
        <v>01</v>
      </c>
      <c r="R3267"/>
      <c r="S3267"/>
      <c r="T3267"/>
      <c r="V3267"/>
      <c r="W3267"/>
      <c r="X3267"/>
      <c r="Y3267"/>
    </row>
    <row r="3268" spans="1:25" x14ac:dyDescent="0.4">
      <c r="A3268" s="14" t="str">
        <f t="shared" si="51"/>
        <v>01</v>
      </c>
      <c r="R3268"/>
      <c r="S3268"/>
      <c r="T3268"/>
      <c r="V3268"/>
      <c r="W3268"/>
      <c r="X3268"/>
      <c r="Y3268"/>
    </row>
    <row r="3269" spans="1:25" x14ac:dyDescent="0.4">
      <c r="A3269" s="14" t="str">
        <f t="shared" si="51"/>
        <v>01</v>
      </c>
      <c r="R3269"/>
      <c r="S3269"/>
      <c r="T3269"/>
      <c r="V3269"/>
      <c r="W3269"/>
      <c r="X3269"/>
      <c r="Y3269"/>
    </row>
    <row r="3270" spans="1:25" x14ac:dyDescent="0.4">
      <c r="A3270" s="14" t="str">
        <f t="shared" si="51"/>
        <v>01</v>
      </c>
      <c r="R3270"/>
      <c r="S3270"/>
      <c r="T3270"/>
      <c r="V3270"/>
      <c r="W3270"/>
      <c r="X3270"/>
      <c r="Y3270"/>
    </row>
    <row r="3271" spans="1:25" x14ac:dyDescent="0.4">
      <c r="A3271" s="14" t="str">
        <f t="shared" si="51"/>
        <v>01</v>
      </c>
      <c r="R3271"/>
      <c r="S3271"/>
      <c r="T3271"/>
      <c r="V3271"/>
      <c r="W3271"/>
      <c r="X3271"/>
      <c r="Y3271"/>
    </row>
    <row r="3272" spans="1:25" x14ac:dyDescent="0.4">
      <c r="A3272" s="14" t="str">
        <f t="shared" si="51"/>
        <v>01</v>
      </c>
      <c r="R3272"/>
      <c r="S3272"/>
      <c r="T3272"/>
      <c r="V3272"/>
      <c r="W3272"/>
      <c r="X3272"/>
      <c r="Y3272"/>
    </row>
    <row r="3273" spans="1:25" x14ac:dyDescent="0.4">
      <c r="A3273" s="14" t="str">
        <f t="shared" si="51"/>
        <v>01</v>
      </c>
      <c r="R3273"/>
      <c r="S3273"/>
      <c r="T3273"/>
      <c r="V3273"/>
      <c r="W3273"/>
      <c r="X3273"/>
      <c r="Y3273"/>
    </row>
    <row r="3274" spans="1:25" x14ac:dyDescent="0.4">
      <c r="A3274" s="14" t="str">
        <f t="shared" si="51"/>
        <v>01</v>
      </c>
      <c r="R3274"/>
      <c r="S3274"/>
      <c r="T3274"/>
      <c r="V3274"/>
      <c r="W3274"/>
      <c r="X3274"/>
      <c r="Y3274"/>
    </row>
    <row r="3275" spans="1:25" x14ac:dyDescent="0.4">
      <c r="A3275" s="14" t="str">
        <f t="shared" si="51"/>
        <v>01</v>
      </c>
      <c r="R3275"/>
      <c r="S3275"/>
      <c r="T3275"/>
      <c r="V3275"/>
      <c r="W3275"/>
      <c r="X3275"/>
      <c r="Y3275"/>
    </row>
    <row r="3276" spans="1:25" x14ac:dyDescent="0.4">
      <c r="A3276" s="14" t="str">
        <f t="shared" si="51"/>
        <v>01</v>
      </c>
      <c r="R3276"/>
      <c r="S3276"/>
      <c r="T3276"/>
      <c r="V3276"/>
      <c r="W3276"/>
      <c r="X3276"/>
      <c r="Y3276"/>
    </row>
    <row r="3277" spans="1:25" x14ac:dyDescent="0.4">
      <c r="A3277" s="14" t="str">
        <f t="shared" si="51"/>
        <v>01</v>
      </c>
      <c r="R3277"/>
      <c r="S3277"/>
      <c r="T3277"/>
      <c r="V3277"/>
      <c r="W3277"/>
      <c r="X3277"/>
      <c r="Y3277"/>
    </row>
    <row r="3278" spans="1:25" x14ac:dyDescent="0.4">
      <c r="A3278" s="14" t="str">
        <f t="shared" si="51"/>
        <v>01</v>
      </c>
      <c r="R3278"/>
      <c r="S3278"/>
      <c r="T3278"/>
      <c r="V3278"/>
      <c r="W3278"/>
      <c r="X3278"/>
      <c r="Y3278"/>
    </row>
    <row r="3279" spans="1:25" x14ac:dyDescent="0.4">
      <c r="A3279" s="14" t="str">
        <f t="shared" si="51"/>
        <v>01</v>
      </c>
      <c r="R3279"/>
      <c r="S3279"/>
      <c r="T3279"/>
      <c r="V3279"/>
      <c r="W3279"/>
      <c r="X3279"/>
      <c r="Y3279"/>
    </row>
    <row r="3280" spans="1:25" x14ac:dyDescent="0.4">
      <c r="A3280" s="14" t="str">
        <f t="shared" si="51"/>
        <v>01</v>
      </c>
      <c r="R3280"/>
      <c r="S3280"/>
      <c r="T3280"/>
      <c r="V3280"/>
      <c r="W3280"/>
      <c r="X3280"/>
      <c r="Y3280"/>
    </row>
    <row r="3281" spans="1:25" x14ac:dyDescent="0.4">
      <c r="A3281" s="14" t="str">
        <f t="shared" si="51"/>
        <v>01</v>
      </c>
      <c r="R3281"/>
      <c r="S3281"/>
      <c r="T3281"/>
      <c r="V3281"/>
      <c r="W3281"/>
      <c r="X3281"/>
      <c r="Y3281"/>
    </row>
    <row r="3282" spans="1:25" x14ac:dyDescent="0.4">
      <c r="A3282" s="14" t="str">
        <f t="shared" si="51"/>
        <v>01</v>
      </c>
      <c r="R3282"/>
      <c r="S3282"/>
      <c r="T3282"/>
      <c r="V3282"/>
      <c r="W3282"/>
      <c r="X3282"/>
      <c r="Y3282"/>
    </row>
    <row r="3283" spans="1:25" x14ac:dyDescent="0.4">
      <c r="A3283" s="14" t="str">
        <f t="shared" si="51"/>
        <v>01</v>
      </c>
      <c r="R3283"/>
      <c r="S3283"/>
      <c r="T3283"/>
      <c r="V3283"/>
      <c r="W3283"/>
      <c r="X3283"/>
      <c r="Y3283"/>
    </row>
    <row r="3284" spans="1:25" x14ac:dyDescent="0.4">
      <c r="A3284" s="14" t="str">
        <f t="shared" si="51"/>
        <v>01</v>
      </c>
      <c r="R3284"/>
      <c r="S3284"/>
      <c r="T3284"/>
      <c r="V3284"/>
      <c r="W3284"/>
      <c r="X3284"/>
      <c r="Y3284"/>
    </row>
    <row r="3285" spans="1:25" x14ac:dyDescent="0.4">
      <c r="A3285" s="14" t="str">
        <f t="shared" si="51"/>
        <v>01</v>
      </c>
      <c r="R3285"/>
      <c r="S3285"/>
      <c r="T3285"/>
      <c r="V3285"/>
      <c r="W3285"/>
      <c r="X3285"/>
      <c r="Y3285"/>
    </row>
    <row r="3286" spans="1:25" x14ac:dyDescent="0.4">
      <c r="A3286" s="14" t="str">
        <f t="shared" si="51"/>
        <v>01</v>
      </c>
      <c r="R3286"/>
      <c r="S3286"/>
      <c r="T3286"/>
      <c r="V3286"/>
      <c r="W3286"/>
      <c r="X3286"/>
      <c r="Y3286"/>
    </row>
    <row r="3287" spans="1:25" x14ac:dyDescent="0.4">
      <c r="A3287" s="14" t="str">
        <f t="shared" si="51"/>
        <v>01</v>
      </c>
      <c r="R3287"/>
      <c r="S3287"/>
      <c r="T3287"/>
      <c r="V3287"/>
      <c r="W3287"/>
      <c r="X3287"/>
      <c r="Y3287"/>
    </row>
    <row r="3288" spans="1:25" x14ac:dyDescent="0.4">
      <c r="A3288" s="14" t="str">
        <f t="shared" si="51"/>
        <v>01</v>
      </c>
      <c r="R3288"/>
      <c r="S3288"/>
      <c r="T3288"/>
      <c r="V3288"/>
      <c r="W3288"/>
      <c r="X3288"/>
      <c r="Y3288"/>
    </row>
    <row r="3289" spans="1:25" x14ac:dyDescent="0.4">
      <c r="A3289" s="14" t="str">
        <f t="shared" si="51"/>
        <v>01</v>
      </c>
      <c r="R3289"/>
      <c r="S3289"/>
      <c r="T3289"/>
      <c r="V3289"/>
      <c r="W3289"/>
      <c r="X3289"/>
      <c r="Y3289"/>
    </row>
    <row r="3290" spans="1:25" x14ac:dyDescent="0.4">
      <c r="A3290" s="14" t="str">
        <f t="shared" si="51"/>
        <v>01</v>
      </c>
      <c r="R3290"/>
      <c r="S3290"/>
      <c r="T3290"/>
      <c r="V3290"/>
      <c r="W3290"/>
      <c r="X3290"/>
      <c r="Y3290"/>
    </row>
    <row r="3291" spans="1:25" x14ac:dyDescent="0.4">
      <c r="A3291" s="14" t="str">
        <f t="shared" si="51"/>
        <v>01</v>
      </c>
      <c r="R3291"/>
      <c r="S3291"/>
      <c r="T3291"/>
      <c r="V3291"/>
      <c r="W3291"/>
      <c r="X3291"/>
      <c r="Y3291"/>
    </row>
    <row r="3292" spans="1:25" x14ac:dyDescent="0.4">
      <c r="A3292" s="14" t="str">
        <f t="shared" si="51"/>
        <v>01</v>
      </c>
      <c r="R3292"/>
      <c r="S3292"/>
      <c r="T3292"/>
      <c r="V3292"/>
      <c r="W3292"/>
      <c r="X3292"/>
      <c r="Y3292"/>
    </row>
    <row r="3293" spans="1:25" x14ac:dyDescent="0.4">
      <c r="A3293" s="14" t="str">
        <f t="shared" si="51"/>
        <v>01</v>
      </c>
      <c r="R3293"/>
      <c r="S3293"/>
      <c r="T3293"/>
      <c r="V3293"/>
      <c r="W3293"/>
      <c r="X3293"/>
      <c r="Y3293"/>
    </row>
    <row r="3294" spans="1:25" x14ac:dyDescent="0.4">
      <c r="A3294" s="14" t="str">
        <f t="shared" si="51"/>
        <v>01</v>
      </c>
      <c r="R3294"/>
      <c r="S3294"/>
      <c r="T3294"/>
      <c r="V3294"/>
      <c r="W3294"/>
      <c r="X3294"/>
      <c r="Y3294"/>
    </row>
    <row r="3295" spans="1:25" x14ac:dyDescent="0.4">
      <c r="A3295" s="14" t="str">
        <f t="shared" si="51"/>
        <v>01</v>
      </c>
      <c r="R3295"/>
      <c r="S3295"/>
      <c r="T3295"/>
      <c r="V3295"/>
      <c r="W3295"/>
      <c r="X3295"/>
      <c r="Y3295"/>
    </row>
    <row r="3296" spans="1:25" x14ac:dyDescent="0.4">
      <c r="A3296" s="14" t="str">
        <f t="shared" si="51"/>
        <v>01</v>
      </c>
      <c r="R3296"/>
      <c r="S3296"/>
      <c r="T3296"/>
      <c r="V3296"/>
      <c r="W3296"/>
      <c r="X3296"/>
      <c r="Y3296"/>
    </row>
    <row r="3297" spans="1:25" x14ac:dyDescent="0.4">
      <c r="A3297" s="14" t="str">
        <f t="shared" si="51"/>
        <v>01</v>
      </c>
      <c r="R3297"/>
      <c r="S3297"/>
      <c r="T3297"/>
      <c r="V3297"/>
      <c r="W3297"/>
      <c r="X3297"/>
      <c r="Y3297"/>
    </row>
    <row r="3298" spans="1:25" x14ac:dyDescent="0.4">
      <c r="A3298" s="14" t="str">
        <f t="shared" si="51"/>
        <v>01</v>
      </c>
      <c r="R3298"/>
      <c r="S3298"/>
      <c r="T3298"/>
      <c r="V3298"/>
      <c r="W3298"/>
      <c r="X3298"/>
      <c r="Y3298"/>
    </row>
    <row r="3299" spans="1:25" x14ac:dyDescent="0.4">
      <c r="A3299" s="14" t="str">
        <f t="shared" si="51"/>
        <v>01</v>
      </c>
      <c r="R3299"/>
      <c r="S3299"/>
      <c r="T3299"/>
      <c r="V3299"/>
      <c r="W3299"/>
      <c r="X3299"/>
      <c r="Y3299"/>
    </row>
    <row r="3300" spans="1:25" x14ac:dyDescent="0.4">
      <c r="A3300" s="14" t="str">
        <f t="shared" si="51"/>
        <v>01</v>
      </c>
      <c r="R3300"/>
      <c r="S3300"/>
      <c r="T3300"/>
      <c r="V3300"/>
      <c r="W3300"/>
      <c r="X3300"/>
      <c r="Y3300"/>
    </row>
    <row r="3301" spans="1:25" x14ac:dyDescent="0.4">
      <c r="A3301" s="14" t="str">
        <f t="shared" si="51"/>
        <v>01</v>
      </c>
      <c r="R3301"/>
      <c r="S3301"/>
      <c r="T3301"/>
      <c r="V3301"/>
      <c r="W3301"/>
      <c r="X3301"/>
      <c r="Y3301"/>
    </row>
    <row r="3302" spans="1:25" x14ac:dyDescent="0.4">
      <c r="A3302" s="14" t="str">
        <f t="shared" si="51"/>
        <v>01</v>
      </c>
      <c r="R3302"/>
      <c r="S3302"/>
      <c r="T3302"/>
      <c r="V3302"/>
      <c r="W3302"/>
      <c r="X3302"/>
      <c r="Y3302"/>
    </row>
    <row r="3303" spans="1:25" x14ac:dyDescent="0.4">
      <c r="A3303" s="14" t="str">
        <f t="shared" si="51"/>
        <v>01</v>
      </c>
      <c r="R3303"/>
      <c r="S3303"/>
      <c r="T3303"/>
      <c r="V3303"/>
      <c r="W3303"/>
      <c r="X3303"/>
      <c r="Y3303"/>
    </row>
    <row r="3304" spans="1:25" x14ac:dyDescent="0.4">
      <c r="A3304" s="14" t="str">
        <f t="shared" si="51"/>
        <v>01</v>
      </c>
      <c r="R3304"/>
      <c r="S3304"/>
      <c r="T3304"/>
      <c r="V3304"/>
      <c r="W3304"/>
      <c r="X3304"/>
      <c r="Y3304"/>
    </row>
    <row r="3305" spans="1:25" x14ac:dyDescent="0.4">
      <c r="A3305" s="14" t="str">
        <f t="shared" si="51"/>
        <v>01</v>
      </c>
      <c r="R3305"/>
      <c r="S3305"/>
      <c r="T3305"/>
      <c r="V3305"/>
      <c r="W3305"/>
      <c r="X3305"/>
      <c r="Y3305"/>
    </row>
    <row r="3306" spans="1:25" x14ac:dyDescent="0.4">
      <c r="A3306" s="14" t="str">
        <f t="shared" si="51"/>
        <v>01</v>
      </c>
      <c r="R3306"/>
      <c r="S3306"/>
      <c r="T3306"/>
      <c r="V3306"/>
      <c r="W3306"/>
      <c r="X3306"/>
      <c r="Y3306"/>
    </row>
    <row r="3307" spans="1:25" x14ac:dyDescent="0.4">
      <c r="A3307" s="14" t="str">
        <f t="shared" si="51"/>
        <v>01</v>
      </c>
      <c r="R3307"/>
      <c r="S3307"/>
      <c r="T3307"/>
      <c r="V3307"/>
      <c r="W3307"/>
      <c r="X3307"/>
      <c r="Y3307"/>
    </row>
    <row r="3308" spans="1:25" x14ac:dyDescent="0.4">
      <c r="A3308" s="14" t="str">
        <f t="shared" si="51"/>
        <v>01</v>
      </c>
      <c r="R3308"/>
      <c r="S3308"/>
      <c r="T3308"/>
      <c r="V3308"/>
      <c r="W3308"/>
      <c r="X3308"/>
      <c r="Y3308"/>
    </row>
    <row r="3309" spans="1:25" x14ac:dyDescent="0.4">
      <c r="A3309" s="14" t="str">
        <f t="shared" si="51"/>
        <v>01</v>
      </c>
      <c r="R3309"/>
      <c r="S3309"/>
      <c r="T3309"/>
      <c r="V3309"/>
      <c r="W3309"/>
      <c r="X3309"/>
      <c r="Y3309"/>
    </row>
    <row r="3310" spans="1:25" x14ac:dyDescent="0.4">
      <c r="A3310" s="14" t="str">
        <f t="shared" si="51"/>
        <v>01</v>
      </c>
      <c r="R3310"/>
      <c r="S3310"/>
      <c r="T3310"/>
      <c r="V3310"/>
      <c r="W3310"/>
      <c r="X3310"/>
      <c r="Y3310"/>
    </row>
    <row r="3311" spans="1:25" x14ac:dyDescent="0.4">
      <c r="A3311" s="14" t="str">
        <f t="shared" si="51"/>
        <v>01</v>
      </c>
      <c r="R3311"/>
      <c r="S3311"/>
      <c r="T3311"/>
      <c r="V3311"/>
      <c r="W3311"/>
      <c r="X3311"/>
      <c r="Y3311"/>
    </row>
    <row r="3312" spans="1:25" x14ac:dyDescent="0.4">
      <c r="A3312" s="14" t="str">
        <f t="shared" si="51"/>
        <v>01</v>
      </c>
      <c r="R3312"/>
      <c r="S3312"/>
      <c r="T3312"/>
      <c r="V3312"/>
      <c r="W3312"/>
      <c r="X3312"/>
      <c r="Y3312"/>
    </row>
    <row r="3313" spans="1:25" x14ac:dyDescent="0.4">
      <c r="A3313" s="14" t="str">
        <f t="shared" si="51"/>
        <v>01</v>
      </c>
      <c r="R3313"/>
      <c r="S3313"/>
      <c r="T3313"/>
      <c r="V3313"/>
      <c r="W3313"/>
      <c r="X3313"/>
      <c r="Y3313"/>
    </row>
    <row r="3314" spans="1:25" x14ac:dyDescent="0.4">
      <c r="A3314" s="14" t="str">
        <f t="shared" si="51"/>
        <v>01</v>
      </c>
      <c r="R3314"/>
      <c r="S3314"/>
      <c r="T3314"/>
      <c r="V3314"/>
      <c r="W3314"/>
      <c r="X3314"/>
      <c r="Y3314"/>
    </row>
    <row r="3315" spans="1:25" x14ac:dyDescent="0.4">
      <c r="A3315" s="14" t="str">
        <f t="shared" si="51"/>
        <v>01</v>
      </c>
      <c r="R3315"/>
      <c r="S3315"/>
      <c r="T3315"/>
      <c r="V3315"/>
      <c r="W3315"/>
      <c r="X3315"/>
      <c r="Y3315"/>
    </row>
    <row r="3316" spans="1:25" x14ac:dyDescent="0.4">
      <c r="A3316" s="14" t="str">
        <f t="shared" si="51"/>
        <v>01</v>
      </c>
      <c r="R3316"/>
      <c r="S3316"/>
      <c r="T3316"/>
      <c r="V3316"/>
      <c r="W3316"/>
      <c r="X3316"/>
      <c r="Y3316"/>
    </row>
    <row r="3317" spans="1:25" x14ac:dyDescent="0.4">
      <c r="A3317" s="14" t="str">
        <f t="shared" si="51"/>
        <v>01</v>
      </c>
      <c r="R3317"/>
      <c r="S3317"/>
      <c r="T3317"/>
      <c r="V3317"/>
      <c r="W3317"/>
      <c r="X3317"/>
      <c r="Y3317"/>
    </row>
    <row r="3318" spans="1:25" x14ac:dyDescent="0.4">
      <c r="A3318" s="14" t="str">
        <f t="shared" si="51"/>
        <v>01</v>
      </c>
      <c r="R3318"/>
      <c r="S3318"/>
      <c r="T3318"/>
      <c r="V3318"/>
      <c r="W3318"/>
      <c r="X3318"/>
      <c r="Y3318"/>
    </row>
    <row r="3319" spans="1:25" x14ac:dyDescent="0.4">
      <c r="A3319" s="14" t="str">
        <f t="shared" si="51"/>
        <v>01</v>
      </c>
      <c r="R3319"/>
      <c r="S3319"/>
      <c r="T3319"/>
      <c r="V3319"/>
      <c r="W3319"/>
      <c r="X3319"/>
      <c r="Y3319"/>
    </row>
    <row r="3320" spans="1:25" x14ac:dyDescent="0.4">
      <c r="A3320" s="14" t="str">
        <f t="shared" si="51"/>
        <v>01</v>
      </c>
      <c r="R3320"/>
      <c r="S3320"/>
      <c r="T3320"/>
      <c r="V3320"/>
      <c r="W3320"/>
      <c r="X3320"/>
      <c r="Y3320"/>
    </row>
    <row r="3321" spans="1:25" x14ac:dyDescent="0.4">
      <c r="A3321" s="14" t="str">
        <f t="shared" si="51"/>
        <v>01</v>
      </c>
      <c r="R3321"/>
      <c r="S3321"/>
      <c r="T3321"/>
      <c r="V3321"/>
      <c r="W3321"/>
      <c r="X3321"/>
      <c r="Y3321"/>
    </row>
    <row r="3322" spans="1:25" x14ac:dyDescent="0.4">
      <c r="A3322" s="14" t="str">
        <f t="shared" si="51"/>
        <v>01</v>
      </c>
      <c r="R3322"/>
      <c r="S3322"/>
      <c r="T3322"/>
      <c r="V3322"/>
      <c r="W3322"/>
      <c r="X3322"/>
      <c r="Y3322"/>
    </row>
    <row r="3323" spans="1:25" x14ac:dyDescent="0.4">
      <c r="A3323" s="14" t="str">
        <f t="shared" si="51"/>
        <v>01</v>
      </c>
      <c r="R3323"/>
      <c r="S3323"/>
      <c r="T3323"/>
      <c r="V3323"/>
      <c r="W3323"/>
      <c r="X3323"/>
      <c r="Y3323"/>
    </row>
    <row r="3324" spans="1:25" x14ac:dyDescent="0.4">
      <c r="A3324" s="14" t="str">
        <f t="shared" si="51"/>
        <v>01</v>
      </c>
      <c r="R3324"/>
      <c r="S3324"/>
      <c r="T3324"/>
      <c r="V3324"/>
      <c r="W3324"/>
      <c r="X3324"/>
      <c r="Y3324"/>
    </row>
    <row r="3325" spans="1:25" x14ac:dyDescent="0.4">
      <c r="A3325" s="14" t="str">
        <f t="shared" si="51"/>
        <v>01</v>
      </c>
      <c r="R3325"/>
      <c r="S3325"/>
      <c r="T3325"/>
      <c r="V3325"/>
      <c r="W3325"/>
      <c r="X3325"/>
      <c r="Y3325"/>
    </row>
    <row r="3326" spans="1:25" x14ac:dyDescent="0.4">
      <c r="A3326" s="14" t="str">
        <f t="shared" si="51"/>
        <v>01</v>
      </c>
      <c r="R3326"/>
      <c r="S3326"/>
      <c r="T3326"/>
      <c r="V3326"/>
      <c r="W3326"/>
      <c r="X3326"/>
      <c r="Y3326"/>
    </row>
    <row r="3327" spans="1:25" x14ac:dyDescent="0.4">
      <c r="A3327" s="14" t="str">
        <f t="shared" si="51"/>
        <v>01</v>
      </c>
      <c r="R3327"/>
      <c r="S3327"/>
      <c r="T3327"/>
      <c r="V3327"/>
      <c r="W3327"/>
      <c r="X3327"/>
      <c r="Y3327"/>
    </row>
    <row r="3328" spans="1:25" x14ac:dyDescent="0.4">
      <c r="A3328" s="14" t="str">
        <f t="shared" si="51"/>
        <v>01</v>
      </c>
      <c r="R3328"/>
      <c r="S3328"/>
      <c r="T3328"/>
      <c r="V3328"/>
      <c r="W3328"/>
      <c r="X3328"/>
      <c r="Y3328"/>
    </row>
    <row r="3329" spans="1:25" x14ac:dyDescent="0.4">
      <c r="A3329" s="14" t="str">
        <f t="shared" si="51"/>
        <v>01</v>
      </c>
      <c r="R3329"/>
      <c r="S3329"/>
      <c r="T3329"/>
      <c r="V3329"/>
      <c r="W3329"/>
      <c r="X3329"/>
      <c r="Y3329"/>
    </row>
    <row r="3330" spans="1:25" x14ac:dyDescent="0.4">
      <c r="A3330" s="14" t="str">
        <f t="shared" si="51"/>
        <v>01</v>
      </c>
      <c r="R3330"/>
      <c r="S3330"/>
      <c r="T3330"/>
      <c r="V3330"/>
      <c r="W3330"/>
      <c r="X3330"/>
      <c r="Y3330"/>
    </row>
    <row r="3331" spans="1:25" x14ac:dyDescent="0.4">
      <c r="A3331" s="14" t="str">
        <f t="shared" ref="A3331:A3394" si="52">TEXT(L3331,"MM")</f>
        <v>01</v>
      </c>
      <c r="R3331"/>
      <c r="S3331"/>
      <c r="T3331"/>
      <c r="V3331"/>
      <c r="W3331"/>
      <c r="X3331"/>
      <c r="Y3331"/>
    </row>
    <row r="3332" spans="1:25" x14ac:dyDescent="0.4">
      <c r="A3332" s="14" t="str">
        <f t="shared" si="52"/>
        <v>01</v>
      </c>
      <c r="R3332"/>
      <c r="S3332"/>
      <c r="T3332"/>
      <c r="V3332"/>
      <c r="W3332"/>
      <c r="X3332"/>
      <c r="Y3332"/>
    </row>
    <row r="3333" spans="1:25" x14ac:dyDescent="0.4">
      <c r="A3333" s="14" t="str">
        <f t="shared" si="52"/>
        <v>01</v>
      </c>
      <c r="R3333"/>
      <c r="S3333"/>
      <c r="T3333"/>
      <c r="V3333"/>
      <c r="W3333"/>
      <c r="X3333"/>
      <c r="Y3333"/>
    </row>
    <row r="3334" spans="1:25" x14ac:dyDescent="0.4">
      <c r="A3334" s="14" t="str">
        <f t="shared" si="52"/>
        <v>01</v>
      </c>
      <c r="R3334"/>
      <c r="S3334"/>
      <c r="T3334"/>
      <c r="V3334"/>
      <c r="W3334"/>
      <c r="X3334"/>
      <c r="Y3334"/>
    </row>
    <row r="3335" spans="1:25" x14ac:dyDescent="0.4">
      <c r="A3335" s="14" t="str">
        <f t="shared" si="52"/>
        <v>01</v>
      </c>
      <c r="R3335"/>
      <c r="S3335"/>
      <c r="T3335"/>
      <c r="V3335"/>
      <c r="W3335"/>
      <c r="X3335"/>
      <c r="Y3335"/>
    </row>
    <row r="3336" spans="1:25" x14ac:dyDescent="0.4">
      <c r="A3336" s="14" t="str">
        <f t="shared" si="52"/>
        <v>01</v>
      </c>
      <c r="R3336"/>
      <c r="S3336"/>
      <c r="T3336"/>
      <c r="V3336"/>
      <c r="W3336"/>
      <c r="X3336"/>
      <c r="Y3336"/>
    </row>
    <row r="3337" spans="1:25" x14ac:dyDescent="0.4">
      <c r="A3337" s="14" t="str">
        <f t="shared" si="52"/>
        <v>01</v>
      </c>
      <c r="R3337"/>
      <c r="S3337"/>
      <c r="T3337"/>
      <c r="V3337"/>
      <c r="W3337"/>
      <c r="X3337"/>
      <c r="Y3337"/>
    </row>
    <row r="3338" spans="1:25" x14ac:dyDescent="0.4">
      <c r="A3338" s="14" t="str">
        <f t="shared" si="52"/>
        <v>01</v>
      </c>
      <c r="R3338"/>
      <c r="S3338"/>
      <c r="T3338"/>
      <c r="V3338"/>
      <c r="W3338"/>
      <c r="X3338"/>
      <c r="Y3338"/>
    </row>
    <row r="3339" spans="1:25" x14ac:dyDescent="0.4">
      <c r="A3339" s="14" t="str">
        <f t="shared" si="52"/>
        <v>01</v>
      </c>
      <c r="R3339"/>
      <c r="S3339"/>
      <c r="T3339"/>
      <c r="V3339"/>
      <c r="W3339"/>
      <c r="X3339"/>
      <c r="Y3339"/>
    </row>
    <row r="3340" spans="1:25" x14ac:dyDescent="0.4">
      <c r="A3340" s="14" t="str">
        <f t="shared" si="52"/>
        <v>01</v>
      </c>
      <c r="R3340"/>
      <c r="S3340"/>
      <c r="T3340"/>
      <c r="V3340"/>
      <c r="W3340"/>
      <c r="X3340"/>
      <c r="Y3340"/>
    </row>
    <row r="3341" spans="1:25" x14ac:dyDescent="0.4">
      <c r="A3341" s="14" t="str">
        <f t="shared" si="52"/>
        <v>01</v>
      </c>
      <c r="R3341"/>
      <c r="S3341"/>
      <c r="T3341"/>
      <c r="V3341"/>
      <c r="W3341"/>
      <c r="X3341"/>
      <c r="Y3341"/>
    </row>
    <row r="3342" spans="1:25" x14ac:dyDescent="0.4">
      <c r="A3342" s="14" t="str">
        <f t="shared" si="52"/>
        <v>01</v>
      </c>
      <c r="R3342"/>
      <c r="S3342"/>
      <c r="T3342"/>
      <c r="V3342"/>
      <c r="W3342"/>
      <c r="X3342"/>
      <c r="Y3342"/>
    </row>
    <row r="3343" spans="1:25" x14ac:dyDescent="0.4">
      <c r="A3343" s="14" t="str">
        <f t="shared" si="52"/>
        <v>01</v>
      </c>
      <c r="R3343"/>
      <c r="S3343"/>
      <c r="T3343"/>
      <c r="V3343"/>
      <c r="W3343"/>
      <c r="X3343"/>
      <c r="Y3343"/>
    </row>
    <row r="3344" spans="1:25" x14ac:dyDescent="0.4">
      <c r="A3344" s="14" t="str">
        <f t="shared" si="52"/>
        <v>01</v>
      </c>
      <c r="R3344"/>
      <c r="S3344"/>
      <c r="T3344"/>
      <c r="V3344"/>
      <c r="W3344"/>
      <c r="X3344"/>
      <c r="Y3344"/>
    </row>
    <row r="3345" spans="1:25" x14ac:dyDescent="0.4">
      <c r="A3345" s="14" t="str">
        <f t="shared" si="52"/>
        <v>01</v>
      </c>
      <c r="R3345"/>
      <c r="S3345"/>
      <c r="T3345"/>
      <c r="V3345"/>
      <c r="W3345"/>
      <c r="X3345"/>
      <c r="Y3345"/>
    </row>
    <row r="3346" spans="1:25" x14ac:dyDescent="0.4">
      <c r="A3346" s="14" t="str">
        <f t="shared" si="52"/>
        <v>01</v>
      </c>
      <c r="R3346"/>
      <c r="S3346"/>
      <c r="T3346"/>
      <c r="V3346"/>
      <c r="W3346"/>
      <c r="X3346"/>
      <c r="Y3346"/>
    </row>
    <row r="3347" spans="1:25" x14ac:dyDescent="0.4">
      <c r="A3347" s="14" t="str">
        <f t="shared" si="52"/>
        <v>01</v>
      </c>
      <c r="R3347"/>
      <c r="S3347"/>
      <c r="T3347"/>
      <c r="V3347"/>
      <c r="W3347"/>
      <c r="X3347"/>
      <c r="Y3347"/>
    </row>
    <row r="3348" spans="1:25" x14ac:dyDescent="0.4">
      <c r="A3348" s="14" t="str">
        <f t="shared" si="52"/>
        <v>01</v>
      </c>
      <c r="R3348"/>
      <c r="S3348"/>
      <c r="T3348"/>
      <c r="V3348"/>
      <c r="W3348"/>
      <c r="X3348"/>
      <c r="Y3348"/>
    </row>
    <row r="3349" spans="1:25" x14ac:dyDescent="0.4">
      <c r="A3349" s="14" t="str">
        <f t="shared" si="52"/>
        <v>01</v>
      </c>
      <c r="R3349"/>
      <c r="S3349"/>
      <c r="T3349"/>
      <c r="V3349"/>
      <c r="W3349"/>
      <c r="X3349"/>
      <c r="Y3349"/>
    </row>
    <row r="3350" spans="1:25" x14ac:dyDescent="0.4">
      <c r="A3350" s="14" t="str">
        <f t="shared" si="52"/>
        <v>01</v>
      </c>
      <c r="R3350"/>
      <c r="S3350"/>
      <c r="T3350"/>
      <c r="V3350"/>
      <c r="W3350"/>
      <c r="X3350"/>
      <c r="Y3350"/>
    </row>
    <row r="3351" spans="1:25" x14ac:dyDescent="0.4">
      <c r="A3351" s="14" t="str">
        <f t="shared" si="52"/>
        <v>01</v>
      </c>
      <c r="R3351"/>
      <c r="S3351"/>
      <c r="T3351"/>
      <c r="V3351"/>
      <c r="W3351"/>
      <c r="X3351"/>
      <c r="Y3351"/>
    </row>
    <row r="3352" spans="1:25" x14ac:dyDescent="0.4">
      <c r="A3352" s="14" t="str">
        <f t="shared" si="52"/>
        <v>01</v>
      </c>
      <c r="R3352"/>
      <c r="S3352"/>
      <c r="T3352"/>
      <c r="V3352"/>
      <c r="W3352"/>
      <c r="X3352"/>
      <c r="Y3352"/>
    </row>
    <row r="3353" spans="1:25" x14ac:dyDescent="0.4">
      <c r="A3353" s="14" t="str">
        <f t="shared" si="52"/>
        <v>01</v>
      </c>
      <c r="R3353"/>
      <c r="S3353"/>
      <c r="T3353"/>
      <c r="V3353"/>
      <c r="W3353"/>
      <c r="X3353"/>
      <c r="Y3353"/>
    </row>
    <row r="3354" spans="1:25" x14ac:dyDescent="0.4">
      <c r="A3354" s="14" t="str">
        <f t="shared" si="52"/>
        <v>01</v>
      </c>
      <c r="R3354"/>
      <c r="S3354"/>
      <c r="T3354"/>
      <c r="V3354"/>
      <c r="W3354"/>
      <c r="X3354"/>
      <c r="Y3354"/>
    </row>
    <row r="3355" spans="1:25" x14ac:dyDescent="0.4">
      <c r="A3355" s="14" t="str">
        <f t="shared" si="52"/>
        <v>01</v>
      </c>
      <c r="R3355"/>
      <c r="S3355"/>
      <c r="T3355"/>
      <c r="V3355"/>
      <c r="W3355"/>
      <c r="X3355"/>
      <c r="Y3355"/>
    </row>
    <row r="3356" spans="1:25" x14ac:dyDescent="0.4">
      <c r="A3356" s="14" t="str">
        <f t="shared" si="52"/>
        <v>01</v>
      </c>
      <c r="R3356"/>
      <c r="S3356"/>
      <c r="T3356"/>
      <c r="V3356"/>
      <c r="W3356"/>
      <c r="X3356"/>
      <c r="Y3356"/>
    </row>
    <row r="3357" spans="1:25" x14ac:dyDescent="0.4">
      <c r="A3357" s="14" t="str">
        <f t="shared" si="52"/>
        <v>01</v>
      </c>
      <c r="R3357"/>
      <c r="S3357"/>
      <c r="T3357"/>
      <c r="V3357"/>
      <c r="W3357"/>
      <c r="X3357"/>
      <c r="Y3357"/>
    </row>
    <row r="3358" spans="1:25" x14ac:dyDescent="0.4">
      <c r="A3358" s="14" t="str">
        <f t="shared" si="52"/>
        <v>01</v>
      </c>
      <c r="R3358"/>
      <c r="S3358"/>
      <c r="T3358"/>
      <c r="V3358"/>
      <c r="W3358"/>
      <c r="X3358"/>
      <c r="Y3358"/>
    </row>
    <row r="3359" spans="1:25" x14ac:dyDescent="0.4">
      <c r="A3359" s="14" t="str">
        <f t="shared" si="52"/>
        <v>01</v>
      </c>
      <c r="R3359"/>
      <c r="S3359"/>
      <c r="T3359"/>
      <c r="V3359"/>
      <c r="W3359"/>
      <c r="X3359"/>
      <c r="Y3359"/>
    </row>
    <row r="3360" spans="1:25" x14ac:dyDescent="0.4">
      <c r="A3360" s="14" t="str">
        <f t="shared" si="52"/>
        <v>01</v>
      </c>
      <c r="R3360"/>
      <c r="S3360"/>
      <c r="T3360"/>
      <c r="V3360"/>
      <c r="W3360"/>
      <c r="X3360"/>
      <c r="Y3360"/>
    </row>
    <row r="3361" spans="1:25" x14ac:dyDescent="0.4">
      <c r="A3361" s="14" t="str">
        <f t="shared" si="52"/>
        <v>01</v>
      </c>
      <c r="R3361"/>
      <c r="S3361"/>
      <c r="T3361"/>
      <c r="V3361"/>
      <c r="W3361"/>
      <c r="X3361"/>
      <c r="Y3361"/>
    </row>
    <row r="3362" spans="1:25" x14ac:dyDescent="0.4">
      <c r="A3362" s="14" t="str">
        <f t="shared" si="52"/>
        <v>01</v>
      </c>
      <c r="R3362"/>
      <c r="S3362"/>
      <c r="T3362"/>
      <c r="V3362"/>
      <c r="W3362"/>
      <c r="X3362"/>
      <c r="Y3362"/>
    </row>
    <row r="3363" spans="1:25" x14ac:dyDescent="0.4">
      <c r="A3363" s="14" t="str">
        <f t="shared" si="52"/>
        <v>01</v>
      </c>
      <c r="R3363"/>
      <c r="S3363"/>
      <c r="T3363"/>
      <c r="V3363"/>
      <c r="W3363"/>
      <c r="X3363"/>
      <c r="Y3363"/>
    </row>
    <row r="3364" spans="1:25" x14ac:dyDescent="0.4">
      <c r="A3364" s="14" t="str">
        <f t="shared" si="52"/>
        <v>01</v>
      </c>
      <c r="R3364"/>
      <c r="S3364"/>
      <c r="T3364"/>
      <c r="V3364"/>
      <c r="W3364"/>
      <c r="X3364"/>
      <c r="Y3364"/>
    </row>
    <row r="3365" spans="1:25" x14ac:dyDescent="0.4">
      <c r="A3365" s="14" t="str">
        <f t="shared" si="52"/>
        <v>01</v>
      </c>
      <c r="R3365"/>
      <c r="S3365"/>
      <c r="T3365"/>
      <c r="V3365"/>
      <c r="W3365"/>
      <c r="X3365"/>
      <c r="Y3365"/>
    </row>
    <row r="3366" spans="1:25" x14ac:dyDescent="0.4">
      <c r="A3366" s="14" t="str">
        <f t="shared" si="52"/>
        <v>01</v>
      </c>
      <c r="R3366"/>
      <c r="S3366"/>
      <c r="T3366"/>
      <c r="V3366"/>
      <c r="W3366"/>
      <c r="X3366"/>
      <c r="Y3366"/>
    </row>
    <row r="3367" spans="1:25" x14ac:dyDescent="0.4">
      <c r="A3367" s="14" t="str">
        <f t="shared" si="52"/>
        <v>01</v>
      </c>
      <c r="R3367"/>
      <c r="S3367"/>
      <c r="T3367"/>
      <c r="V3367"/>
      <c r="W3367"/>
      <c r="X3367"/>
      <c r="Y3367"/>
    </row>
    <row r="3368" spans="1:25" x14ac:dyDescent="0.4">
      <c r="A3368" s="14" t="str">
        <f t="shared" si="52"/>
        <v>01</v>
      </c>
      <c r="R3368"/>
      <c r="S3368"/>
      <c r="T3368"/>
      <c r="V3368"/>
      <c r="W3368"/>
      <c r="X3368"/>
      <c r="Y3368"/>
    </row>
    <row r="3369" spans="1:25" x14ac:dyDescent="0.4">
      <c r="A3369" s="14" t="str">
        <f t="shared" si="52"/>
        <v>01</v>
      </c>
      <c r="R3369"/>
      <c r="S3369"/>
      <c r="T3369"/>
      <c r="V3369"/>
      <c r="W3369"/>
      <c r="X3369"/>
      <c r="Y3369"/>
    </row>
    <row r="3370" spans="1:25" x14ac:dyDescent="0.4">
      <c r="A3370" s="14" t="str">
        <f t="shared" si="52"/>
        <v>01</v>
      </c>
      <c r="R3370"/>
      <c r="S3370"/>
      <c r="T3370"/>
      <c r="V3370"/>
      <c r="W3370"/>
      <c r="X3370"/>
      <c r="Y3370"/>
    </row>
    <row r="3371" spans="1:25" x14ac:dyDescent="0.4">
      <c r="A3371" s="14" t="str">
        <f t="shared" si="52"/>
        <v>01</v>
      </c>
      <c r="R3371"/>
      <c r="S3371"/>
      <c r="T3371"/>
      <c r="V3371"/>
      <c r="W3371"/>
      <c r="X3371"/>
      <c r="Y3371"/>
    </row>
    <row r="3372" spans="1:25" x14ac:dyDescent="0.4">
      <c r="A3372" s="14" t="str">
        <f t="shared" si="52"/>
        <v>01</v>
      </c>
      <c r="R3372"/>
      <c r="S3372"/>
      <c r="T3372"/>
      <c r="V3372"/>
      <c r="W3372"/>
      <c r="X3372"/>
      <c r="Y3372"/>
    </row>
    <row r="3373" spans="1:25" x14ac:dyDescent="0.4">
      <c r="A3373" s="14" t="str">
        <f t="shared" si="52"/>
        <v>01</v>
      </c>
      <c r="R3373"/>
      <c r="S3373"/>
      <c r="T3373"/>
      <c r="V3373"/>
      <c r="W3373"/>
      <c r="X3373"/>
      <c r="Y3373"/>
    </row>
    <row r="3374" spans="1:25" x14ac:dyDescent="0.4">
      <c r="A3374" s="14" t="str">
        <f t="shared" si="52"/>
        <v>01</v>
      </c>
      <c r="R3374"/>
      <c r="S3374"/>
      <c r="T3374"/>
      <c r="V3374"/>
      <c r="W3374"/>
      <c r="X3374"/>
      <c r="Y3374"/>
    </row>
    <row r="3375" spans="1:25" x14ac:dyDescent="0.4">
      <c r="A3375" s="14" t="str">
        <f t="shared" si="52"/>
        <v>01</v>
      </c>
      <c r="R3375"/>
      <c r="S3375"/>
      <c r="T3375"/>
      <c r="V3375"/>
      <c r="W3375"/>
      <c r="X3375"/>
      <c r="Y3375"/>
    </row>
    <row r="3376" spans="1:25" x14ac:dyDescent="0.4">
      <c r="A3376" s="14" t="str">
        <f t="shared" si="52"/>
        <v>01</v>
      </c>
      <c r="R3376"/>
      <c r="S3376"/>
      <c r="T3376"/>
      <c r="V3376"/>
      <c r="W3376"/>
      <c r="X3376"/>
      <c r="Y3376"/>
    </row>
    <row r="3377" spans="1:25" x14ac:dyDescent="0.4">
      <c r="A3377" s="14" t="str">
        <f t="shared" si="52"/>
        <v>01</v>
      </c>
      <c r="R3377"/>
      <c r="S3377"/>
      <c r="T3377"/>
      <c r="V3377"/>
      <c r="W3377"/>
      <c r="X3377"/>
      <c r="Y3377"/>
    </row>
    <row r="3378" spans="1:25" x14ac:dyDescent="0.4">
      <c r="A3378" s="14" t="str">
        <f t="shared" si="52"/>
        <v>01</v>
      </c>
      <c r="R3378"/>
      <c r="S3378"/>
      <c r="T3378"/>
      <c r="V3378"/>
      <c r="W3378"/>
      <c r="X3378"/>
      <c r="Y3378"/>
    </row>
    <row r="3379" spans="1:25" x14ac:dyDescent="0.4">
      <c r="A3379" s="14" t="str">
        <f t="shared" si="52"/>
        <v>01</v>
      </c>
      <c r="R3379"/>
      <c r="S3379"/>
      <c r="T3379"/>
      <c r="V3379"/>
      <c r="W3379"/>
      <c r="X3379"/>
      <c r="Y3379"/>
    </row>
    <row r="3380" spans="1:25" x14ac:dyDescent="0.4">
      <c r="A3380" s="14" t="str">
        <f t="shared" si="52"/>
        <v>01</v>
      </c>
      <c r="R3380"/>
      <c r="S3380"/>
      <c r="T3380"/>
      <c r="V3380"/>
      <c r="W3380"/>
      <c r="X3380"/>
      <c r="Y3380"/>
    </row>
    <row r="3381" spans="1:25" x14ac:dyDescent="0.4">
      <c r="A3381" s="14" t="str">
        <f t="shared" si="52"/>
        <v>01</v>
      </c>
      <c r="R3381"/>
      <c r="S3381"/>
      <c r="T3381"/>
      <c r="V3381"/>
      <c r="W3381"/>
      <c r="X3381"/>
      <c r="Y3381"/>
    </row>
    <row r="3382" spans="1:25" x14ac:dyDescent="0.4">
      <c r="A3382" s="14" t="str">
        <f t="shared" si="52"/>
        <v>01</v>
      </c>
      <c r="R3382"/>
      <c r="S3382"/>
      <c r="T3382"/>
      <c r="V3382"/>
      <c r="W3382"/>
      <c r="X3382"/>
      <c r="Y3382"/>
    </row>
    <row r="3383" spans="1:25" x14ac:dyDescent="0.4">
      <c r="A3383" s="14" t="str">
        <f t="shared" si="52"/>
        <v>01</v>
      </c>
      <c r="R3383"/>
      <c r="S3383"/>
      <c r="T3383"/>
      <c r="V3383"/>
      <c r="W3383"/>
      <c r="X3383"/>
      <c r="Y3383"/>
    </row>
    <row r="3384" spans="1:25" x14ac:dyDescent="0.4">
      <c r="A3384" s="14" t="str">
        <f t="shared" si="52"/>
        <v>01</v>
      </c>
      <c r="R3384"/>
      <c r="S3384"/>
      <c r="T3384"/>
      <c r="V3384"/>
      <c r="W3384"/>
      <c r="X3384"/>
      <c r="Y3384"/>
    </row>
    <row r="3385" spans="1:25" x14ac:dyDescent="0.4">
      <c r="A3385" s="14" t="str">
        <f t="shared" si="52"/>
        <v>01</v>
      </c>
      <c r="R3385"/>
      <c r="S3385"/>
      <c r="T3385"/>
      <c r="V3385"/>
      <c r="W3385"/>
      <c r="X3385"/>
      <c r="Y3385"/>
    </row>
    <row r="3386" spans="1:25" x14ac:dyDescent="0.4">
      <c r="A3386" s="14" t="str">
        <f t="shared" si="52"/>
        <v>01</v>
      </c>
      <c r="R3386"/>
      <c r="S3386"/>
      <c r="T3386"/>
      <c r="V3386"/>
      <c r="W3386"/>
      <c r="X3386"/>
      <c r="Y3386"/>
    </row>
    <row r="3387" spans="1:25" x14ac:dyDescent="0.4">
      <c r="A3387" s="14" t="str">
        <f t="shared" si="52"/>
        <v>01</v>
      </c>
      <c r="R3387"/>
      <c r="S3387"/>
      <c r="T3387"/>
      <c r="V3387"/>
      <c r="W3387"/>
      <c r="X3387"/>
      <c r="Y3387"/>
    </row>
    <row r="3388" spans="1:25" x14ac:dyDescent="0.4">
      <c r="A3388" s="14" t="str">
        <f t="shared" si="52"/>
        <v>01</v>
      </c>
      <c r="R3388"/>
      <c r="S3388"/>
      <c r="T3388"/>
      <c r="V3388"/>
      <c r="W3388"/>
      <c r="X3388"/>
      <c r="Y3388"/>
    </row>
    <row r="3389" spans="1:25" x14ac:dyDescent="0.4">
      <c r="A3389" s="14" t="str">
        <f t="shared" si="52"/>
        <v>01</v>
      </c>
      <c r="R3389"/>
      <c r="S3389"/>
      <c r="T3389"/>
      <c r="V3389"/>
      <c r="W3389"/>
      <c r="X3389"/>
      <c r="Y3389"/>
    </row>
    <row r="3390" spans="1:25" x14ac:dyDescent="0.4">
      <c r="A3390" s="14" t="str">
        <f t="shared" si="52"/>
        <v>01</v>
      </c>
      <c r="R3390"/>
      <c r="S3390"/>
      <c r="T3390"/>
      <c r="V3390"/>
      <c r="W3390"/>
      <c r="X3390"/>
      <c r="Y3390"/>
    </row>
    <row r="3391" spans="1:25" x14ac:dyDescent="0.4">
      <c r="A3391" s="14" t="str">
        <f t="shared" si="52"/>
        <v>01</v>
      </c>
      <c r="R3391"/>
      <c r="S3391"/>
      <c r="T3391"/>
      <c r="V3391"/>
      <c r="W3391"/>
      <c r="X3391"/>
      <c r="Y3391"/>
    </row>
    <row r="3392" spans="1:25" x14ac:dyDescent="0.4">
      <c r="A3392" s="14" t="str">
        <f t="shared" si="52"/>
        <v>01</v>
      </c>
      <c r="R3392"/>
      <c r="S3392"/>
      <c r="T3392"/>
      <c r="V3392"/>
      <c r="W3392"/>
      <c r="X3392"/>
      <c r="Y3392"/>
    </row>
    <row r="3393" spans="1:25" x14ac:dyDescent="0.4">
      <c r="A3393" s="14" t="str">
        <f t="shared" si="52"/>
        <v>01</v>
      </c>
      <c r="R3393"/>
      <c r="S3393"/>
      <c r="T3393"/>
      <c r="V3393"/>
      <c r="W3393"/>
      <c r="X3393"/>
      <c r="Y3393"/>
    </row>
    <row r="3394" spans="1:25" x14ac:dyDescent="0.4">
      <c r="A3394" s="14" t="str">
        <f t="shared" si="52"/>
        <v>01</v>
      </c>
      <c r="R3394"/>
      <c r="S3394"/>
      <c r="T3394"/>
      <c r="V3394"/>
      <c r="W3394"/>
      <c r="X3394"/>
      <c r="Y3394"/>
    </row>
    <row r="3395" spans="1:25" x14ac:dyDescent="0.4">
      <c r="A3395" s="14" t="str">
        <f t="shared" ref="A3395:A3458" si="53">TEXT(L3395,"MM")</f>
        <v>01</v>
      </c>
      <c r="R3395"/>
      <c r="S3395"/>
      <c r="T3395"/>
      <c r="V3395"/>
      <c r="W3395"/>
      <c r="X3395"/>
      <c r="Y3395"/>
    </row>
    <row r="3396" spans="1:25" x14ac:dyDescent="0.4">
      <c r="A3396" s="14" t="str">
        <f t="shared" si="53"/>
        <v>01</v>
      </c>
      <c r="R3396"/>
      <c r="S3396"/>
      <c r="T3396"/>
      <c r="V3396"/>
      <c r="W3396"/>
      <c r="X3396"/>
      <c r="Y3396"/>
    </row>
    <row r="3397" spans="1:25" x14ac:dyDescent="0.4">
      <c r="A3397" s="14" t="str">
        <f t="shared" si="53"/>
        <v>01</v>
      </c>
      <c r="R3397"/>
      <c r="S3397"/>
      <c r="T3397"/>
      <c r="V3397"/>
      <c r="W3397"/>
      <c r="X3397"/>
      <c r="Y3397"/>
    </row>
    <row r="3398" spans="1:25" x14ac:dyDescent="0.4">
      <c r="A3398" s="14" t="str">
        <f t="shared" si="53"/>
        <v>01</v>
      </c>
      <c r="R3398"/>
      <c r="S3398"/>
      <c r="T3398"/>
      <c r="V3398"/>
      <c r="W3398"/>
      <c r="X3398"/>
      <c r="Y3398"/>
    </row>
    <row r="3399" spans="1:25" x14ac:dyDescent="0.4">
      <c r="A3399" s="14" t="str">
        <f t="shared" si="53"/>
        <v>01</v>
      </c>
      <c r="R3399"/>
      <c r="S3399"/>
      <c r="T3399"/>
      <c r="V3399"/>
      <c r="W3399"/>
      <c r="X3399"/>
      <c r="Y3399"/>
    </row>
    <row r="3400" spans="1:25" x14ac:dyDescent="0.4">
      <c r="A3400" s="14" t="str">
        <f t="shared" si="53"/>
        <v>01</v>
      </c>
      <c r="R3400"/>
      <c r="S3400"/>
      <c r="T3400"/>
      <c r="V3400"/>
      <c r="W3400"/>
      <c r="X3400"/>
      <c r="Y3400"/>
    </row>
    <row r="3401" spans="1:25" x14ac:dyDescent="0.4">
      <c r="A3401" s="14" t="str">
        <f t="shared" si="53"/>
        <v>01</v>
      </c>
      <c r="R3401"/>
      <c r="S3401"/>
      <c r="T3401"/>
      <c r="V3401"/>
      <c r="W3401"/>
      <c r="X3401"/>
      <c r="Y3401"/>
    </row>
    <row r="3402" spans="1:25" x14ac:dyDescent="0.4">
      <c r="A3402" s="14" t="str">
        <f t="shared" si="53"/>
        <v>01</v>
      </c>
      <c r="R3402"/>
      <c r="S3402"/>
      <c r="T3402"/>
      <c r="V3402"/>
      <c r="W3402"/>
      <c r="X3402"/>
      <c r="Y3402"/>
    </row>
    <row r="3403" spans="1:25" x14ac:dyDescent="0.4">
      <c r="A3403" s="14" t="str">
        <f t="shared" si="53"/>
        <v>01</v>
      </c>
      <c r="R3403"/>
      <c r="S3403"/>
      <c r="T3403"/>
      <c r="V3403"/>
      <c r="W3403"/>
      <c r="X3403"/>
      <c r="Y3403"/>
    </row>
    <row r="3404" spans="1:25" x14ac:dyDescent="0.4">
      <c r="A3404" s="14" t="str">
        <f t="shared" si="53"/>
        <v>01</v>
      </c>
      <c r="R3404"/>
      <c r="S3404"/>
      <c r="T3404"/>
      <c r="V3404"/>
      <c r="W3404"/>
      <c r="X3404"/>
      <c r="Y3404"/>
    </row>
    <row r="3405" spans="1:25" x14ac:dyDescent="0.4">
      <c r="A3405" s="14" t="str">
        <f t="shared" si="53"/>
        <v>01</v>
      </c>
      <c r="R3405"/>
      <c r="S3405"/>
      <c r="T3405"/>
      <c r="V3405"/>
      <c r="W3405"/>
      <c r="X3405"/>
      <c r="Y3405"/>
    </row>
    <row r="3406" spans="1:25" x14ac:dyDescent="0.4">
      <c r="A3406" s="14" t="str">
        <f t="shared" si="53"/>
        <v>01</v>
      </c>
      <c r="R3406"/>
      <c r="S3406"/>
      <c r="T3406"/>
      <c r="V3406"/>
      <c r="W3406"/>
      <c r="X3406"/>
      <c r="Y3406"/>
    </row>
    <row r="3407" spans="1:25" x14ac:dyDescent="0.4">
      <c r="A3407" s="14" t="str">
        <f t="shared" si="53"/>
        <v>01</v>
      </c>
      <c r="R3407"/>
      <c r="S3407"/>
      <c r="T3407"/>
      <c r="V3407"/>
      <c r="W3407"/>
      <c r="X3407"/>
      <c r="Y3407"/>
    </row>
    <row r="3408" spans="1:25" x14ac:dyDescent="0.4">
      <c r="A3408" s="14" t="str">
        <f t="shared" si="53"/>
        <v>01</v>
      </c>
      <c r="R3408"/>
      <c r="S3408"/>
      <c r="T3408"/>
      <c r="V3408"/>
      <c r="W3408"/>
      <c r="X3408"/>
      <c r="Y3408"/>
    </row>
    <row r="3409" spans="1:25" x14ac:dyDescent="0.4">
      <c r="A3409" s="14" t="str">
        <f t="shared" si="53"/>
        <v>01</v>
      </c>
      <c r="R3409"/>
      <c r="S3409"/>
      <c r="T3409"/>
      <c r="V3409"/>
      <c r="W3409"/>
      <c r="X3409"/>
      <c r="Y3409"/>
    </row>
    <row r="3410" spans="1:25" x14ac:dyDescent="0.4">
      <c r="A3410" s="14" t="str">
        <f t="shared" si="53"/>
        <v>01</v>
      </c>
      <c r="R3410"/>
      <c r="S3410"/>
      <c r="T3410"/>
      <c r="V3410"/>
      <c r="W3410"/>
      <c r="X3410"/>
      <c r="Y3410"/>
    </row>
    <row r="3411" spans="1:25" x14ac:dyDescent="0.4">
      <c r="A3411" s="14" t="str">
        <f t="shared" si="53"/>
        <v>01</v>
      </c>
      <c r="R3411"/>
      <c r="S3411"/>
      <c r="T3411"/>
      <c r="V3411"/>
      <c r="W3411"/>
      <c r="X3411"/>
      <c r="Y3411"/>
    </row>
    <row r="3412" spans="1:25" x14ac:dyDescent="0.4">
      <c r="A3412" s="14" t="str">
        <f t="shared" si="53"/>
        <v>01</v>
      </c>
      <c r="R3412"/>
      <c r="S3412"/>
      <c r="T3412"/>
      <c r="V3412"/>
      <c r="W3412"/>
      <c r="X3412"/>
      <c r="Y3412"/>
    </row>
    <row r="3413" spans="1:25" x14ac:dyDescent="0.4">
      <c r="A3413" s="14" t="str">
        <f t="shared" si="53"/>
        <v>01</v>
      </c>
      <c r="R3413"/>
      <c r="S3413"/>
      <c r="T3413"/>
      <c r="V3413"/>
      <c r="W3413"/>
      <c r="X3413"/>
      <c r="Y3413"/>
    </row>
    <row r="3414" spans="1:25" x14ac:dyDescent="0.4">
      <c r="A3414" s="14" t="str">
        <f t="shared" si="53"/>
        <v>01</v>
      </c>
      <c r="R3414"/>
      <c r="S3414"/>
      <c r="T3414"/>
      <c r="V3414"/>
      <c r="W3414"/>
      <c r="X3414"/>
      <c r="Y3414"/>
    </row>
    <row r="3415" spans="1:25" x14ac:dyDescent="0.4">
      <c r="A3415" s="14" t="str">
        <f t="shared" si="53"/>
        <v>01</v>
      </c>
      <c r="R3415"/>
      <c r="S3415"/>
      <c r="T3415"/>
      <c r="V3415"/>
      <c r="W3415"/>
      <c r="X3415"/>
      <c r="Y3415"/>
    </row>
    <row r="3416" spans="1:25" x14ac:dyDescent="0.4">
      <c r="A3416" s="14" t="str">
        <f t="shared" si="53"/>
        <v>01</v>
      </c>
      <c r="R3416"/>
      <c r="S3416"/>
      <c r="T3416"/>
      <c r="V3416"/>
      <c r="W3416"/>
      <c r="X3416"/>
      <c r="Y3416"/>
    </row>
    <row r="3417" spans="1:25" x14ac:dyDescent="0.4">
      <c r="A3417" s="14" t="str">
        <f t="shared" si="53"/>
        <v>01</v>
      </c>
      <c r="R3417"/>
      <c r="S3417"/>
      <c r="T3417"/>
      <c r="V3417"/>
      <c r="W3417"/>
      <c r="X3417"/>
      <c r="Y3417"/>
    </row>
    <row r="3418" spans="1:25" x14ac:dyDescent="0.4">
      <c r="A3418" s="14" t="str">
        <f t="shared" si="53"/>
        <v>01</v>
      </c>
      <c r="R3418"/>
      <c r="S3418"/>
      <c r="T3418"/>
      <c r="V3418"/>
      <c r="W3418"/>
      <c r="X3418"/>
      <c r="Y3418"/>
    </row>
    <row r="3419" spans="1:25" x14ac:dyDescent="0.4">
      <c r="A3419" s="14" t="str">
        <f t="shared" si="53"/>
        <v>01</v>
      </c>
      <c r="R3419"/>
      <c r="S3419"/>
      <c r="T3419"/>
      <c r="V3419"/>
      <c r="W3419"/>
      <c r="X3419"/>
      <c r="Y3419"/>
    </row>
    <row r="3420" spans="1:25" x14ac:dyDescent="0.4">
      <c r="A3420" s="14" t="str">
        <f t="shared" si="53"/>
        <v>01</v>
      </c>
      <c r="R3420"/>
      <c r="S3420"/>
      <c r="T3420"/>
      <c r="V3420"/>
      <c r="W3420"/>
      <c r="X3420"/>
      <c r="Y3420"/>
    </row>
    <row r="3421" spans="1:25" x14ac:dyDescent="0.4">
      <c r="A3421" s="14" t="str">
        <f t="shared" si="53"/>
        <v>01</v>
      </c>
      <c r="R3421"/>
      <c r="S3421"/>
      <c r="T3421"/>
      <c r="V3421"/>
      <c r="W3421"/>
      <c r="X3421"/>
      <c r="Y3421"/>
    </row>
    <row r="3422" spans="1:25" x14ac:dyDescent="0.4">
      <c r="A3422" s="14" t="str">
        <f t="shared" si="53"/>
        <v>01</v>
      </c>
      <c r="R3422"/>
      <c r="S3422"/>
      <c r="T3422"/>
      <c r="V3422"/>
      <c r="W3422"/>
      <c r="X3422"/>
      <c r="Y3422"/>
    </row>
    <row r="3423" spans="1:25" x14ac:dyDescent="0.4">
      <c r="A3423" s="14" t="str">
        <f t="shared" si="53"/>
        <v>01</v>
      </c>
      <c r="R3423"/>
      <c r="S3423"/>
      <c r="T3423"/>
      <c r="V3423"/>
      <c r="W3423"/>
      <c r="X3423"/>
      <c r="Y3423"/>
    </row>
    <row r="3424" spans="1:25" x14ac:dyDescent="0.4">
      <c r="A3424" s="14" t="str">
        <f t="shared" si="53"/>
        <v>01</v>
      </c>
      <c r="R3424"/>
      <c r="S3424"/>
      <c r="T3424"/>
      <c r="V3424"/>
      <c r="W3424"/>
      <c r="X3424"/>
      <c r="Y3424"/>
    </row>
    <row r="3425" spans="1:25" x14ac:dyDescent="0.4">
      <c r="A3425" s="14" t="str">
        <f t="shared" si="53"/>
        <v>01</v>
      </c>
      <c r="R3425"/>
      <c r="S3425"/>
      <c r="T3425"/>
      <c r="V3425"/>
      <c r="W3425"/>
      <c r="X3425"/>
      <c r="Y3425"/>
    </row>
    <row r="3426" spans="1:25" x14ac:dyDescent="0.4">
      <c r="A3426" s="14" t="str">
        <f t="shared" si="53"/>
        <v>01</v>
      </c>
      <c r="R3426"/>
      <c r="S3426"/>
      <c r="T3426"/>
      <c r="V3426"/>
      <c r="W3426"/>
      <c r="X3426"/>
      <c r="Y3426"/>
    </row>
    <row r="3427" spans="1:25" x14ac:dyDescent="0.4">
      <c r="A3427" s="14" t="str">
        <f t="shared" si="53"/>
        <v>01</v>
      </c>
      <c r="R3427"/>
      <c r="S3427"/>
      <c r="T3427"/>
      <c r="V3427"/>
      <c r="W3427"/>
      <c r="X3427"/>
      <c r="Y3427"/>
    </row>
    <row r="3428" spans="1:25" x14ac:dyDescent="0.4">
      <c r="A3428" s="14" t="str">
        <f t="shared" si="53"/>
        <v>01</v>
      </c>
      <c r="R3428"/>
      <c r="S3428"/>
      <c r="T3428"/>
      <c r="V3428"/>
      <c r="W3428"/>
      <c r="X3428"/>
      <c r="Y3428"/>
    </row>
    <row r="3429" spans="1:25" x14ac:dyDescent="0.4">
      <c r="A3429" s="14" t="str">
        <f t="shared" si="53"/>
        <v>01</v>
      </c>
      <c r="R3429"/>
      <c r="S3429"/>
      <c r="T3429"/>
      <c r="V3429"/>
      <c r="W3429"/>
      <c r="X3429"/>
      <c r="Y3429"/>
    </row>
    <row r="3430" spans="1:25" x14ac:dyDescent="0.4">
      <c r="A3430" s="14" t="str">
        <f t="shared" si="53"/>
        <v>01</v>
      </c>
      <c r="R3430"/>
      <c r="S3430"/>
      <c r="T3430"/>
      <c r="V3430"/>
      <c r="W3430"/>
      <c r="X3430"/>
      <c r="Y3430"/>
    </row>
    <row r="3431" spans="1:25" x14ac:dyDescent="0.4">
      <c r="A3431" s="14" t="str">
        <f t="shared" si="53"/>
        <v>01</v>
      </c>
      <c r="R3431"/>
      <c r="S3431"/>
      <c r="T3431"/>
      <c r="V3431"/>
      <c r="W3431"/>
      <c r="X3431"/>
      <c r="Y3431"/>
    </row>
    <row r="3432" spans="1:25" x14ac:dyDescent="0.4">
      <c r="A3432" s="14" t="str">
        <f t="shared" si="53"/>
        <v>01</v>
      </c>
      <c r="R3432"/>
      <c r="S3432"/>
      <c r="T3432"/>
      <c r="V3432"/>
      <c r="W3432"/>
      <c r="X3432"/>
      <c r="Y3432"/>
    </row>
    <row r="3433" spans="1:25" x14ac:dyDescent="0.4">
      <c r="A3433" s="14" t="str">
        <f t="shared" si="53"/>
        <v>01</v>
      </c>
      <c r="R3433"/>
      <c r="S3433"/>
      <c r="T3433"/>
      <c r="V3433"/>
      <c r="W3433"/>
      <c r="X3433"/>
      <c r="Y3433"/>
    </row>
    <row r="3434" spans="1:25" x14ac:dyDescent="0.4">
      <c r="A3434" s="14" t="str">
        <f t="shared" si="53"/>
        <v>01</v>
      </c>
      <c r="R3434"/>
      <c r="S3434"/>
      <c r="T3434"/>
      <c r="V3434"/>
      <c r="W3434"/>
      <c r="X3434"/>
      <c r="Y3434"/>
    </row>
    <row r="3435" spans="1:25" x14ac:dyDescent="0.4">
      <c r="A3435" s="14" t="str">
        <f t="shared" si="53"/>
        <v>01</v>
      </c>
      <c r="R3435"/>
      <c r="S3435"/>
      <c r="T3435"/>
      <c r="V3435"/>
      <c r="W3435"/>
      <c r="X3435"/>
      <c r="Y3435"/>
    </row>
    <row r="3436" spans="1:25" x14ac:dyDescent="0.4">
      <c r="A3436" s="14" t="str">
        <f t="shared" si="53"/>
        <v>01</v>
      </c>
      <c r="R3436"/>
      <c r="S3436"/>
      <c r="T3436"/>
      <c r="V3436"/>
      <c r="W3436"/>
      <c r="X3436"/>
      <c r="Y3436"/>
    </row>
    <row r="3437" spans="1:25" x14ac:dyDescent="0.4">
      <c r="A3437" s="14" t="str">
        <f t="shared" si="53"/>
        <v>01</v>
      </c>
      <c r="R3437"/>
      <c r="S3437"/>
      <c r="T3437"/>
      <c r="V3437"/>
      <c r="W3437"/>
      <c r="X3437"/>
      <c r="Y3437"/>
    </row>
    <row r="3438" spans="1:25" x14ac:dyDescent="0.4">
      <c r="A3438" s="14" t="str">
        <f t="shared" si="53"/>
        <v>01</v>
      </c>
      <c r="R3438"/>
      <c r="S3438"/>
      <c r="T3438"/>
      <c r="V3438"/>
      <c r="W3438"/>
      <c r="X3438"/>
      <c r="Y3438"/>
    </row>
    <row r="3439" spans="1:25" x14ac:dyDescent="0.4">
      <c r="A3439" s="14" t="str">
        <f t="shared" si="53"/>
        <v>01</v>
      </c>
      <c r="R3439"/>
      <c r="S3439"/>
      <c r="T3439"/>
      <c r="V3439"/>
      <c r="W3439"/>
      <c r="X3439"/>
      <c r="Y3439"/>
    </row>
    <row r="3440" spans="1:25" x14ac:dyDescent="0.4">
      <c r="A3440" s="14" t="str">
        <f t="shared" si="53"/>
        <v>01</v>
      </c>
      <c r="R3440"/>
      <c r="S3440"/>
      <c r="T3440"/>
      <c r="V3440"/>
      <c r="W3440"/>
      <c r="X3440"/>
      <c r="Y3440"/>
    </row>
    <row r="3441" spans="1:25" x14ac:dyDescent="0.4">
      <c r="A3441" s="14" t="str">
        <f t="shared" si="53"/>
        <v>01</v>
      </c>
      <c r="R3441"/>
      <c r="S3441"/>
      <c r="T3441"/>
      <c r="V3441"/>
      <c r="W3441"/>
      <c r="X3441"/>
      <c r="Y3441"/>
    </row>
    <row r="3442" spans="1:25" x14ac:dyDescent="0.4">
      <c r="A3442" s="14" t="str">
        <f t="shared" si="53"/>
        <v>01</v>
      </c>
      <c r="R3442"/>
      <c r="S3442"/>
      <c r="T3442"/>
      <c r="V3442"/>
      <c r="W3442"/>
      <c r="X3442"/>
      <c r="Y3442"/>
    </row>
    <row r="3443" spans="1:25" x14ac:dyDescent="0.4">
      <c r="A3443" s="14" t="str">
        <f t="shared" si="53"/>
        <v>01</v>
      </c>
      <c r="R3443"/>
      <c r="S3443"/>
      <c r="T3443"/>
      <c r="V3443"/>
      <c r="W3443"/>
      <c r="X3443"/>
      <c r="Y3443"/>
    </row>
    <row r="3444" spans="1:25" x14ac:dyDescent="0.4">
      <c r="A3444" s="14" t="str">
        <f t="shared" si="53"/>
        <v>01</v>
      </c>
      <c r="R3444"/>
      <c r="S3444"/>
      <c r="T3444"/>
      <c r="V3444"/>
      <c r="W3444"/>
      <c r="X3444"/>
      <c r="Y3444"/>
    </row>
    <row r="3445" spans="1:25" x14ac:dyDescent="0.4">
      <c r="A3445" s="14" t="str">
        <f t="shared" si="53"/>
        <v>01</v>
      </c>
      <c r="R3445"/>
      <c r="S3445"/>
      <c r="T3445"/>
      <c r="V3445"/>
      <c r="W3445"/>
      <c r="X3445"/>
      <c r="Y3445"/>
    </row>
    <row r="3446" spans="1:25" x14ac:dyDescent="0.4">
      <c r="A3446" s="14" t="str">
        <f t="shared" si="53"/>
        <v>01</v>
      </c>
      <c r="R3446"/>
      <c r="S3446"/>
      <c r="T3446"/>
      <c r="V3446"/>
      <c r="W3446"/>
      <c r="X3446"/>
      <c r="Y3446"/>
    </row>
    <row r="3447" spans="1:25" x14ac:dyDescent="0.4">
      <c r="A3447" s="14" t="str">
        <f t="shared" si="53"/>
        <v>01</v>
      </c>
      <c r="R3447"/>
      <c r="S3447"/>
      <c r="T3447"/>
      <c r="V3447"/>
      <c r="W3447"/>
      <c r="X3447"/>
      <c r="Y3447"/>
    </row>
    <row r="3448" spans="1:25" x14ac:dyDescent="0.4">
      <c r="A3448" s="14" t="str">
        <f t="shared" si="53"/>
        <v>01</v>
      </c>
      <c r="R3448"/>
      <c r="S3448"/>
      <c r="T3448"/>
      <c r="V3448"/>
      <c r="W3448"/>
      <c r="X3448"/>
      <c r="Y3448"/>
    </row>
    <row r="3449" spans="1:25" x14ac:dyDescent="0.4">
      <c r="A3449" s="14" t="str">
        <f t="shared" si="53"/>
        <v>01</v>
      </c>
      <c r="R3449"/>
      <c r="S3449"/>
      <c r="T3449"/>
      <c r="V3449"/>
      <c r="W3449"/>
      <c r="X3449"/>
      <c r="Y3449"/>
    </row>
    <row r="3450" spans="1:25" x14ac:dyDescent="0.4">
      <c r="A3450" s="14" t="str">
        <f t="shared" si="53"/>
        <v>01</v>
      </c>
      <c r="R3450"/>
      <c r="S3450"/>
      <c r="T3450"/>
      <c r="V3450"/>
      <c r="W3450"/>
      <c r="X3450"/>
      <c r="Y3450"/>
    </row>
    <row r="3451" spans="1:25" x14ac:dyDescent="0.4">
      <c r="A3451" s="14" t="str">
        <f t="shared" si="53"/>
        <v>01</v>
      </c>
      <c r="R3451"/>
      <c r="S3451"/>
      <c r="T3451"/>
      <c r="V3451"/>
      <c r="W3451"/>
      <c r="X3451"/>
      <c r="Y3451"/>
    </row>
    <row r="3452" spans="1:25" x14ac:dyDescent="0.4">
      <c r="A3452" s="14" t="str">
        <f t="shared" si="53"/>
        <v>01</v>
      </c>
      <c r="R3452"/>
      <c r="S3452"/>
      <c r="T3452"/>
      <c r="V3452"/>
      <c r="W3452"/>
      <c r="X3452"/>
      <c r="Y3452"/>
    </row>
    <row r="3453" spans="1:25" x14ac:dyDescent="0.4">
      <c r="A3453" s="14" t="str">
        <f t="shared" si="53"/>
        <v>01</v>
      </c>
      <c r="R3453"/>
      <c r="S3453"/>
      <c r="T3453"/>
      <c r="V3453"/>
      <c r="W3453"/>
      <c r="X3453"/>
      <c r="Y3453"/>
    </row>
    <row r="3454" spans="1:25" x14ac:dyDescent="0.4">
      <c r="A3454" s="14" t="str">
        <f t="shared" si="53"/>
        <v>01</v>
      </c>
      <c r="R3454"/>
      <c r="S3454"/>
      <c r="T3454"/>
      <c r="V3454"/>
      <c r="W3454"/>
      <c r="X3454"/>
      <c r="Y3454"/>
    </row>
    <row r="3455" spans="1:25" x14ac:dyDescent="0.4">
      <c r="A3455" s="14" t="str">
        <f t="shared" si="53"/>
        <v>01</v>
      </c>
      <c r="R3455"/>
      <c r="S3455"/>
      <c r="T3455"/>
      <c r="V3455"/>
      <c r="W3455"/>
      <c r="X3455"/>
      <c r="Y3455"/>
    </row>
    <row r="3456" spans="1:25" x14ac:dyDescent="0.4">
      <c r="A3456" s="14" t="str">
        <f t="shared" si="53"/>
        <v>01</v>
      </c>
      <c r="R3456"/>
      <c r="S3456"/>
      <c r="T3456"/>
      <c r="V3456"/>
      <c r="W3456"/>
      <c r="X3456"/>
      <c r="Y3456"/>
    </row>
    <row r="3457" spans="1:25" x14ac:dyDescent="0.4">
      <c r="A3457" s="14" t="str">
        <f t="shared" si="53"/>
        <v>01</v>
      </c>
      <c r="R3457"/>
      <c r="S3457"/>
      <c r="T3457"/>
      <c r="V3457"/>
      <c r="W3457"/>
      <c r="X3457"/>
      <c r="Y3457"/>
    </row>
    <row r="3458" spans="1:25" x14ac:dyDescent="0.4">
      <c r="A3458" s="14" t="str">
        <f t="shared" si="53"/>
        <v>01</v>
      </c>
      <c r="R3458"/>
      <c r="S3458"/>
      <c r="T3458"/>
      <c r="V3458"/>
      <c r="W3458"/>
      <c r="X3458"/>
      <c r="Y3458"/>
    </row>
    <row r="3459" spans="1:25" x14ac:dyDescent="0.4">
      <c r="A3459" s="14" t="str">
        <f t="shared" ref="A3459:A3480" si="54">TEXT(L3459,"MM")</f>
        <v>01</v>
      </c>
      <c r="R3459"/>
      <c r="S3459"/>
      <c r="T3459"/>
      <c r="V3459"/>
      <c r="W3459"/>
      <c r="X3459"/>
      <c r="Y3459"/>
    </row>
    <row r="3460" spans="1:25" x14ac:dyDescent="0.4">
      <c r="A3460" s="14" t="str">
        <f t="shared" si="54"/>
        <v>01</v>
      </c>
      <c r="R3460"/>
      <c r="S3460"/>
      <c r="T3460"/>
      <c r="V3460"/>
      <c r="W3460"/>
      <c r="X3460"/>
      <c r="Y3460"/>
    </row>
    <row r="3461" spans="1:25" x14ac:dyDescent="0.4">
      <c r="A3461" s="14" t="str">
        <f t="shared" si="54"/>
        <v>01</v>
      </c>
      <c r="R3461"/>
      <c r="S3461"/>
      <c r="T3461"/>
      <c r="V3461"/>
      <c r="W3461"/>
      <c r="X3461"/>
      <c r="Y3461"/>
    </row>
    <row r="3462" spans="1:25" x14ac:dyDescent="0.4">
      <c r="A3462" s="14" t="str">
        <f t="shared" si="54"/>
        <v>01</v>
      </c>
      <c r="R3462"/>
      <c r="S3462"/>
      <c r="T3462"/>
      <c r="V3462"/>
      <c r="W3462"/>
      <c r="X3462"/>
      <c r="Y3462"/>
    </row>
    <row r="3463" spans="1:25" x14ac:dyDescent="0.4">
      <c r="A3463" s="14" t="str">
        <f t="shared" si="54"/>
        <v>01</v>
      </c>
      <c r="R3463"/>
      <c r="S3463"/>
      <c r="T3463"/>
      <c r="V3463"/>
      <c r="W3463"/>
      <c r="X3463"/>
      <c r="Y3463"/>
    </row>
    <row r="3464" spans="1:25" x14ac:dyDescent="0.4">
      <c r="A3464" s="14" t="str">
        <f t="shared" si="54"/>
        <v>01</v>
      </c>
      <c r="R3464"/>
      <c r="S3464"/>
      <c r="T3464"/>
      <c r="V3464"/>
      <c r="W3464"/>
      <c r="X3464"/>
      <c r="Y3464"/>
    </row>
    <row r="3465" spans="1:25" x14ac:dyDescent="0.4">
      <c r="A3465" s="14" t="str">
        <f t="shared" si="54"/>
        <v>01</v>
      </c>
      <c r="R3465"/>
      <c r="S3465"/>
      <c r="T3465"/>
      <c r="V3465"/>
      <c r="W3465"/>
      <c r="X3465"/>
      <c r="Y3465"/>
    </row>
    <row r="3466" spans="1:25" x14ac:dyDescent="0.4">
      <c r="A3466" s="14" t="str">
        <f t="shared" si="54"/>
        <v>01</v>
      </c>
      <c r="R3466"/>
      <c r="S3466"/>
      <c r="T3466"/>
      <c r="V3466"/>
      <c r="W3466"/>
      <c r="X3466"/>
      <c r="Y3466"/>
    </row>
    <row r="3467" spans="1:25" x14ac:dyDescent="0.4">
      <c r="A3467" s="14" t="str">
        <f t="shared" si="54"/>
        <v>01</v>
      </c>
      <c r="R3467"/>
      <c r="S3467"/>
      <c r="T3467"/>
      <c r="V3467"/>
      <c r="W3467"/>
      <c r="X3467"/>
      <c r="Y3467"/>
    </row>
    <row r="3468" spans="1:25" x14ac:dyDescent="0.4">
      <c r="A3468" s="14" t="str">
        <f t="shared" si="54"/>
        <v>01</v>
      </c>
      <c r="R3468"/>
      <c r="S3468"/>
      <c r="T3468"/>
      <c r="V3468"/>
      <c r="W3468"/>
      <c r="X3468"/>
      <c r="Y3468"/>
    </row>
    <row r="3469" spans="1:25" x14ac:dyDescent="0.4">
      <c r="A3469" s="14" t="str">
        <f t="shared" si="54"/>
        <v>01</v>
      </c>
      <c r="R3469"/>
      <c r="S3469"/>
      <c r="T3469"/>
      <c r="V3469"/>
      <c r="W3469"/>
      <c r="X3469"/>
      <c r="Y3469"/>
    </row>
    <row r="3470" spans="1:25" x14ac:dyDescent="0.4">
      <c r="A3470" s="14" t="str">
        <f t="shared" si="54"/>
        <v>01</v>
      </c>
      <c r="R3470"/>
      <c r="S3470"/>
      <c r="T3470"/>
      <c r="V3470"/>
      <c r="W3470"/>
      <c r="X3470"/>
      <c r="Y3470"/>
    </row>
    <row r="3471" spans="1:25" x14ac:dyDescent="0.4">
      <c r="A3471" s="14" t="str">
        <f t="shared" si="54"/>
        <v>01</v>
      </c>
      <c r="R3471"/>
      <c r="S3471"/>
      <c r="T3471"/>
      <c r="V3471"/>
      <c r="W3471"/>
      <c r="X3471"/>
      <c r="Y3471"/>
    </row>
    <row r="3472" spans="1:25" x14ac:dyDescent="0.4">
      <c r="A3472" s="14" t="str">
        <f t="shared" si="54"/>
        <v>01</v>
      </c>
      <c r="R3472"/>
      <c r="S3472"/>
      <c r="T3472"/>
      <c r="V3472"/>
      <c r="W3472"/>
      <c r="X3472"/>
      <c r="Y3472"/>
    </row>
    <row r="3473" spans="1:25" x14ac:dyDescent="0.4">
      <c r="A3473" s="14" t="str">
        <f t="shared" si="54"/>
        <v>01</v>
      </c>
      <c r="R3473"/>
      <c r="S3473"/>
      <c r="T3473"/>
      <c r="V3473"/>
      <c r="W3473"/>
      <c r="X3473"/>
      <c r="Y3473"/>
    </row>
    <row r="3474" spans="1:25" x14ac:dyDescent="0.4">
      <c r="A3474" s="14" t="str">
        <f t="shared" si="54"/>
        <v>01</v>
      </c>
      <c r="R3474"/>
      <c r="S3474"/>
      <c r="T3474"/>
      <c r="V3474"/>
      <c r="W3474"/>
      <c r="X3474"/>
      <c r="Y3474"/>
    </row>
    <row r="3475" spans="1:25" x14ac:dyDescent="0.4">
      <c r="A3475" s="14" t="str">
        <f t="shared" si="54"/>
        <v>01</v>
      </c>
      <c r="R3475"/>
      <c r="S3475"/>
      <c r="T3475"/>
      <c r="V3475"/>
      <c r="W3475"/>
      <c r="X3475"/>
      <c r="Y3475"/>
    </row>
    <row r="3476" spans="1:25" x14ac:dyDescent="0.4">
      <c r="A3476" s="14" t="str">
        <f t="shared" si="54"/>
        <v>01</v>
      </c>
      <c r="R3476"/>
      <c r="S3476"/>
      <c r="T3476"/>
      <c r="V3476"/>
      <c r="W3476"/>
      <c r="X3476"/>
      <c r="Y3476"/>
    </row>
    <row r="3477" spans="1:25" x14ac:dyDescent="0.4">
      <c r="A3477" s="14" t="str">
        <f t="shared" si="54"/>
        <v>01</v>
      </c>
      <c r="R3477"/>
      <c r="S3477"/>
      <c r="T3477"/>
      <c r="V3477"/>
      <c r="W3477"/>
      <c r="X3477"/>
      <c r="Y3477"/>
    </row>
    <row r="3478" spans="1:25" x14ac:dyDescent="0.4">
      <c r="A3478" s="14" t="str">
        <f t="shared" si="54"/>
        <v>01</v>
      </c>
      <c r="R3478"/>
      <c r="S3478"/>
      <c r="T3478"/>
      <c r="V3478"/>
      <c r="W3478"/>
      <c r="X3478"/>
      <c r="Y3478"/>
    </row>
    <row r="3479" spans="1:25" x14ac:dyDescent="0.4">
      <c r="A3479" s="14" t="str">
        <f t="shared" si="54"/>
        <v>01</v>
      </c>
      <c r="R3479"/>
      <c r="S3479"/>
      <c r="T3479"/>
      <c r="V3479"/>
      <c r="W3479"/>
      <c r="X3479"/>
      <c r="Y3479"/>
    </row>
    <row r="3480" spans="1:25" x14ac:dyDescent="0.4">
      <c r="A3480" s="14" t="str">
        <f t="shared" si="54"/>
        <v>01</v>
      </c>
      <c r="R3480"/>
      <c r="S3480"/>
      <c r="T3480"/>
      <c r="V3480"/>
      <c r="W3480"/>
      <c r="X3480"/>
      <c r="Y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sqref="A1:A1048576"/>
    </sheetView>
  </sheetViews>
  <sheetFormatPr defaultRowHeight="17.399999999999999" x14ac:dyDescent="0.4"/>
  <cols>
    <col min="1" max="1" width="14.69921875" customWidth="1"/>
    <col min="2" max="2" width="12.69921875" customWidth="1"/>
    <col min="3" max="3" width="15.69921875" customWidth="1"/>
    <col min="4" max="4" width="14.69921875" customWidth="1"/>
    <col min="5" max="5" width="12.69921875" customWidth="1"/>
  </cols>
  <sheetData>
    <row r="1" spans="1:11" ht="22.95" customHeight="1" thickBot="1" x14ac:dyDescent="0.45">
      <c r="A1" s="2" t="s">
        <v>13</v>
      </c>
      <c r="B1" s="3" t="s">
        <v>0</v>
      </c>
      <c r="C1" s="3" t="s">
        <v>3</v>
      </c>
      <c r="D1" s="3" t="s">
        <v>1</v>
      </c>
      <c r="E1" s="3" t="s">
        <v>4</v>
      </c>
      <c r="G1">
        <v>14</v>
      </c>
    </row>
    <row r="2" spans="1:11" ht="25.05" customHeight="1" thickBot="1" x14ac:dyDescent="0.45">
      <c r="A2" s="17" t="str">
        <f>IF(ShipmentDownload!L2="","",ShipmentDownload!L2)</f>
        <v>Completed</v>
      </c>
      <c r="B2" s="6">
        <f>IF(ShipmentDownload!C2="","",ShipmentDownload!C2)</f>
        <v>11561</v>
      </c>
      <c r="C2" s="7" t="str">
        <f>IF(ShipmentDownload!H2="","",ShipmentDownload!H2)</f>
        <v>박용서</v>
      </c>
      <c r="D2" s="7" t="str">
        <f>IF(ShipmentDownload!I2="","",ShipmentDownload!I2)</f>
        <v/>
      </c>
      <c r="E2" s="7" t="str">
        <f>IF(ShipmentDownload!J2="","",ShipmentDownload!J2)</f>
        <v>Inbound</v>
      </c>
      <c r="G2">
        <v>12</v>
      </c>
      <c r="K2" s="5"/>
    </row>
    <row r="3" spans="1:11" ht="25.05" customHeight="1" thickBot="1" x14ac:dyDescent="0.45">
      <c r="A3" s="17" t="str">
        <f>IF(ShipmentDownload!L3="","",ShipmentDownload!L3)</f>
        <v>Completed</v>
      </c>
      <c r="B3" s="6">
        <f>IF(ShipmentDownload!C3="","",ShipmentDownload!C3)</f>
        <v>7603</v>
      </c>
      <c r="C3" s="7" t="str">
        <f>IF(ShipmentDownload!H3="","",ShipmentDownload!H3)</f>
        <v>박용서</v>
      </c>
      <c r="D3" s="7" t="str">
        <f>IF(ShipmentDownload!I3="","",ShipmentDownload!I3)</f>
        <v/>
      </c>
      <c r="E3" s="7" t="str">
        <f>IF(ShipmentDownload!J3="","",ShipmentDownload!J3)</f>
        <v>Inbound</v>
      </c>
      <c r="G3">
        <v>15</v>
      </c>
    </row>
    <row r="4" spans="1:11" ht="25.05" customHeight="1" thickBot="1" x14ac:dyDescent="0.45">
      <c r="A4" s="17" t="str">
        <f>IF(ShipmentDownload!L4="","",ShipmentDownload!L4)</f>
        <v>Completed</v>
      </c>
      <c r="B4" s="6">
        <f>IF(ShipmentDownload!C4="","",ShipmentDownload!C4)</f>
        <v>7397</v>
      </c>
      <c r="C4" s="7" t="str">
        <f>IF(ShipmentDownload!H4="","",ShipmentDownload!H4)</f>
        <v>박용서</v>
      </c>
      <c r="D4" s="7" t="str">
        <f>IF(ShipmentDownload!I4="","",ShipmentDownload!I4)</f>
        <v/>
      </c>
      <c r="E4" s="7" t="str">
        <f>IF(ShipmentDownload!J4="","",ShipmentDownload!J4)</f>
        <v>Inbound</v>
      </c>
      <c r="G4">
        <v>14</v>
      </c>
    </row>
    <row r="5" spans="1:11" ht="25.05" customHeight="1" thickBot="1" x14ac:dyDescent="0.45">
      <c r="A5" s="17" t="str">
        <f>IF(ShipmentDownload!L5="","",ShipmentDownload!L5)</f>
        <v>Completed</v>
      </c>
      <c r="B5" s="6">
        <f>IF(ShipmentDownload!C5="","",ShipmentDownload!C5)</f>
        <v>6448</v>
      </c>
      <c r="C5" s="7" t="str">
        <f>IF(ShipmentDownload!H5="","",ShipmentDownload!H5)</f>
        <v>박용서</v>
      </c>
      <c r="D5" s="7" t="str">
        <f>IF(ShipmentDownload!I5="","",ShipmentDownload!I5)</f>
        <v/>
      </c>
      <c r="E5" s="7" t="str">
        <f>IF(ShipmentDownload!J5="","",ShipmentDownload!J5)</f>
        <v>Inbound</v>
      </c>
      <c r="G5">
        <v>12</v>
      </c>
    </row>
    <row r="6" spans="1:11" ht="25.05" customHeight="1" thickBot="1" x14ac:dyDescent="0.45">
      <c r="A6" s="17" t="str">
        <f>IF(ShipmentDownload!L6="","",ShipmentDownload!L6)</f>
        <v/>
      </c>
      <c r="B6" s="6" t="str">
        <f>IF(ShipmentDownload!C6="","",ShipmentDownload!C6)</f>
        <v/>
      </c>
      <c r="C6" s="7" t="str">
        <f>IF(ShipmentDownload!H6="","",ShipmentDownload!H6)</f>
        <v/>
      </c>
      <c r="D6" s="7" t="str">
        <f>IF(ShipmentDownload!I6="","",ShipmentDownload!I6)</f>
        <v/>
      </c>
      <c r="E6" s="7" t="str">
        <f>IF(ShipmentDownload!J6="","",ShipmentDownload!J6)</f>
        <v/>
      </c>
    </row>
    <row r="7" spans="1:11" ht="4.95" customHeight="1" x14ac:dyDescent="0.4">
      <c r="A7" s="267" t="s">
        <v>17</v>
      </c>
      <c r="B7" s="268"/>
      <c r="C7" s="268"/>
      <c r="D7" s="268"/>
      <c r="E7" s="269"/>
    </row>
    <row r="8" spans="1:11" ht="4.95" customHeight="1" thickBot="1" x14ac:dyDescent="0.45">
      <c r="A8" s="270"/>
      <c r="B8" s="271"/>
      <c r="C8" s="271"/>
      <c r="D8" s="271"/>
      <c r="E8" s="272"/>
    </row>
    <row r="10" spans="1:11" x14ac:dyDescent="0.4">
      <c r="A10" s="18"/>
    </row>
    <row r="11" spans="1:11" x14ac:dyDescent="0.3">
      <c r="A11" s="19"/>
    </row>
    <row r="12" spans="1:11" x14ac:dyDescent="0.4">
      <c r="A12" s="18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B200"/>
  <sheetViews>
    <sheetView workbookViewId="0">
      <selection activeCell="D12" sqref="D12"/>
    </sheetView>
  </sheetViews>
  <sheetFormatPr defaultRowHeight="17.399999999999999" x14ac:dyDescent="0.4"/>
  <cols>
    <col min="2" max="2" width="10.3984375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4.69921875" customWidth="1"/>
    <col min="9" max="9" width="25" bestFit="1" customWidth="1"/>
    <col min="10" max="10" width="13.19921875" bestFit="1" customWidth="1"/>
    <col min="11" max="11" width="22.296875" bestFit="1" customWidth="1"/>
    <col min="12" max="12" width="22.296875" customWidth="1"/>
    <col min="13" max="13" width="21.69921875" bestFit="1" customWidth="1"/>
    <col min="14" max="14" width="20.19921875" customWidth="1"/>
    <col min="15" max="15" width="11.59765625" bestFit="1" customWidth="1"/>
    <col min="16" max="16" width="38.69921875" bestFit="1" customWidth="1"/>
    <col min="17" max="17" width="46" bestFit="1" customWidth="1"/>
    <col min="18" max="18" width="20.09765625" bestFit="1" customWidth="1"/>
    <col min="19" max="19" width="19" bestFit="1" customWidth="1"/>
    <col min="20" max="20" width="19" customWidth="1"/>
    <col min="21" max="22" width="16.5" bestFit="1" customWidth="1"/>
    <col min="23" max="23" width="21" bestFit="1" customWidth="1"/>
    <col min="24" max="24" width="22.3984375" bestFit="1" customWidth="1"/>
    <col min="25" max="25" width="13.19921875" bestFit="1" customWidth="1"/>
    <col min="26" max="26" width="22.69921875" style="26" bestFit="1" customWidth="1"/>
    <col min="27" max="27" width="16.59765625" style="38" bestFit="1" customWidth="1"/>
    <col min="28" max="28" width="11.59765625" bestFit="1" customWidth="1"/>
  </cols>
  <sheetData>
    <row r="1" spans="1:28" x14ac:dyDescent="0.4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10</v>
      </c>
      <c r="I1" s="10" t="s">
        <v>14</v>
      </c>
      <c r="J1" s="10" t="s">
        <v>12</v>
      </c>
      <c r="K1" s="10" t="s">
        <v>7</v>
      </c>
      <c r="L1" s="10" t="s">
        <v>5</v>
      </c>
      <c r="N1" s="16" t="str">
        <f>IncidentDownload!P1</f>
        <v>06</v>
      </c>
      <c r="O1" s="9" t="s">
        <v>33</v>
      </c>
      <c r="P1" s="9" t="s">
        <v>37</v>
      </c>
      <c r="Q1" s="9" t="s">
        <v>18</v>
      </c>
      <c r="R1" s="9" t="s">
        <v>19</v>
      </c>
      <c r="S1" s="9" t="s">
        <v>86</v>
      </c>
      <c r="T1" s="9" t="s">
        <v>87</v>
      </c>
      <c r="U1" s="9" t="s">
        <v>8</v>
      </c>
      <c r="V1" s="9" t="s">
        <v>9</v>
      </c>
      <c r="W1" s="9" t="s">
        <v>10</v>
      </c>
      <c r="X1" s="9" t="s">
        <v>11</v>
      </c>
      <c r="Y1" s="9" t="s">
        <v>14</v>
      </c>
      <c r="Z1" s="9" t="s">
        <v>12</v>
      </c>
      <c r="AA1" s="9" t="s">
        <v>7</v>
      </c>
      <c r="AB1" s="9" t="s">
        <v>5</v>
      </c>
    </row>
    <row r="2" spans="1:28" ht="34.799999999999997" x14ac:dyDescent="0.4">
      <c r="A2" s="12" t="str">
        <f>TEXT(L2,"MM")</f>
        <v>Closed</v>
      </c>
      <c r="B2" s="46" t="s">
        <v>39</v>
      </c>
      <c r="C2">
        <v>8720</v>
      </c>
      <c r="D2" t="s">
        <v>77</v>
      </c>
      <c r="G2" t="s">
        <v>41</v>
      </c>
      <c r="H2" t="s">
        <v>78</v>
      </c>
      <c r="J2" t="s">
        <v>79</v>
      </c>
      <c r="L2" t="s">
        <v>80</v>
      </c>
      <c r="N2" s="1">
        <v>45156.57707175926</v>
      </c>
      <c r="O2" s="4" t="str" cm="1">
        <f t="array" ref="O2">IF(_xlfn._xlws.FILTER($A$2:$L$200,($A$2:$A$200=N1),"결과값 없음")=0,"",_xlfn._xlws.FILTER($A$2:$L$200,($A$2:$A$200=N1),"결과값 없음"))</f>
        <v>결과값 없음</v>
      </c>
      <c r="P2" s="4"/>
      <c r="Q2" s="4"/>
      <c r="R2" s="4"/>
      <c r="S2" s="4"/>
      <c r="T2" s="4"/>
      <c r="U2" s="4"/>
      <c r="V2" s="4"/>
      <c r="W2" s="4"/>
      <c r="X2" s="4"/>
      <c r="Y2" s="4"/>
      <c r="Z2" s="27"/>
    </row>
    <row r="3" spans="1:28" ht="34.799999999999997" x14ac:dyDescent="0.4">
      <c r="A3" s="12" t="str">
        <f t="shared" ref="A3:A66" si="0">TEXT(L3,"MM")</f>
        <v>Closed</v>
      </c>
      <c r="B3" s="46" t="s">
        <v>39</v>
      </c>
      <c r="C3">
        <v>7739</v>
      </c>
      <c r="D3" t="s">
        <v>81</v>
      </c>
      <c r="G3" t="s">
        <v>41</v>
      </c>
      <c r="H3" t="s">
        <v>78</v>
      </c>
      <c r="J3" t="s">
        <v>79</v>
      </c>
      <c r="L3" t="s">
        <v>80</v>
      </c>
      <c r="N3" s="1">
        <v>45130.295127314814</v>
      </c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27"/>
    </row>
    <row r="4" spans="1:28" ht="34.799999999999997" x14ac:dyDescent="0.4">
      <c r="A4" s="12" t="str">
        <f t="shared" si="0"/>
        <v>Closed</v>
      </c>
      <c r="B4" s="46" t="s">
        <v>39</v>
      </c>
      <c r="C4">
        <v>7107</v>
      </c>
      <c r="D4" t="s">
        <v>82</v>
      </c>
      <c r="G4" t="s">
        <v>41</v>
      </c>
      <c r="H4" t="s">
        <v>78</v>
      </c>
      <c r="J4" t="s">
        <v>83</v>
      </c>
      <c r="L4" t="s">
        <v>80</v>
      </c>
      <c r="N4" s="1">
        <v>45112.961458333331</v>
      </c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27"/>
    </row>
    <row r="5" spans="1:28" x14ac:dyDescent="0.4">
      <c r="A5" s="12" t="str">
        <f t="shared" si="0"/>
        <v>01</v>
      </c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27"/>
    </row>
    <row r="6" spans="1:28" x14ac:dyDescent="0.4">
      <c r="A6" s="12" t="str">
        <f t="shared" si="0"/>
        <v>01</v>
      </c>
      <c r="O6" s="4"/>
      <c r="T6" s="4"/>
      <c r="U6" s="4"/>
      <c r="V6" s="4"/>
      <c r="W6" s="4"/>
      <c r="X6" s="4"/>
      <c r="Y6" s="4"/>
      <c r="Z6" s="27"/>
    </row>
    <row r="7" spans="1:28" x14ac:dyDescent="0.4">
      <c r="A7" s="12" t="str">
        <f t="shared" si="0"/>
        <v>01</v>
      </c>
      <c r="O7" s="4"/>
      <c r="T7" s="4"/>
      <c r="U7" s="4"/>
      <c r="V7" s="4"/>
      <c r="W7" s="4"/>
      <c r="X7" s="4"/>
      <c r="Y7" s="4"/>
      <c r="Z7" s="27"/>
    </row>
    <row r="8" spans="1:28" x14ac:dyDescent="0.4">
      <c r="A8" s="12" t="str">
        <f t="shared" si="0"/>
        <v>01</v>
      </c>
      <c r="O8" s="4"/>
      <c r="T8" s="4"/>
      <c r="U8" s="4"/>
      <c r="V8" s="4"/>
      <c r="W8" s="4"/>
      <c r="X8" s="4"/>
      <c r="Y8" s="4"/>
      <c r="Z8" s="27"/>
    </row>
    <row r="9" spans="1:28" x14ac:dyDescent="0.4">
      <c r="A9" s="12" t="str">
        <f t="shared" si="0"/>
        <v>01</v>
      </c>
      <c r="O9" s="4"/>
      <c r="T9" s="4"/>
      <c r="U9" s="4"/>
      <c r="V9" s="4"/>
      <c r="W9" s="4"/>
      <c r="X9" s="4"/>
      <c r="Y9" s="4"/>
      <c r="Z9" s="27"/>
    </row>
    <row r="10" spans="1:28" x14ac:dyDescent="0.4">
      <c r="A10" s="12" t="str">
        <f t="shared" si="0"/>
        <v>01</v>
      </c>
    </row>
    <row r="11" spans="1:28" x14ac:dyDescent="0.4">
      <c r="A11" s="12" t="str">
        <f t="shared" si="0"/>
        <v>01</v>
      </c>
    </row>
    <row r="12" spans="1:28" x14ac:dyDescent="0.4">
      <c r="A12" s="12" t="str">
        <f t="shared" si="0"/>
        <v>01</v>
      </c>
    </row>
    <row r="13" spans="1:28" x14ac:dyDescent="0.4">
      <c r="A13" s="12" t="str">
        <f t="shared" si="0"/>
        <v>01</v>
      </c>
    </row>
    <row r="14" spans="1:28" x14ac:dyDescent="0.4">
      <c r="A14" s="12" t="str">
        <f t="shared" si="0"/>
        <v>01</v>
      </c>
    </row>
    <row r="15" spans="1:28" x14ac:dyDescent="0.4">
      <c r="A15" s="12" t="str">
        <f t="shared" si="0"/>
        <v>01</v>
      </c>
    </row>
    <row r="16" spans="1:28" x14ac:dyDescent="0.4">
      <c r="A16" s="12" t="str">
        <f t="shared" si="0"/>
        <v>01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TEXT(L67,"MM")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TEXT(L131,"MM")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00" si="3">TEXT(L195,"MM")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L8"/>
  <sheetViews>
    <sheetView workbookViewId="0"/>
  </sheetViews>
  <sheetFormatPr defaultRowHeight="17.399999999999999" x14ac:dyDescent="0.4"/>
  <cols>
    <col min="1" max="2" width="12.69921875" customWidth="1"/>
    <col min="3" max="3" width="10.69921875" customWidth="1"/>
    <col min="4" max="5" width="12.69921875" customWidth="1"/>
    <col min="6" max="6" width="9.69921875" customWidth="1"/>
  </cols>
  <sheetData>
    <row r="1" spans="1:12" ht="22.95" customHeight="1" thickBot="1" x14ac:dyDescent="0.45">
      <c r="A1" s="2" t="s">
        <v>22</v>
      </c>
      <c r="B1" s="3" t="s">
        <v>19</v>
      </c>
      <c r="C1" s="3" t="s">
        <v>23</v>
      </c>
      <c r="D1" s="3" t="s">
        <v>24</v>
      </c>
      <c r="E1" s="3" t="s">
        <v>25</v>
      </c>
      <c r="F1" s="3" t="s">
        <v>1701</v>
      </c>
      <c r="H1" s="48" t="s">
        <v>86</v>
      </c>
      <c r="I1" s="48" t="s">
        <v>87</v>
      </c>
      <c r="J1" s="3" t="s">
        <v>26</v>
      </c>
      <c r="L1">
        <v>12</v>
      </c>
    </row>
    <row r="2" spans="1:12" ht="25.05" customHeight="1" thickBot="1" x14ac:dyDescent="0.45">
      <c r="A2" s="17" t="str">
        <f>IF(RHS_Download!AB2="","",RHS_Download!AB2)</f>
        <v/>
      </c>
      <c r="B2" s="44" t="str">
        <f>IF(RHS_Download!R2="","",RHS_Download!R2)</f>
        <v/>
      </c>
      <c r="C2" s="31" t="str">
        <f>IF(RHS_Download!V2="","",RHS_Download!V2)</f>
        <v/>
      </c>
      <c r="D2" s="6" t="str">
        <f>IF(RHS_Download!W2="","",RHS_Download!W2)</f>
        <v/>
      </c>
      <c r="E2" s="6" t="str">
        <f>IF(RHS_Download!M2="","",RHS_Download!M2)</f>
        <v/>
      </c>
      <c r="F2" s="6" t="str">
        <f>IF(OR(J2="",J2=0),"",J2)</f>
        <v/>
      </c>
      <c r="H2">
        <f>RHS_Download!S2</f>
        <v>0</v>
      </c>
      <c r="I2">
        <f>RHS_Download!T2</f>
        <v>0</v>
      </c>
      <c r="J2">
        <f>I2-H2</f>
        <v>0</v>
      </c>
      <c r="L2">
        <v>12</v>
      </c>
    </row>
    <row r="3" spans="1:12" ht="25.05" customHeight="1" thickBot="1" x14ac:dyDescent="0.45">
      <c r="A3" s="17" t="str">
        <f>IF(RHS_Download!AB3="","",RHS_Download!AB3)</f>
        <v/>
      </c>
      <c r="B3" s="44" t="str">
        <f>IF(RHS_Download!R3="","",RHS_Download!R3)</f>
        <v/>
      </c>
      <c r="C3" s="31" t="str">
        <f>IF(RHS_Download!V3="","",RHS_Download!V3)</f>
        <v/>
      </c>
      <c r="D3" s="6" t="str">
        <f>IF(RHS_Download!W3="","",RHS_Download!W3)</f>
        <v/>
      </c>
      <c r="E3" s="6" t="str">
        <f>IF(RHS_Download!M3="","",RHS_Download!M3)</f>
        <v/>
      </c>
      <c r="F3" s="6" t="str">
        <f t="shared" ref="F3:F6" si="0">IF(OR(J3="",J3=0),"",J3)</f>
        <v/>
      </c>
      <c r="H3">
        <f>RHS_Download!S3</f>
        <v>0</v>
      </c>
      <c r="I3">
        <f>RHS_Download!T3</f>
        <v>0</v>
      </c>
      <c r="J3">
        <f t="shared" ref="J3:J6" si="1">I3-H3</f>
        <v>0</v>
      </c>
      <c r="L3">
        <v>10</v>
      </c>
    </row>
    <row r="4" spans="1:12" ht="25.05" customHeight="1" thickBot="1" x14ac:dyDescent="0.45">
      <c r="A4" s="17" t="str">
        <f>IF(RHS_Download!AB4="","",RHS_Download!AB4)</f>
        <v/>
      </c>
      <c r="B4" s="44" t="str">
        <f>IF(RHS_Download!R4="","",RHS_Download!R4)</f>
        <v/>
      </c>
      <c r="C4" s="31" t="str">
        <f>IF(RHS_Download!V4="","",RHS_Download!V4)</f>
        <v/>
      </c>
      <c r="D4" s="6" t="str">
        <f>IF(RHS_Download!W4="","",RHS_Download!W4)</f>
        <v/>
      </c>
      <c r="E4" s="6" t="str">
        <f>IF(RHS_Download!M4="","",RHS_Download!M4)</f>
        <v/>
      </c>
      <c r="F4" s="6" t="str">
        <f t="shared" si="0"/>
        <v/>
      </c>
      <c r="H4">
        <f>RHS_Download!S4</f>
        <v>0</v>
      </c>
      <c r="I4">
        <f>RHS_Download!T4</f>
        <v>0</v>
      </c>
      <c r="J4">
        <f t="shared" si="1"/>
        <v>0</v>
      </c>
      <c r="L4">
        <v>12</v>
      </c>
    </row>
    <row r="5" spans="1:12" ht="25.05" customHeight="1" thickBot="1" x14ac:dyDescent="0.45">
      <c r="A5" s="17" t="str">
        <f>IF(RHS_Download!AB5="","",RHS_Download!AB5)</f>
        <v/>
      </c>
      <c r="B5" s="44" t="str">
        <f>IF(RHS_Download!R5="","",RHS_Download!R5)</f>
        <v/>
      </c>
      <c r="C5" s="31" t="str">
        <f>IF(RHS_Download!V5="","",RHS_Download!V5)</f>
        <v/>
      </c>
      <c r="D5" s="6" t="str">
        <f>IF(RHS_Download!W5="","",RHS_Download!W5)</f>
        <v/>
      </c>
      <c r="E5" s="6" t="str">
        <f>IF(RHS_Download!M5="","",RHS_Download!M5)</f>
        <v/>
      </c>
      <c r="F5" s="6" t="str">
        <f t="shared" si="0"/>
        <v/>
      </c>
      <c r="H5">
        <f>RHS_Download!S5</f>
        <v>0</v>
      </c>
      <c r="I5">
        <f>RHS_Download!T5</f>
        <v>0</v>
      </c>
      <c r="J5">
        <f t="shared" si="1"/>
        <v>0</v>
      </c>
      <c r="L5">
        <v>12</v>
      </c>
    </row>
    <row r="6" spans="1:12" ht="25.05" customHeight="1" thickBot="1" x14ac:dyDescent="0.45">
      <c r="A6" s="17" t="str">
        <f>IF(RHS_Download!AB6="","",RHS_Download!AB6)</f>
        <v/>
      </c>
      <c r="B6" s="44" t="str">
        <f>IF(RHS_Download!R6="","",RHS_Download!R6)</f>
        <v/>
      </c>
      <c r="C6" s="31" t="str">
        <f>IF(RHS_Download!V6="","",RHS_Download!V6)</f>
        <v/>
      </c>
      <c r="D6" s="6" t="str">
        <f>IF(RHS_Download!W6="","",RHS_Download!W6)</f>
        <v/>
      </c>
      <c r="E6" s="6" t="str">
        <f>IF(RHS_Download!M6="","",RHS_Download!M6)</f>
        <v/>
      </c>
      <c r="F6" s="6" t="str">
        <f t="shared" si="0"/>
        <v/>
      </c>
      <c r="H6">
        <f>RHS_Download!S6</f>
        <v>0</v>
      </c>
      <c r="I6">
        <f>RHS_Download!T6</f>
        <v>0</v>
      </c>
      <c r="J6">
        <f t="shared" si="1"/>
        <v>0</v>
      </c>
      <c r="L6">
        <v>9</v>
      </c>
    </row>
    <row r="7" spans="1:12" ht="4.95" customHeight="1" x14ac:dyDescent="0.4">
      <c r="A7" s="261" t="s">
        <v>31</v>
      </c>
      <c r="B7" s="262"/>
      <c r="C7" s="262"/>
      <c r="D7" s="262"/>
      <c r="E7" s="262"/>
      <c r="F7" s="263"/>
    </row>
    <row r="8" spans="1:12" ht="4.95" customHeight="1" thickBot="1" x14ac:dyDescent="0.45">
      <c r="A8" s="264"/>
      <c r="B8" s="265"/>
      <c r="C8" s="265"/>
      <c r="D8" s="265"/>
      <c r="E8" s="265"/>
      <c r="F8" s="266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7434D-FFD1-4C01-9323-83EF6F0A852B}">
  <dimension ref="A1:Z2028"/>
  <sheetViews>
    <sheetView topLeftCell="F1" workbookViewId="0">
      <selection activeCell="N9" sqref="N9"/>
    </sheetView>
  </sheetViews>
  <sheetFormatPr defaultRowHeight="17.399999999999999" x14ac:dyDescent="0.4"/>
  <cols>
    <col min="1" max="1" width="12.5" bestFit="1" customWidth="1"/>
    <col min="2" max="2" width="20.19921875" bestFit="1" customWidth="1"/>
    <col min="3" max="3" width="16.59765625" bestFit="1" customWidth="1"/>
    <col min="4" max="4" width="15.3984375" customWidth="1"/>
    <col min="5" max="5" width="12.59765625" customWidth="1"/>
    <col min="6" max="6" width="16.19921875" bestFit="1" customWidth="1"/>
    <col min="7" max="7" width="17.59765625" customWidth="1"/>
    <col min="8" max="8" width="16.19921875" customWidth="1"/>
    <col min="9" max="9" width="14.09765625" customWidth="1"/>
    <col min="10" max="10" width="15.296875" customWidth="1"/>
    <col min="12" max="12" width="11.09765625" bestFit="1" customWidth="1"/>
    <col min="14" max="14" width="11.3984375" customWidth="1"/>
  </cols>
  <sheetData>
    <row r="1" spans="1:26" ht="18" thickBot="1" x14ac:dyDescent="0.45">
      <c r="A1" s="130" t="s">
        <v>299</v>
      </c>
      <c r="B1" s="131"/>
      <c r="K1" s="4"/>
      <c r="L1" s="4"/>
      <c r="M1" s="132">
        <f>_xlfn.NUMBERVALUE(MID(RIGHT(A1,10),6,2))</f>
        <v>11</v>
      </c>
      <c r="N1" s="104" t="s">
        <v>92</v>
      </c>
      <c r="O1" s="49" t="s">
        <v>95</v>
      </c>
      <c r="P1" s="49" t="s">
        <v>96</v>
      </c>
      <c r="Q1" s="49" t="s">
        <v>97</v>
      </c>
      <c r="R1" s="49" t="s">
        <v>98</v>
      </c>
      <c r="S1" s="49" t="s">
        <v>99</v>
      </c>
      <c r="T1" s="49" t="s">
        <v>100</v>
      </c>
      <c r="U1" s="49" t="s">
        <v>101</v>
      </c>
      <c r="V1" s="49" t="s">
        <v>102</v>
      </c>
      <c r="W1" s="49" t="s">
        <v>103</v>
      </c>
      <c r="X1" s="49" t="s">
        <v>104</v>
      </c>
      <c r="Y1" s="49" t="s">
        <v>105</v>
      </c>
      <c r="Z1" s="49" t="s">
        <v>106</v>
      </c>
    </row>
    <row r="2" spans="1:26" ht="18" thickBot="1" x14ac:dyDescent="0.45">
      <c r="M2" s="105"/>
      <c r="N2" s="106" t="s">
        <v>93</v>
      </c>
      <c r="O2" s="107" cm="1">
        <f t="array" ref="O2">IFERROR(_xlfn.SWITCH(1,1,$J$46,2,"",3,"",4,"",5,"",6,"",7,"",8,"",9,"",10,"",11,"",12,""),"")</f>
        <v>25.086819752862844</v>
      </c>
      <c r="P2" s="107" cm="1">
        <f t="array" ref="P2">IFERROR(_xlfn.SWITCH(2,1,"",2,$J$215,3,"",4,"",5,"",6,"",7,"",8,"",9,"",10,"",11,"",12,""),"")</f>
        <v>25.086819752862844</v>
      </c>
      <c r="Q2" s="107" cm="1">
        <f t="array" ref="Q2">IFERROR(_xlfn.SWITCH(3,1,"",2,"",3,$J$384,4,"",5,"",6,"",7,"",8,"",9,"",10,"",11,"",12,""),"")</f>
        <v>25.049296165413921</v>
      </c>
      <c r="R2" s="107" t="str" cm="1">
        <f t="array" ref="R2">IFERROR(_xlfn.SWITCH(4,1,"",2,"",3,"",4,$J$553,5,"",6,"",7,"",8,"",9,"",10,"",11,"",12,""),"")</f>
        <v/>
      </c>
      <c r="S2" s="107" cm="1">
        <f t="array" ref="S2">IFERROR(_xlfn.SWITCH(5,1,"",2,"",3,"",4,"",5,$J$722,6,"",7,"",8,"",9,"",10,"",11,"",12,""),"")</f>
        <v>25.086819752862844</v>
      </c>
      <c r="T2" s="107" t="str" cm="1">
        <f t="array" ref="T2">IFERROR(_xlfn.SWITCH(6,1,"",2,"",3,"",4,"",5,"",6,$J$891,7,"",8,"",9,"",10,"",11,"",12,""),"")</f>
        <v/>
      </c>
      <c r="U2" s="107" cm="1">
        <f t="array" ref="U2">IFERROR(_xlfn.SWITCH(7,1,"",2,"",3,"",4,"",5,"",6,"",7,$J$1060,8,"",9,"",10,"",11,"",12,""),"")</f>
        <v>25.086819752862844</v>
      </c>
      <c r="V2" s="107" cm="1">
        <f t="array" ref="V2">IFERROR(_xlfn.SWITCH(8,1,"",2,"",3,"",4,"",5,"",6,"",7,"",8,$J$1229,9,"",10,"",11,"",12,""),"")</f>
        <v>25.086819752862844</v>
      </c>
      <c r="W2" s="107" t="str" cm="1">
        <f t="array" ref="W2">IFERROR(_xlfn.SWITCH(9,1,"",2,"",3,"",4,"",5,"",6,"",7,"",8,"",9,$J$1398,10,"",11,"",12,""),"")</f>
        <v/>
      </c>
      <c r="X2" s="107" t="str" cm="1">
        <f t="array" ref="X2">IFERROR(_xlfn.SWITCH(10,1,"",2,"",3,"",4,"",5,"",6,"",7,"",8,"",9,"",10,$J$1567,11,"",12,""),"")</f>
        <v/>
      </c>
      <c r="Y2" s="107" t="str" cm="1">
        <f t="array" ref="Y2">IFERROR(_xlfn.SWITCH(11,1,"",2,"",3,"",4,"",5,"",6,"",7,"",8,"",9,"",10,"",11,$J$1736,12,""),"")</f>
        <v/>
      </c>
      <c r="Z2" s="107" cm="1">
        <f t="array" ref="Z2">IFERROR(_xlfn.SWITCH(12,1,"",2,"",3,"",4,"",5,"",6,"",7,"",8,"",9,"",10,"",11,"",12,$J$1905),"")</f>
        <v>25.086819752862844</v>
      </c>
    </row>
    <row r="3" spans="1:26" ht="18" customHeight="1" thickBot="1" x14ac:dyDescent="0.45">
      <c r="A3" s="280" t="s">
        <v>107</v>
      </c>
      <c r="B3" s="280"/>
      <c r="C3" s="280"/>
      <c r="D3" s="280"/>
      <c r="E3" s="280"/>
      <c r="F3" s="280"/>
      <c r="G3" s="280"/>
      <c r="H3" s="280"/>
      <c r="I3" s="280"/>
      <c r="J3" s="281"/>
      <c r="K3" s="108">
        <v>1</v>
      </c>
      <c r="M3" s="105"/>
      <c r="N3" s="109" t="s">
        <v>94</v>
      </c>
      <c r="O3" s="107" cm="1">
        <f t="array" ref="O3">IFERROR(_xlfn.SWITCH(1,1,$J$91,2,"",3,"",4,"",5,"",6,"",7,"",8,"",9,"",10,"",11,"",12,""),"")</f>
        <v>34.042797428590319</v>
      </c>
      <c r="P3" s="107" cm="1">
        <f t="array" ref="P3">IFERROR(_xlfn.SWITCH(2,1,"",2,$J$260,3,"",4,"",5,"",6,"",7,"",8,"",9,"",10,"",11,"",12,""),"")</f>
        <v>36.473064994950349</v>
      </c>
      <c r="Q3" s="107" cm="1">
        <f t="array" ref="Q3">IFERROR(_xlfn.SWITCH(3,1,"",2,"",3,$J$429,4,"",5,"",6,"",7,"",8,"",9,"",10,"",11,"",12,""),"")</f>
        <v>36.679584212262412</v>
      </c>
      <c r="R3" s="107" t="str" cm="1">
        <f t="array" ref="R3">IFERROR(_xlfn.SWITCH(4,1,"",2,"",3,"",4,$J$598,5,"",6,"",7,"",8,"",9,"",10,"",11,"",12,""),"")</f>
        <v/>
      </c>
      <c r="S3" s="107" cm="1">
        <f t="array" ref="S3">IFERROR(_xlfn.SWITCH(5,1,"",2,"",3,"",4,"",5,$J$767,6,"",7,"",8,"",9,"",10,"",11,"",12,""),"")</f>
        <v>36.473064994950349</v>
      </c>
      <c r="T3" s="107" t="str" cm="1">
        <f t="array" ref="T3">IFERROR(_xlfn.SWITCH(6,1,"",2,"",3,"",4,"",5,"",6,$J$936,7,"",8,"",9,"",10,"",11,"",12,""),"")</f>
        <v/>
      </c>
      <c r="U3" s="107" cm="1">
        <f t="array" ref="U3">IFERROR(_xlfn.SWITCH(7,1,"",2,"",3,"",4,"",5,"",6,"",7,$J$1105,8,"",9,"",10,"",11,"",12,""),"")</f>
        <v>36.473064994950349</v>
      </c>
      <c r="V3" s="107" cm="1">
        <f t="array" ref="V3">IFERROR(_xlfn.SWITCH(8,1,"",2,"",3,"",4,"",5,"",6,"",7,"",8,$J$1274,9,"",10,"",11,"",12,""),"")</f>
        <v>36.473064994950349</v>
      </c>
      <c r="W3" s="107" t="str" cm="1">
        <f t="array" ref="W3">IFERROR(_xlfn.SWITCH(9,1,"",2,"",3,"",4,"",5,"",6,"",7,"",8,"",9,$J$1443,10,"",11,"",12,""),"")</f>
        <v/>
      </c>
      <c r="X3" s="107" t="str" cm="1">
        <f t="array" ref="X3">IFERROR(_xlfn.SWITCH(10,1,"",2,"",3,"",4,"",5,"",6,"",7,"",8,"",9,"",10,$J$1612,11,"",12,""),"")</f>
        <v/>
      </c>
      <c r="Y3" s="107" t="str" cm="1">
        <f t="array" ref="Y3">IFERROR(_xlfn.SWITCH(11,1,"",2,"",3,"",4,"",5,"",6,"",7,"",8,"",9,"",10,"",11,$J$1781,12,""),"")</f>
        <v/>
      </c>
      <c r="Z3" s="107" cm="1">
        <f t="array" ref="Z3">IFERROR(_xlfn.SWITCH(12,1,"",2,"",3,"",4,"",5,"",6,"",7,"",8,"",9,"",10,"",11,"",12,$J$1950),"")</f>
        <v>36.473064994950349</v>
      </c>
    </row>
    <row r="4" spans="1:26" ht="34.799999999999997" customHeight="1" thickBot="1" x14ac:dyDescent="0.45">
      <c r="A4" s="73" t="s">
        <v>267</v>
      </c>
      <c r="B4" s="73" t="s">
        <v>268</v>
      </c>
      <c r="C4" s="73" t="s">
        <v>269</v>
      </c>
      <c r="D4" s="73" t="s">
        <v>108</v>
      </c>
      <c r="E4" s="73" t="s">
        <v>109</v>
      </c>
      <c r="F4" s="74" t="s">
        <v>270</v>
      </c>
      <c r="G4" s="73" t="s">
        <v>110</v>
      </c>
      <c r="H4" s="73" t="s">
        <v>111</v>
      </c>
      <c r="I4" s="73" t="s">
        <v>112</v>
      </c>
      <c r="J4" s="73" t="s">
        <v>113</v>
      </c>
      <c r="M4" s="105"/>
      <c r="N4" s="5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</row>
    <row r="5" spans="1:26" x14ac:dyDescent="0.4">
      <c r="A5" s="282" t="s">
        <v>271</v>
      </c>
      <c r="B5" s="86" t="s">
        <v>114</v>
      </c>
      <c r="C5" s="75" t="s">
        <v>272</v>
      </c>
      <c r="D5" s="76">
        <v>1</v>
      </c>
      <c r="E5" s="77">
        <v>1</v>
      </c>
      <c r="F5" s="274" t="s">
        <v>273</v>
      </c>
      <c r="G5" s="75">
        <v>105.48</v>
      </c>
      <c r="H5" s="51">
        <v>25.5</v>
      </c>
      <c r="I5" s="52">
        <v>26.6</v>
      </c>
      <c r="J5" s="52">
        <v>25.947168858331978</v>
      </c>
    </row>
    <row r="6" spans="1:26" x14ac:dyDescent="0.4">
      <c r="A6" s="283"/>
      <c r="B6" s="86" t="s">
        <v>115</v>
      </c>
      <c r="C6" s="75" t="s">
        <v>274</v>
      </c>
      <c r="D6" s="76">
        <v>1</v>
      </c>
      <c r="E6" s="77">
        <v>1</v>
      </c>
      <c r="F6" s="275"/>
      <c r="G6" s="75">
        <v>105.48</v>
      </c>
      <c r="H6" s="51">
        <v>26</v>
      </c>
      <c r="I6" s="52">
        <v>27.1</v>
      </c>
      <c r="J6" s="52">
        <v>26.534160006693167</v>
      </c>
    </row>
    <row r="7" spans="1:26" x14ac:dyDescent="0.4">
      <c r="A7" s="283"/>
      <c r="B7" s="86" t="s">
        <v>116</v>
      </c>
      <c r="C7" s="75" t="s">
        <v>117</v>
      </c>
      <c r="D7" s="76">
        <v>1</v>
      </c>
      <c r="E7" s="77">
        <v>1</v>
      </c>
      <c r="F7" s="78"/>
      <c r="G7" s="75">
        <v>105.48</v>
      </c>
      <c r="H7" s="51">
        <v>26</v>
      </c>
      <c r="I7" s="52">
        <v>27.1</v>
      </c>
      <c r="J7" s="52">
        <v>26.612712003992765</v>
      </c>
    </row>
    <row r="8" spans="1:26" x14ac:dyDescent="0.4">
      <c r="A8" s="284"/>
      <c r="B8" s="86" t="s">
        <v>118</v>
      </c>
      <c r="C8" s="75" t="s">
        <v>119</v>
      </c>
      <c r="D8" s="76">
        <v>1</v>
      </c>
      <c r="E8" s="77">
        <v>1</v>
      </c>
      <c r="F8" s="78"/>
      <c r="G8" s="75">
        <v>105.48</v>
      </c>
      <c r="H8" s="51">
        <v>25.9</v>
      </c>
      <c r="I8" s="52">
        <v>27</v>
      </c>
      <c r="J8" s="52">
        <v>26.551582992080178</v>
      </c>
    </row>
    <row r="9" spans="1:26" x14ac:dyDescent="0.4">
      <c r="A9" s="282" t="s">
        <v>275</v>
      </c>
      <c r="B9" s="86" t="s">
        <v>120</v>
      </c>
      <c r="C9" s="75" t="s">
        <v>276</v>
      </c>
      <c r="D9" s="76">
        <v>1</v>
      </c>
      <c r="E9" s="77">
        <v>1</v>
      </c>
      <c r="F9" s="274" t="s">
        <v>273</v>
      </c>
      <c r="G9" s="75">
        <v>105.48</v>
      </c>
      <c r="H9" s="51">
        <v>19.5</v>
      </c>
      <c r="I9" s="52">
        <v>28</v>
      </c>
      <c r="J9" s="52">
        <v>26.562861558467784</v>
      </c>
    </row>
    <row r="10" spans="1:26" x14ac:dyDescent="0.4">
      <c r="A10" s="283"/>
      <c r="B10" s="86" t="s">
        <v>121</v>
      </c>
      <c r="C10" s="75" t="s">
        <v>277</v>
      </c>
      <c r="D10" s="76">
        <v>1</v>
      </c>
      <c r="E10" s="77">
        <v>1</v>
      </c>
      <c r="F10" s="275"/>
      <c r="G10" s="75">
        <v>105.48</v>
      </c>
      <c r="H10" s="51">
        <v>24.3</v>
      </c>
      <c r="I10" s="52">
        <v>27.7</v>
      </c>
      <c r="J10" s="52">
        <v>26.468817329979629</v>
      </c>
    </row>
    <row r="11" spans="1:26" x14ac:dyDescent="0.4">
      <c r="A11" s="283"/>
      <c r="B11" s="86" t="s">
        <v>122</v>
      </c>
      <c r="C11" s="75" t="s">
        <v>123</v>
      </c>
      <c r="D11" s="76">
        <v>1</v>
      </c>
      <c r="E11" s="77">
        <v>1</v>
      </c>
      <c r="F11" s="275"/>
      <c r="G11" s="75">
        <v>105.48</v>
      </c>
      <c r="H11" s="51">
        <v>17</v>
      </c>
      <c r="I11" s="52">
        <v>27</v>
      </c>
      <c r="J11" s="52">
        <v>21.191033060811872</v>
      </c>
    </row>
    <row r="12" spans="1:26" x14ac:dyDescent="0.4">
      <c r="A12" s="283"/>
      <c r="B12" s="86" t="s">
        <v>124</v>
      </c>
      <c r="C12" s="75" t="s">
        <v>125</v>
      </c>
      <c r="D12" s="76">
        <v>1</v>
      </c>
      <c r="E12" s="77">
        <v>1</v>
      </c>
      <c r="F12" s="275"/>
      <c r="G12" s="75">
        <v>105.48</v>
      </c>
      <c r="H12" s="51">
        <v>24.9</v>
      </c>
      <c r="I12" s="52">
        <v>27.5</v>
      </c>
      <c r="J12" s="52">
        <v>26.191250294344051</v>
      </c>
    </row>
    <row r="13" spans="1:26" x14ac:dyDescent="0.4">
      <c r="A13" s="283"/>
      <c r="B13" s="86" t="s">
        <v>126</v>
      </c>
      <c r="C13" s="75" t="s">
        <v>278</v>
      </c>
      <c r="D13" s="76">
        <v>1</v>
      </c>
      <c r="E13" s="77">
        <v>1</v>
      </c>
      <c r="F13" s="78"/>
      <c r="G13" s="75">
        <v>70.319999999999993</v>
      </c>
      <c r="H13" s="51">
        <v>13.9</v>
      </c>
      <c r="I13" s="52">
        <v>26.3</v>
      </c>
      <c r="J13" s="52">
        <v>24.473978140810075</v>
      </c>
    </row>
    <row r="14" spans="1:26" x14ac:dyDescent="0.4">
      <c r="A14" s="283"/>
      <c r="B14" s="86" t="s">
        <v>127</v>
      </c>
      <c r="C14" s="75" t="s">
        <v>128</v>
      </c>
      <c r="D14" s="76">
        <v>1</v>
      </c>
      <c r="E14" s="77">
        <v>1</v>
      </c>
      <c r="F14" s="78"/>
      <c r="G14" s="75">
        <v>70.319999999999993</v>
      </c>
      <c r="H14" s="51">
        <v>14.1</v>
      </c>
      <c r="I14" s="52">
        <v>26.1</v>
      </c>
      <c r="J14" s="52">
        <v>24.513090894548593</v>
      </c>
    </row>
    <row r="15" spans="1:26" x14ac:dyDescent="0.4">
      <c r="A15" s="284"/>
      <c r="B15" s="86" t="s">
        <v>129</v>
      </c>
      <c r="C15" s="75" t="s">
        <v>130</v>
      </c>
      <c r="D15" s="76">
        <v>1</v>
      </c>
      <c r="E15" s="77">
        <v>1</v>
      </c>
      <c r="F15" s="78"/>
      <c r="G15" s="75">
        <v>70.319999999999993</v>
      </c>
      <c r="H15" s="51">
        <v>14.8</v>
      </c>
      <c r="I15" s="52">
        <v>26</v>
      </c>
      <c r="J15" s="52">
        <v>24.625210701474238</v>
      </c>
    </row>
    <row r="16" spans="1:26" x14ac:dyDescent="0.4">
      <c r="A16" s="273" t="s">
        <v>279</v>
      </c>
      <c r="B16" s="86" t="s">
        <v>131</v>
      </c>
      <c r="C16" s="75" t="s">
        <v>280</v>
      </c>
      <c r="D16" s="76">
        <v>1</v>
      </c>
      <c r="E16" s="77">
        <v>1</v>
      </c>
      <c r="F16" s="274" t="s">
        <v>273</v>
      </c>
      <c r="G16" s="75">
        <v>105.48</v>
      </c>
      <c r="H16" s="51">
        <v>24</v>
      </c>
      <c r="I16" s="52">
        <v>25.5</v>
      </c>
      <c r="J16" s="52">
        <v>24.86613436981952</v>
      </c>
    </row>
    <row r="17" spans="1:10" x14ac:dyDescent="0.4">
      <c r="A17" s="273"/>
      <c r="B17" s="86" t="s">
        <v>132</v>
      </c>
      <c r="C17" s="75" t="s">
        <v>133</v>
      </c>
      <c r="D17" s="76">
        <v>1</v>
      </c>
      <c r="E17" s="77">
        <v>1</v>
      </c>
      <c r="F17" s="275"/>
      <c r="G17" s="75">
        <v>105.48</v>
      </c>
      <c r="H17" s="51">
        <v>24.4</v>
      </c>
      <c r="I17" s="52">
        <v>25.9</v>
      </c>
      <c r="J17" s="52">
        <v>25.221151651472233</v>
      </c>
    </row>
    <row r="18" spans="1:10" x14ac:dyDescent="0.4">
      <c r="A18" s="273"/>
      <c r="B18" s="86" t="s">
        <v>134</v>
      </c>
      <c r="C18" s="75" t="s">
        <v>135</v>
      </c>
      <c r="D18" s="76">
        <v>1</v>
      </c>
      <c r="E18" s="77">
        <v>1</v>
      </c>
      <c r="F18" s="275"/>
      <c r="G18" s="79">
        <v>105.48</v>
      </c>
      <c r="H18" s="51">
        <v>24.5</v>
      </c>
      <c r="I18" s="52">
        <v>26.4</v>
      </c>
      <c r="J18" s="52">
        <v>25.252246982879878</v>
      </c>
    </row>
    <row r="19" spans="1:10" x14ac:dyDescent="0.4">
      <c r="A19" s="273"/>
      <c r="B19" s="86" t="s">
        <v>136</v>
      </c>
      <c r="C19" s="75" t="s">
        <v>137</v>
      </c>
      <c r="D19" s="76">
        <v>1</v>
      </c>
      <c r="E19" s="77">
        <v>1</v>
      </c>
      <c r="F19" s="275"/>
      <c r="G19" s="79">
        <v>105.48</v>
      </c>
      <c r="H19" s="51">
        <v>24.1</v>
      </c>
      <c r="I19" s="52">
        <v>26</v>
      </c>
      <c r="J19" s="52">
        <v>24.844128275320063</v>
      </c>
    </row>
    <row r="20" spans="1:10" x14ac:dyDescent="0.4">
      <c r="A20" s="273"/>
      <c r="B20" s="86" t="s">
        <v>138</v>
      </c>
      <c r="C20" s="75" t="s">
        <v>281</v>
      </c>
      <c r="D20" s="76">
        <v>0</v>
      </c>
      <c r="E20" s="77">
        <v>1</v>
      </c>
      <c r="F20" s="274" t="s">
        <v>282</v>
      </c>
      <c r="G20" s="75">
        <v>32.549999999999997</v>
      </c>
      <c r="H20" s="111">
        <v>25.3</v>
      </c>
      <c r="I20" s="111">
        <v>33.5</v>
      </c>
      <c r="J20" s="111">
        <v>32.598777177207168</v>
      </c>
    </row>
    <row r="21" spans="1:10" x14ac:dyDescent="0.4">
      <c r="A21" s="273"/>
      <c r="B21" s="86" t="s">
        <v>139</v>
      </c>
      <c r="C21" s="75" t="s">
        <v>140</v>
      </c>
      <c r="D21" s="76">
        <v>0</v>
      </c>
      <c r="E21" s="77">
        <v>1</v>
      </c>
      <c r="F21" s="276"/>
      <c r="G21" s="75">
        <v>32.549999999999997</v>
      </c>
      <c r="H21" s="112">
        <v>23.4</v>
      </c>
      <c r="I21" s="112">
        <v>27.2</v>
      </c>
      <c r="J21" s="112">
        <v>26.023714421315294</v>
      </c>
    </row>
    <row r="22" spans="1:10" x14ac:dyDescent="0.4">
      <c r="A22" s="273"/>
      <c r="B22" s="86" t="s">
        <v>141</v>
      </c>
      <c r="C22" s="75" t="s">
        <v>283</v>
      </c>
      <c r="D22" s="76">
        <v>0</v>
      </c>
      <c r="E22" s="77">
        <v>1</v>
      </c>
      <c r="F22" s="274" t="s">
        <v>282</v>
      </c>
      <c r="G22" s="75">
        <v>32.549999999999997</v>
      </c>
      <c r="H22" s="112">
        <v>21.8</v>
      </c>
      <c r="I22" s="112">
        <v>32.700000000000003</v>
      </c>
      <c r="J22" s="112">
        <v>31.101890811719603</v>
      </c>
    </row>
    <row r="23" spans="1:10" x14ac:dyDescent="0.4">
      <c r="A23" s="273"/>
      <c r="B23" s="86" t="s">
        <v>142</v>
      </c>
      <c r="C23" s="75" t="s">
        <v>143</v>
      </c>
      <c r="D23" s="76">
        <v>1</v>
      </c>
      <c r="E23" s="77">
        <v>1</v>
      </c>
      <c r="F23" s="275"/>
      <c r="G23" s="75">
        <v>32.549999999999997</v>
      </c>
      <c r="H23" s="53">
        <v>22.5</v>
      </c>
      <c r="I23" s="53">
        <v>27.8</v>
      </c>
      <c r="J23" s="53">
        <v>26.137480201432698</v>
      </c>
    </row>
    <row r="24" spans="1:10" x14ac:dyDescent="0.4">
      <c r="A24" s="273"/>
      <c r="B24" s="86" t="s">
        <v>144</v>
      </c>
      <c r="C24" s="75" t="s">
        <v>145</v>
      </c>
      <c r="D24" s="76">
        <v>0</v>
      </c>
      <c r="E24" s="77">
        <v>1</v>
      </c>
      <c r="F24" s="275"/>
      <c r="G24" s="75">
        <v>32.549999999999997</v>
      </c>
      <c r="H24" s="112">
        <v>17.8</v>
      </c>
      <c r="I24" s="112">
        <v>29.5</v>
      </c>
      <c r="J24" s="112">
        <v>27.936542597126117</v>
      </c>
    </row>
    <row r="25" spans="1:10" x14ac:dyDescent="0.4">
      <c r="A25" s="273"/>
      <c r="B25" s="86" t="s">
        <v>146</v>
      </c>
      <c r="C25" s="75" t="s">
        <v>147</v>
      </c>
      <c r="D25" s="76">
        <v>1</v>
      </c>
      <c r="E25" s="77">
        <v>1</v>
      </c>
      <c r="F25" s="275"/>
      <c r="G25" s="75">
        <v>32.549999999999997</v>
      </c>
      <c r="H25" s="53">
        <v>21.4</v>
      </c>
      <c r="I25" s="53">
        <v>26.9</v>
      </c>
      <c r="J25" s="53">
        <v>24.703474713280034</v>
      </c>
    </row>
    <row r="26" spans="1:10" x14ac:dyDescent="0.4">
      <c r="A26" s="273"/>
      <c r="B26" s="86" t="s">
        <v>148</v>
      </c>
      <c r="C26" s="75" t="s">
        <v>149</v>
      </c>
      <c r="D26" s="76">
        <v>0</v>
      </c>
      <c r="E26" s="77">
        <v>1</v>
      </c>
      <c r="F26" s="275"/>
      <c r="G26" s="75">
        <v>32.549999999999997</v>
      </c>
      <c r="H26" s="53">
        <v>20.3</v>
      </c>
      <c r="I26" s="53">
        <v>24.4</v>
      </c>
      <c r="J26" s="53">
        <v>21.562160054259266</v>
      </c>
    </row>
    <row r="27" spans="1:10" x14ac:dyDescent="0.4">
      <c r="A27" s="273"/>
      <c r="B27" s="86" t="s">
        <v>150</v>
      </c>
      <c r="C27" s="75" t="s">
        <v>151</v>
      </c>
      <c r="D27" s="76">
        <v>1</v>
      </c>
      <c r="E27" s="77">
        <v>1</v>
      </c>
      <c r="F27" s="275"/>
      <c r="G27" s="75">
        <v>32.549999999999997</v>
      </c>
      <c r="H27" s="53">
        <v>21.2</v>
      </c>
      <c r="I27" s="53">
        <v>24.2</v>
      </c>
      <c r="J27" s="53">
        <v>23.427404201133758</v>
      </c>
    </row>
    <row r="28" spans="1:10" x14ac:dyDescent="0.4">
      <c r="A28" s="273"/>
      <c r="B28" s="86" t="s">
        <v>152</v>
      </c>
      <c r="C28" s="75" t="s">
        <v>153</v>
      </c>
      <c r="D28" s="76">
        <v>0</v>
      </c>
      <c r="E28" s="77">
        <v>1</v>
      </c>
      <c r="F28" s="275"/>
      <c r="G28" s="75">
        <v>32.549999999999997</v>
      </c>
      <c r="H28" s="112"/>
      <c r="I28" s="112"/>
      <c r="J28" s="112"/>
    </row>
    <row r="29" spans="1:10" x14ac:dyDescent="0.4">
      <c r="A29" s="273"/>
      <c r="B29" s="86" t="s">
        <v>154</v>
      </c>
      <c r="C29" s="75" t="s">
        <v>155</v>
      </c>
      <c r="D29" s="76">
        <v>0</v>
      </c>
      <c r="E29" s="77">
        <v>1</v>
      </c>
      <c r="F29" s="275"/>
      <c r="G29" s="75">
        <v>32.549999999999997</v>
      </c>
      <c r="H29" s="112">
        <v>18.399999999999999</v>
      </c>
      <c r="I29" s="112">
        <v>99.5</v>
      </c>
      <c r="J29" s="112">
        <v>22.382754481136075</v>
      </c>
    </row>
    <row r="30" spans="1:10" x14ac:dyDescent="0.4">
      <c r="A30" s="273"/>
      <c r="B30" s="86" t="s">
        <v>156</v>
      </c>
      <c r="C30" s="75" t="s">
        <v>157</v>
      </c>
      <c r="D30" s="76">
        <v>0</v>
      </c>
      <c r="E30" s="77">
        <v>1</v>
      </c>
      <c r="F30" s="275"/>
      <c r="G30" s="75">
        <v>32.549999999999997</v>
      </c>
      <c r="H30" s="112">
        <v>18.399999999999999</v>
      </c>
      <c r="I30" s="112">
        <v>25.1</v>
      </c>
      <c r="J30" s="112">
        <v>23.977183057851555</v>
      </c>
    </row>
    <row r="31" spans="1:10" x14ac:dyDescent="0.4">
      <c r="A31" s="273"/>
      <c r="B31" s="86" t="s">
        <v>158</v>
      </c>
      <c r="C31" s="75" t="s">
        <v>159</v>
      </c>
      <c r="D31" s="76">
        <v>0</v>
      </c>
      <c r="E31" s="77">
        <v>1</v>
      </c>
      <c r="F31" s="275"/>
      <c r="G31" s="75">
        <v>32.549999999999997</v>
      </c>
      <c r="H31" s="112">
        <v>17.7</v>
      </c>
      <c r="I31" s="112">
        <v>29.2</v>
      </c>
      <c r="J31" s="112">
        <v>21.609415322508042</v>
      </c>
    </row>
    <row r="32" spans="1:10" x14ac:dyDescent="0.4">
      <c r="A32" s="273"/>
      <c r="B32" s="86" t="s">
        <v>160</v>
      </c>
      <c r="C32" s="75" t="s">
        <v>161</v>
      </c>
      <c r="D32" s="76">
        <v>0</v>
      </c>
      <c r="E32" s="77">
        <v>1</v>
      </c>
      <c r="F32" s="275"/>
      <c r="G32" s="75">
        <v>32.549999999999997</v>
      </c>
      <c r="H32" s="112">
        <v>21.2</v>
      </c>
      <c r="I32" s="112">
        <v>25.6</v>
      </c>
      <c r="J32" s="112">
        <v>22.483006882817978</v>
      </c>
    </row>
    <row r="33" spans="1:10" x14ac:dyDescent="0.4">
      <c r="A33" s="273"/>
      <c r="B33" s="86" t="s">
        <v>162</v>
      </c>
      <c r="C33" s="75" t="s">
        <v>163</v>
      </c>
      <c r="D33" s="76">
        <v>0</v>
      </c>
      <c r="E33" s="77">
        <v>1</v>
      </c>
      <c r="F33" s="276"/>
      <c r="G33" s="75">
        <v>32.549999999999997</v>
      </c>
      <c r="H33" s="112">
        <v>19</v>
      </c>
      <c r="I33" s="112">
        <v>23.8</v>
      </c>
      <c r="J33" s="112">
        <v>21.875528539539498</v>
      </c>
    </row>
    <row r="34" spans="1:10" x14ac:dyDescent="0.4">
      <c r="A34" s="273"/>
      <c r="B34" s="86" t="s">
        <v>164</v>
      </c>
      <c r="C34" s="75" t="s">
        <v>284</v>
      </c>
      <c r="D34" s="76">
        <v>0</v>
      </c>
      <c r="E34" s="77">
        <v>1</v>
      </c>
      <c r="F34" s="274" t="s">
        <v>282</v>
      </c>
      <c r="G34" s="75">
        <v>24.4</v>
      </c>
      <c r="H34" s="112">
        <v>27.5</v>
      </c>
      <c r="I34" s="112">
        <v>30</v>
      </c>
      <c r="J34" s="112">
        <v>28.669886471256667</v>
      </c>
    </row>
    <row r="35" spans="1:10" x14ac:dyDescent="0.4">
      <c r="A35" s="273"/>
      <c r="B35" s="86" t="s">
        <v>165</v>
      </c>
      <c r="C35" s="75" t="s">
        <v>166</v>
      </c>
      <c r="D35" s="76">
        <v>0</v>
      </c>
      <c r="E35" s="77">
        <v>1</v>
      </c>
      <c r="F35" s="276"/>
      <c r="G35" s="75">
        <v>24.4</v>
      </c>
      <c r="H35" s="112">
        <v>26</v>
      </c>
      <c r="I35" s="112">
        <v>28.5</v>
      </c>
      <c r="J35" s="112">
        <v>27.101774468195114</v>
      </c>
    </row>
    <row r="36" spans="1:10" x14ac:dyDescent="0.4">
      <c r="A36" s="273" t="s">
        <v>285</v>
      </c>
      <c r="B36" s="86" t="s">
        <v>167</v>
      </c>
      <c r="C36" s="75" t="s">
        <v>286</v>
      </c>
      <c r="D36" s="76">
        <v>1</v>
      </c>
      <c r="E36" s="77">
        <v>1</v>
      </c>
      <c r="F36" s="274" t="s">
        <v>273</v>
      </c>
      <c r="G36" s="75">
        <v>105.48</v>
      </c>
      <c r="H36" s="51">
        <v>24.8</v>
      </c>
      <c r="I36" s="53">
        <v>26</v>
      </c>
      <c r="J36" s="53">
        <v>25.5657765485998</v>
      </c>
    </row>
    <row r="37" spans="1:10" x14ac:dyDescent="0.4">
      <c r="A37" s="273"/>
      <c r="B37" s="86" t="s">
        <v>168</v>
      </c>
      <c r="C37" s="75" t="s">
        <v>169</v>
      </c>
      <c r="D37" s="76">
        <v>1</v>
      </c>
      <c r="E37" s="77">
        <v>1</v>
      </c>
      <c r="F37" s="275"/>
      <c r="G37" s="75">
        <v>105.48</v>
      </c>
      <c r="H37" s="51">
        <v>24.6</v>
      </c>
      <c r="I37" s="54">
        <v>25.8</v>
      </c>
      <c r="J37" s="54">
        <v>25.342871866513704</v>
      </c>
    </row>
    <row r="38" spans="1:10" x14ac:dyDescent="0.4">
      <c r="A38" s="273"/>
      <c r="B38" s="86" t="s">
        <v>170</v>
      </c>
      <c r="C38" s="75" t="s">
        <v>171</v>
      </c>
      <c r="D38" s="76">
        <v>1</v>
      </c>
      <c r="E38" s="77">
        <v>1</v>
      </c>
      <c r="F38" s="275"/>
      <c r="G38" s="75">
        <v>105.48</v>
      </c>
      <c r="H38" s="51">
        <v>23.9</v>
      </c>
      <c r="I38" s="52">
        <v>25.8</v>
      </c>
      <c r="J38" s="52">
        <v>24.947314233142599</v>
      </c>
    </row>
    <row r="39" spans="1:10" x14ac:dyDescent="0.4">
      <c r="A39" s="273"/>
      <c r="B39" s="86" t="s">
        <v>172</v>
      </c>
      <c r="C39" s="75" t="s">
        <v>173</v>
      </c>
      <c r="D39" s="76">
        <v>1</v>
      </c>
      <c r="E39" s="77">
        <v>1</v>
      </c>
      <c r="F39" s="275"/>
      <c r="G39" s="75">
        <v>105.48</v>
      </c>
      <c r="H39" s="51">
        <v>24</v>
      </c>
      <c r="I39" s="52">
        <v>25.7</v>
      </c>
      <c r="J39" s="52">
        <v>24.962164505328346</v>
      </c>
    </row>
    <row r="40" spans="1:10" x14ac:dyDescent="0.4">
      <c r="A40" s="273"/>
      <c r="B40" s="86" t="s">
        <v>174</v>
      </c>
      <c r="C40" s="75" t="s">
        <v>287</v>
      </c>
      <c r="D40" s="76">
        <v>1</v>
      </c>
      <c r="E40" s="77">
        <v>1</v>
      </c>
      <c r="F40" s="275"/>
      <c r="G40" s="75">
        <v>65</v>
      </c>
      <c r="H40" s="55">
        <v>26.1</v>
      </c>
      <c r="I40" s="55">
        <v>28.3</v>
      </c>
      <c r="J40" s="55">
        <v>27.236223419018422</v>
      </c>
    </row>
    <row r="41" spans="1:10" x14ac:dyDescent="0.4">
      <c r="A41" s="273"/>
      <c r="B41" s="86" t="s">
        <v>175</v>
      </c>
      <c r="C41" s="75" t="s">
        <v>176</v>
      </c>
      <c r="D41" s="76">
        <v>1</v>
      </c>
      <c r="E41" s="77">
        <v>1</v>
      </c>
      <c r="F41" s="276"/>
      <c r="G41" s="75">
        <v>65</v>
      </c>
      <c r="H41" s="55">
        <v>24</v>
      </c>
      <c r="I41" s="55">
        <v>26</v>
      </c>
      <c r="J41" s="55">
        <v>24.516666666666666</v>
      </c>
    </row>
    <row r="42" spans="1:10" x14ac:dyDescent="0.4">
      <c r="A42" s="273"/>
      <c r="B42" s="86" t="s">
        <v>177</v>
      </c>
      <c r="C42" s="75" t="s">
        <v>288</v>
      </c>
      <c r="D42" s="76">
        <v>1</v>
      </c>
      <c r="E42" s="77">
        <v>1</v>
      </c>
      <c r="F42" s="274" t="s">
        <v>282</v>
      </c>
      <c r="G42" s="75">
        <v>16.3</v>
      </c>
      <c r="H42" s="55">
        <v>23.5</v>
      </c>
      <c r="I42" s="55">
        <v>26</v>
      </c>
      <c r="J42" s="55">
        <v>24.533991418670009</v>
      </c>
    </row>
    <row r="43" spans="1:10" x14ac:dyDescent="0.4">
      <c r="A43" s="273"/>
      <c r="B43" s="86" t="s">
        <v>178</v>
      </c>
      <c r="C43" s="75" t="s">
        <v>179</v>
      </c>
      <c r="D43" s="76">
        <v>1</v>
      </c>
      <c r="E43" s="77">
        <v>1</v>
      </c>
      <c r="F43" s="275"/>
      <c r="G43" s="75">
        <v>16.3</v>
      </c>
      <c r="H43" s="55">
        <v>21</v>
      </c>
      <c r="I43" s="55">
        <v>24.5</v>
      </c>
      <c r="J43" s="55">
        <v>22.917691723309261</v>
      </c>
    </row>
    <row r="44" spans="1:10" x14ac:dyDescent="0.4">
      <c r="A44" s="273"/>
      <c r="B44" s="86" t="s">
        <v>180</v>
      </c>
      <c r="C44" s="75" t="s">
        <v>181</v>
      </c>
      <c r="D44" s="76">
        <v>1</v>
      </c>
      <c r="E44" s="77">
        <v>1</v>
      </c>
      <c r="F44" s="275"/>
      <c r="G44" s="75">
        <v>16.3</v>
      </c>
      <c r="H44" s="55">
        <v>18</v>
      </c>
      <c r="I44" s="55">
        <v>29.5</v>
      </c>
      <c r="J44" s="55">
        <v>26.953550372958549</v>
      </c>
    </row>
    <row r="45" spans="1:10" x14ac:dyDescent="0.4">
      <c r="A45" s="273"/>
      <c r="B45" s="86" t="s">
        <v>289</v>
      </c>
      <c r="C45" s="75" t="s">
        <v>182</v>
      </c>
      <c r="D45" s="76">
        <v>1</v>
      </c>
      <c r="E45" s="77">
        <v>1</v>
      </c>
      <c r="F45" s="276"/>
      <c r="G45" s="75">
        <v>35</v>
      </c>
      <c r="H45" s="55">
        <v>24</v>
      </c>
      <c r="I45" s="55">
        <v>26</v>
      </c>
      <c r="J45" s="55">
        <v>24.855475787683329</v>
      </c>
    </row>
    <row r="46" spans="1:10" x14ac:dyDescent="0.4">
      <c r="H46" s="65">
        <f>AVERAGE(H5:H19,H25:H27,H36:H45)</f>
        <v>22.346428571428572</v>
      </c>
      <c r="I46" s="65">
        <f t="shared" ref="I46" si="0">AVERAGE(I5:I19,I25:I27,I36:I45)</f>
        <v>26.403571428571421</v>
      </c>
      <c r="J46" s="113">
        <f>AVERAGE(J5:J19,J25:J27,J36:J45,J23)</f>
        <v>25.086819752862844</v>
      </c>
    </row>
    <row r="47" spans="1:10" x14ac:dyDescent="0.4">
      <c r="J47" s="64" t="s">
        <v>261</v>
      </c>
    </row>
    <row r="48" spans="1:10" x14ac:dyDescent="0.4">
      <c r="A48" s="280" t="s">
        <v>183</v>
      </c>
      <c r="B48" s="280"/>
      <c r="C48" s="280"/>
      <c r="D48" s="280"/>
      <c r="E48" s="280"/>
      <c r="F48" s="280"/>
      <c r="G48" s="280"/>
      <c r="H48" s="280"/>
      <c r="I48" s="280"/>
      <c r="J48" s="281"/>
    </row>
    <row r="49" spans="1:10" ht="34.799999999999997" x14ac:dyDescent="0.4">
      <c r="A49" s="73" t="s">
        <v>267</v>
      </c>
      <c r="B49" s="73" t="s">
        <v>268</v>
      </c>
      <c r="C49" s="73" t="s">
        <v>269</v>
      </c>
      <c r="D49" s="73" t="s">
        <v>108</v>
      </c>
      <c r="E49" s="73" t="s">
        <v>109</v>
      </c>
      <c r="F49" s="74" t="s">
        <v>270</v>
      </c>
      <c r="G49" s="73" t="s">
        <v>110</v>
      </c>
      <c r="H49" s="73" t="s">
        <v>184</v>
      </c>
      <c r="I49" s="73" t="s">
        <v>185</v>
      </c>
      <c r="J49" s="73" t="s">
        <v>186</v>
      </c>
    </row>
    <row r="50" spans="1:10" x14ac:dyDescent="0.4">
      <c r="A50" s="285" t="s">
        <v>271</v>
      </c>
      <c r="B50" s="87" t="s">
        <v>114</v>
      </c>
      <c r="C50" s="88" t="s">
        <v>272</v>
      </c>
      <c r="D50" s="89">
        <v>1</v>
      </c>
      <c r="E50" s="88">
        <v>1</v>
      </c>
      <c r="F50" s="274" t="s">
        <v>273</v>
      </c>
      <c r="G50" s="75">
        <v>105.48</v>
      </c>
      <c r="H50" s="56">
        <v>24.1</v>
      </c>
      <c r="I50" s="57">
        <v>46.6</v>
      </c>
      <c r="J50" s="57">
        <v>36.875899645011756</v>
      </c>
    </row>
    <row r="51" spans="1:10" x14ac:dyDescent="0.4">
      <c r="A51" s="286"/>
      <c r="B51" s="87" t="s">
        <v>115</v>
      </c>
      <c r="C51" s="88" t="s">
        <v>274</v>
      </c>
      <c r="D51" s="89">
        <v>1</v>
      </c>
      <c r="E51" s="88">
        <v>1</v>
      </c>
      <c r="F51" s="275"/>
      <c r="G51" s="75">
        <v>105.48</v>
      </c>
      <c r="H51" s="56">
        <v>24.5</v>
      </c>
      <c r="I51" s="57">
        <v>46.8</v>
      </c>
      <c r="J51" s="57">
        <v>37.004108173574643</v>
      </c>
    </row>
    <row r="52" spans="1:10" x14ac:dyDescent="0.4">
      <c r="A52" s="286"/>
      <c r="B52" s="87" t="s">
        <v>116</v>
      </c>
      <c r="C52" s="88" t="s">
        <v>117</v>
      </c>
      <c r="D52" s="89">
        <v>1</v>
      </c>
      <c r="E52" s="88">
        <v>1</v>
      </c>
      <c r="F52" s="78"/>
      <c r="G52" s="75">
        <v>105.48</v>
      </c>
      <c r="H52" s="56">
        <v>25.7</v>
      </c>
      <c r="I52" s="57">
        <v>45.6</v>
      </c>
      <c r="J52" s="57">
        <v>36.984516441492424</v>
      </c>
    </row>
    <row r="53" spans="1:10" x14ac:dyDescent="0.4">
      <c r="A53" s="287"/>
      <c r="B53" s="87" t="s">
        <v>118</v>
      </c>
      <c r="C53" s="88" t="s">
        <v>119</v>
      </c>
      <c r="D53" s="89">
        <v>1</v>
      </c>
      <c r="E53" s="88">
        <v>1</v>
      </c>
      <c r="F53" s="78"/>
      <c r="G53" s="75">
        <v>105.48</v>
      </c>
      <c r="H53" s="56">
        <v>23.2</v>
      </c>
      <c r="I53" s="57">
        <v>44.2</v>
      </c>
      <c r="J53" s="57">
        <v>35.156717090807682</v>
      </c>
    </row>
    <row r="54" spans="1:10" x14ac:dyDescent="0.4">
      <c r="A54" s="273" t="s">
        <v>275</v>
      </c>
      <c r="B54" s="86" t="s">
        <v>120</v>
      </c>
      <c r="C54" s="75" t="s">
        <v>276</v>
      </c>
      <c r="D54" s="76">
        <v>1</v>
      </c>
      <c r="E54" s="77">
        <v>1</v>
      </c>
      <c r="F54" s="274" t="s">
        <v>273</v>
      </c>
      <c r="G54" s="75">
        <v>105.48</v>
      </c>
      <c r="H54" s="56">
        <v>22.8</v>
      </c>
      <c r="I54" s="57">
        <v>73.8</v>
      </c>
      <c r="J54" s="57">
        <v>37.251804931220235</v>
      </c>
    </row>
    <row r="55" spans="1:10" x14ac:dyDescent="0.4">
      <c r="A55" s="273"/>
      <c r="B55" s="86" t="s">
        <v>121</v>
      </c>
      <c r="C55" s="75" t="s">
        <v>277</v>
      </c>
      <c r="D55" s="76">
        <v>1</v>
      </c>
      <c r="E55" s="77">
        <v>1</v>
      </c>
      <c r="F55" s="275"/>
      <c r="G55" s="75">
        <v>105.48</v>
      </c>
      <c r="H55" s="56">
        <v>22.8</v>
      </c>
      <c r="I55" s="57">
        <v>53.2</v>
      </c>
      <c r="J55" s="57">
        <v>37.175433774739822</v>
      </c>
    </row>
    <row r="56" spans="1:10" x14ac:dyDescent="0.4">
      <c r="A56" s="273"/>
      <c r="B56" s="86" t="s">
        <v>122</v>
      </c>
      <c r="C56" s="75" t="s">
        <v>123</v>
      </c>
      <c r="D56" s="76">
        <v>1</v>
      </c>
      <c r="E56" s="77">
        <v>1</v>
      </c>
      <c r="F56" s="275"/>
      <c r="G56" s="75">
        <v>105.48</v>
      </c>
      <c r="H56" s="56">
        <v>37.299999999999997</v>
      </c>
      <c r="I56" s="57">
        <v>66</v>
      </c>
      <c r="J56" s="57">
        <v>49.840352179488214</v>
      </c>
    </row>
    <row r="57" spans="1:10" x14ac:dyDescent="0.4">
      <c r="A57" s="273"/>
      <c r="B57" s="86" t="s">
        <v>124</v>
      </c>
      <c r="C57" s="75" t="s">
        <v>125</v>
      </c>
      <c r="D57" s="76">
        <v>1</v>
      </c>
      <c r="E57" s="77">
        <v>1</v>
      </c>
      <c r="F57" s="275"/>
      <c r="G57" s="75">
        <v>105.48</v>
      </c>
      <c r="H57" s="56">
        <v>24</v>
      </c>
      <c r="I57" s="57">
        <v>47.5</v>
      </c>
      <c r="J57" s="57">
        <v>40.07350006711988</v>
      </c>
    </row>
    <row r="58" spans="1:10" x14ac:dyDescent="0.4">
      <c r="A58" s="273" t="s">
        <v>279</v>
      </c>
      <c r="B58" s="86" t="s">
        <v>131</v>
      </c>
      <c r="C58" s="75" t="s">
        <v>280</v>
      </c>
      <c r="D58" s="76">
        <v>1</v>
      </c>
      <c r="E58" s="77">
        <v>1</v>
      </c>
      <c r="F58" s="274" t="s">
        <v>273</v>
      </c>
      <c r="G58" s="75">
        <v>105.48</v>
      </c>
      <c r="H58" s="56">
        <v>22.5</v>
      </c>
      <c r="I58" s="57">
        <v>45.8</v>
      </c>
      <c r="J58" s="57">
        <v>38.195485835971027</v>
      </c>
    </row>
    <row r="59" spans="1:10" x14ac:dyDescent="0.4">
      <c r="A59" s="273"/>
      <c r="B59" s="86" t="s">
        <v>132</v>
      </c>
      <c r="C59" s="75" t="s">
        <v>133</v>
      </c>
      <c r="D59" s="76">
        <v>1</v>
      </c>
      <c r="E59" s="77">
        <v>1</v>
      </c>
      <c r="F59" s="275"/>
      <c r="G59" s="75">
        <v>105.48</v>
      </c>
      <c r="H59" s="56">
        <v>21.9</v>
      </c>
      <c r="I59" s="57">
        <v>44.3</v>
      </c>
      <c r="J59" s="57">
        <v>37.074655494835682</v>
      </c>
    </row>
    <row r="60" spans="1:10" x14ac:dyDescent="0.4">
      <c r="A60" s="273"/>
      <c r="B60" s="86" t="s">
        <v>134</v>
      </c>
      <c r="C60" s="75" t="s">
        <v>135</v>
      </c>
      <c r="D60" s="76">
        <v>1</v>
      </c>
      <c r="E60" s="77">
        <v>1</v>
      </c>
      <c r="F60" s="275"/>
      <c r="G60" s="79">
        <v>105.48</v>
      </c>
      <c r="H60" s="56">
        <v>20.9</v>
      </c>
      <c r="I60" s="57">
        <v>39.5</v>
      </c>
      <c r="J60" s="57">
        <v>34.962139230837934</v>
      </c>
    </row>
    <row r="61" spans="1:10" x14ac:dyDescent="0.4">
      <c r="A61" s="273"/>
      <c r="B61" s="86" t="s">
        <v>136</v>
      </c>
      <c r="C61" s="75" t="s">
        <v>137</v>
      </c>
      <c r="D61" s="76">
        <v>1</v>
      </c>
      <c r="E61" s="77">
        <v>1</v>
      </c>
      <c r="F61" s="275"/>
      <c r="G61" s="79">
        <v>105.48</v>
      </c>
      <c r="H61" s="56">
        <v>21.5</v>
      </c>
      <c r="I61" s="57">
        <v>40.6</v>
      </c>
      <c r="J61" s="57">
        <v>35.881135303974233</v>
      </c>
    </row>
    <row r="62" spans="1:10" x14ac:dyDescent="0.4">
      <c r="A62" s="273"/>
      <c r="B62" s="86" t="s">
        <v>138</v>
      </c>
      <c r="C62" s="75" t="s">
        <v>281</v>
      </c>
      <c r="D62" s="75">
        <v>0</v>
      </c>
      <c r="E62" s="77">
        <v>1</v>
      </c>
      <c r="F62" s="77">
        <v>1</v>
      </c>
      <c r="G62" s="75">
        <v>32.549999999999997</v>
      </c>
      <c r="H62" s="58">
        <v>25.8</v>
      </c>
      <c r="I62" s="58">
        <v>31.6</v>
      </c>
      <c r="J62" s="58">
        <v>26.354365316483779</v>
      </c>
    </row>
    <row r="63" spans="1:10" x14ac:dyDescent="0.4">
      <c r="A63" s="273"/>
      <c r="B63" s="86" t="s">
        <v>139</v>
      </c>
      <c r="C63" s="75" t="s">
        <v>140</v>
      </c>
      <c r="D63" s="75">
        <v>0</v>
      </c>
      <c r="E63" s="77">
        <v>1</v>
      </c>
      <c r="F63" s="77">
        <v>1</v>
      </c>
      <c r="G63" s="75">
        <v>32.549999999999997</v>
      </c>
      <c r="H63" s="59">
        <v>27.8</v>
      </c>
      <c r="I63" s="59">
        <v>30.6</v>
      </c>
      <c r="J63" s="59">
        <v>28.507460941612955</v>
      </c>
    </row>
    <row r="64" spans="1:10" x14ac:dyDescent="0.4">
      <c r="A64" s="273"/>
      <c r="B64" s="86" t="s">
        <v>141</v>
      </c>
      <c r="C64" s="75" t="s">
        <v>283</v>
      </c>
      <c r="D64" s="75">
        <v>0</v>
      </c>
      <c r="E64" s="77">
        <v>1</v>
      </c>
      <c r="F64" s="77">
        <v>1</v>
      </c>
      <c r="G64" s="75">
        <v>32.549999999999997</v>
      </c>
      <c r="H64" s="59">
        <v>24.4</v>
      </c>
      <c r="I64" s="59">
        <v>31.6</v>
      </c>
      <c r="J64" s="59">
        <v>25.308625390828567</v>
      </c>
    </row>
    <row r="65" spans="1:10" x14ac:dyDescent="0.4">
      <c r="A65" s="273"/>
      <c r="B65" s="86" t="s">
        <v>142</v>
      </c>
      <c r="C65" s="75" t="s">
        <v>143</v>
      </c>
      <c r="D65" s="75">
        <v>1</v>
      </c>
      <c r="E65" s="77">
        <v>1</v>
      </c>
      <c r="F65" s="77">
        <v>1</v>
      </c>
      <c r="G65" s="75">
        <v>32.549999999999997</v>
      </c>
      <c r="H65" s="60">
        <v>29</v>
      </c>
      <c r="I65" s="60">
        <v>32.799999999999997</v>
      </c>
      <c r="J65" s="60">
        <v>30.690526910212576</v>
      </c>
    </row>
    <row r="66" spans="1:10" x14ac:dyDescent="0.4">
      <c r="A66" s="273"/>
      <c r="B66" s="86" t="s">
        <v>144</v>
      </c>
      <c r="C66" s="75" t="s">
        <v>145</v>
      </c>
      <c r="D66" s="75">
        <v>0</v>
      </c>
      <c r="E66" s="77">
        <v>1</v>
      </c>
      <c r="F66" s="77">
        <v>1</v>
      </c>
      <c r="G66" s="75">
        <v>32.549999999999997</v>
      </c>
      <c r="H66" s="59">
        <v>24.4</v>
      </c>
      <c r="I66" s="59">
        <v>32.5</v>
      </c>
      <c r="J66" s="59">
        <v>25.450364206403666</v>
      </c>
    </row>
    <row r="67" spans="1:10" x14ac:dyDescent="0.4">
      <c r="A67" s="273"/>
      <c r="B67" s="86" t="s">
        <v>146</v>
      </c>
      <c r="C67" s="75" t="s">
        <v>147</v>
      </c>
      <c r="D67" s="75">
        <v>1</v>
      </c>
      <c r="E67" s="77">
        <v>1</v>
      </c>
      <c r="F67" s="77">
        <v>1</v>
      </c>
      <c r="G67" s="75">
        <v>32.549999999999997</v>
      </c>
      <c r="H67" s="60">
        <v>28.6</v>
      </c>
      <c r="I67" s="60">
        <v>32.799999999999997</v>
      </c>
      <c r="J67" s="60">
        <v>31.681985326236472</v>
      </c>
    </row>
    <row r="68" spans="1:10" x14ac:dyDescent="0.4">
      <c r="A68" s="273"/>
      <c r="B68" s="86" t="s">
        <v>148</v>
      </c>
      <c r="C68" s="75" t="s">
        <v>149</v>
      </c>
      <c r="D68" s="75">
        <v>0</v>
      </c>
      <c r="E68" s="77">
        <v>1</v>
      </c>
      <c r="F68" s="77">
        <v>1</v>
      </c>
      <c r="G68" s="75">
        <v>32.549999999999997</v>
      </c>
      <c r="H68" s="60">
        <v>30.1</v>
      </c>
      <c r="I68" s="60">
        <v>32.5</v>
      </c>
      <c r="J68" s="60">
        <v>31.839196380938393</v>
      </c>
    </row>
    <row r="69" spans="1:10" x14ac:dyDescent="0.4">
      <c r="A69" s="273"/>
      <c r="B69" s="86" t="s">
        <v>150</v>
      </c>
      <c r="C69" s="75" t="s">
        <v>151</v>
      </c>
      <c r="D69" s="75">
        <v>1</v>
      </c>
      <c r="E69" s="77">
        <v>1</v>
      </c>
      <c r="F69" s="77">
        <v>1</v>
      </c>
      <c r="G69" s="75">
        <v>32.549999999999997</v>
      </c>
      <c r="H69" s="60">
        <v>30.7</v>
      </c>
      <c r="I69" s="60">
        <v>32.6</v>
      </c>
      <c r="J69" s="60">
        <v>31.343251116148533</v>
      </c>
    </row>
    <row r="70" spans="1:10" x14ac:dyDescent="0.4">
      <c r="A70" s="273"/>
      <c r="B70" s="86" t="s">
        <v>152</v>
      </c>
      <c r="C70" s="75" t="s">
        <v>153</v>
      </c>
      <c r="D70" s="75">
        <v>0</v>
      </c>
      <c r="E70" s="77">
        <v>1</v>
      </c>
      <c r="F70" s="77">
        <v>1</v>
      </c>
      <c r="G70" s="75">
        <v>32.549999999999997</v>
      </c>
      <c r="H70" s="59"/>
      <c r="I70" s="59"/>
      <c r="J70" s="59"/>
    </row>
    <row r="71" spans="1:10" x14ac:dyDescent="0.4">
      <c r="A71" s="273"/>
      <c r="B71" s="86" t="s">
        <v>154</v>
      </c>
      <c r="C71" s="75" t="s">
        <v>155</v>
      </c>
      <c r="D71" s="75">
        <v>0</v>
      </c>
      <c r="E71" s="77">
        <v>1</v>
      </c>
      <c r="F71" s="77">
        <v>1</v>
      </c>
      <c r="G71" s="75">
        <v>32.549999999999997</v>
      </c>
      <c r="H71" s="59">
        <v>28.4</v>
      </c>
      <c r="I71" s="59">
        <v>29.9</v>
      </c>
      <c r="J71" s="59">
        <v>29.630716247788403</v>
      </c>
    </row>
    <row r="72" spans="1:10" x14ac:dyDescent="0.4">
      <c r="A72" s="273"/>
      <c r="B72" s="86" t="s">
        <v>156</v>
      </c>
      <c r="C72" s="75" t="s">
        <v>157</v>
      </c>
      <c r="D72" s="75">
        <v>0</v>
      </c>
      <c r="E72" s="77">
        <v>1</v>
      </c>
      <c r="F72" s="77">
        <v>1</v>
      </c>
      <c r="G72" s="75">
        <v>32.549999999999997</v>
      </c>
      <c r="H72" s="59">
        <v>26.3</v>
      </c>
      <c r="I72" s="59">
        <v>30.6</v>
      </c>
      <c r="J72" s="59">
        <v>26.935364994203944</v>
      </c>
    </row>
    <row r="73" spans="1:10" x14ac:dyDescent="0.4">
      <c r="A73" s="273"/>
      <c r="B73" s="86" t="s">
        <v>158</v>
      </c>
      <c r="C73" s="75" t="s">
        <v>159</v>
      </c>
      <c r="D73" s="75">
        <v>0</v>
      </c>
      <c r="E73" s="77">
        <v>1</v>
      </c>
      <c r="F73" s="77">
        <v>1</v>
      </c>
      <c r="G73" s="75">
        <v>32.549999999999997</v>
      </c>
      <c r="H73" s="59">
        <v>25.6</v>
      </c>
      <c r="I73" s="59">
        <v>34</v>
      </c>
      <c r="J73" s="59">
        <v>30.625999679618541</v>
      </c>
    </row>
    <row r="74" spans="1:10" x14ac:dyDescent="0.4">
      <c r="A74" s="273"/>
      <c r="B74" s="86" t="s">
        <v>160</v>
      </c>
      <c r="C74" s="75" t="s">
        <v>161</v>
      </c>
      <c r="D74" s="75">
        <v>0</v>
      </c>
      <c r="E74" s="77">
        <v>1</v>
      </c>
      <c r="F74" s="77">
        <v>1</v>
      </c>
      <c r="G74" s="75">
        <v>32.549999999999997</v>
      </c>
      <c r="H74" s="59">
        <v>27.7</v>
      </c>
      <c r="I74" s="59">
        <v>30.4</v>
      </c>
      <c r="J74" s="59">
        <v>29.382356535905735</v>
      </c>
    </row>
    <row r="75" spans="1:10" x14ac:dyDescent="0.4">
      <c r="A75" s="273"/>
      <c r="B75" s="86" t="s">
        <v>162</v>
      </c>
      <c r="C75" s="75" t="s">
        <v>163</v>
      </c>
      <c r="D75" s="75">
        <v>0</v>
      </c>
      <c r="E75" s="77">
        <v>1</v>
      </c>
      <c r="F75" s="77">
        <v>1</v>
      </c>
      <c r="G75" s="75">
        <v>32.549999999999997</v>
      </c>
      <c r="H75" s="59">
        <v>27</v>
      </c>
      <c r="I75" s="59">
        <v>30.2</v>
      </c>
      <c r="J75" s="59">
        <v>28.319564185557223</v>
      </c>
    </row>
    <row r="76" spans="1:10" x14ac:dyDescent="0.4">
      <c r="A76" s="273"/>
      <c r="B76" s="86" t="s">
        <v>164</v>
      </c>
      <c r="C76" s="75" t="s">
        <v>284</v>
      </c>
      <c r="D76" s="75">
        <v>0</v>
      </c>
      <c r="E76" s="77">
        <v>1</v>
      </c>
      <c r="F76" s="77">
        <v>1</v>
      </c>
      <c r="G76" s="75">
        <v>24.4</v>
      </c>
      <c r="H76" s="59">
        <v>26</v>
      </c>
      <c r="I76" s="59">
        <v>27.5</v>
      </c>
      <c r="J76" s="59">
        <v>26.918421650104822</v>
      </c>
    </row>
    <row r="77" spans="1:10" x14ac:dyDescent="0.4">
      <c r="A77" s="273"/>
      <c r="B77" s="86" t="s">
        <v>165</v>
      </c>
      <c r="C77" s="75" t="s">
        <v>166</v>
      </c>
      <c r="D77" s="75">
        <v>0</v>
      </c>
      <c r="E77" s="77">
        <v>1</v>
      </c>
      <c r="F77" s="77">
        <v>1</v>
      </c>
      <c r="G77" s="75">
        <v>24.4</v>
      </c>
      <c r="H77" s="59">
        <v>25.5</v>
      </c>
      <c r="I77" s="59">
        <v>27.5</v>
      </c>
      <c r="J77" s="59">
        <v>26.559773141544955</v>
      </c>
    </row>
    <row r="78" spans="1:10" x14ac:dyDescent="0.4">
      <c r="A78" s="273" t="s">
        <v>285</v>
      </c>
      <c r="B78" s="86" t="s">
        <v>167</v>
      </c>
      <c r="C78" s="75" t="s">
        <v>286</v>
      </c>
      <c r="D78" s="76">
        <v>1</v>
      </c>
      <c r="E78" s="77">
        <v>1</v>
      </c>
      <c r="F78" s="274" t="s">
        <v>273</v>
      </c>
      <c r="G78" s="75">
        <v>105.48</v>
      </c>
      <c r="H78" s="56">
        <v>25.7</v>
      </c>
      <c r="I78" s="60">
        <v>39.700000000000003</v>
      </c>
      <c r="J78" s="60">
        <v>35.190372604446353</v>
      </c>
    </row>
    <row r="79" spans="1:10" x14ac:dyDescent="0.4">
      <c r="A79" s="273"/>
      <c r="B79" s="86" t="s">
        <v>168</v>
      </c>
      <c r="C79" s="75" t="s">
        <v>169</v>
      </c>
      <c r="D79" s="76">
        <v>1</v>
      </c>
      <c r="E79" s="77">
        <v>1</v>
      </c>
      <c r="F79" s="275"/>
      <c r="G79" s="75">
        <v>105.48</v>
      </c>
      <c r="H79" s="56">
        <v>28.7</v>
      </c>
      <c r="I79" s="61">
        <v>42.6</v>
      </c>
      <c r="J79" s="61">
        <v>38.274867758099141</v>
      </c>
    </row>
    <row r="80" spans="1:10" x14ac:dyDescent="0.4">
      <c r="A80" s="273"/>
      <c r="B80" s="86" t="s">
        <v>170</v>
      </c>
      <c r="C80" s="75" t="s">
        <v>171</v>
      </c>
      <c r="D80" s="76">
        <v>1</v>
      </c>
      <c r="E80" s="77">
        <v>1</v>
      </c>
      <c r="F80" s="275"/>
      <c r="G80" s="75">
        <v>105.48</v>
      </c>
      <c r="H80" s="56">
        <v>27.4</v>
      </c>
      <c r="I80" s="57">
        <v>45.8</v>
      </c>
      <c r="J80" s="57">
        <v>40.447616220029126</v>
      </c>
    </row>
    <row r="81" spans="1:10" x14ac:dyDescent="0.4">
      <c r="A81" s="273"/>
      <c r="B81" s="86" t="s">
        <v>172</v>
      </c>
      <c r="C81" s="75" t="s">
        <v>173</v>
      </c>
      <c r="D81" s="76">
        <v>1</v>
      </c>
      <c r="E81" s="77">
        <v>1</v>
      </c>
      <c r="F81" s="275"/>
      <c r="G81" s="75">
        <v>105.48</v>
      </c>
      <c r="H81" s="56">
        <v>27</v>
      </c>
      <c r="I81" s="57">
        <v>45.3</v>
      </c>
      <c r="J81" s="57">
        <v>40.088349265555607</v>
      </c>
    </row>
    <row r="82" spans="1:10" x14ac:dyDescent="0.4">
      <c r="A82" s="273"/>
      <c r="B82" s="86" t="s">
        <v>174</v>
      </c>
      <c r="C82" s="75" t="s">
        <v>287</v>
      </c>
      <c r="D82" s="76">
        <v>1</v>
      </c>
      <c r="E82" s="77">
        <v>1</v>
      </c>
      <c r="F82" s="275"/>
      <c r="G82" s="75">
        <v>65</v>
      </c>
      <c r="H82" s="62">
        <v>30.6</v>
      </c>
      <c r="I82" s="62">
        <v>40.6</v>
      </c>
      <c r="J82" s="62">
        <v>37.47478447889106</v>
      </c>
    </row>
    <row r="83" spans="1:10" x14ac:dyDescent="0.4">
      <c r="A83" s="273"/>
      <c r="B83" s="86" t="s">
        <v>175</v>
      </c>
      <c r="C83" s="75" t="s">
        <v>176</v>
      </c>
      <c r="D83" s="76">
        <v>1</v>
      </c>
      <c r="E83" s="77">
        <v>1</v>
      </c>
      <c r="F83" s="276"/>
      <c r="G83" s="75">
        <v>65</v>
      </c>
      <c r="H83" s="62">
        <v>29</v>
      </c>
      <c r="I83" s="62">
        <v>30</v>
      </c>
      <c r="J83" s="62">
        <v>29.322365104728199</v>
      </c>
    </row>
    <row r="84" spans="1:10" x14ac:dyDescent="0.4">
      <c r="A84" s="273"/>
      <c r="B84" s="86" t="s">
        <v>177</v>
      </c>
      <c r="C84" s="75" t="s">
        <v>288</v>
      </c>
      <c r="D84" s="76">
        <v>1</v>
      </c>
      <c r="E84" s="77">
        <v>1</v>
      </c>
      <c r="F84" s="274" t="s">
        <v>282</v>
      </c>
      <c r="G84" s="75">
        <v>16.3</v>
      </c>
      <c r="H84" s="62">
        <v>30.5</v>
      </c>
      <c r="I84" s="62">
        <v>34.5</v>
      </c>
      <c r="J84" s="62">
        <v>31.691676637256574</v>
      </c>
    </row>
    <row r="85" spans="1:10" x14ac:dyDescent="0.4">
      <c r="A85" s="273"/>
      <c r="B85" s="86" t="s">
        <v>178</v>
      </c>
      <c r="C85" s="75" t="s">
        <v>179</v>
      </c>
      <c r="D85" s="76">
        <v>1</v>
      </c>
      <c r="E85" s="77">
        <v>1</v>
      </c>
      <c r="F85" s="275"/>
      <c r="G85" s="75">
        <v>16.3</v>
      </c>
      <c r="H85" s="62">
        <v>31</v>
      </c>
      <c r="I85" s="62">
        <v>40.5</v>
      </c>
      <c r="J85" s="62">
        <v>34.619817345292134</v>
      </c>
    </row>
    <row r="86" spans="1:10" x14ac:dyDescent="0.4">
      <c r="A86" s="273"/>
      <c r="B86" s="86" t="s">
        <v>180</v>
      </c>
      <c r="C86" s="75" t="s">
        <v>181</v>
      </c>
      <c r="D86" s="76">
        <v>1</v>
      </c>
      <c r="E86" s="77">
        <v>1</v>
      </c>
      <c r="F86" s="275"/>
      <c r="G86" s="75">
        <v>16.3</v>
      </c>
      <c r="H86" s="62">
        <v>28</v>
      </c>
      <c r="I86" s="62">
        <v>45</v>
      </c>
      <c r="J86" s="62">
        <v>30.126522635332051</v>
      </c>
    </row>
    <row r="87" spans="1:10" x14ac:dyDescent="0.4">
      <c r="A87" s="273"/>
      <c r="B87" s="86" t="s">
        <v>289</v>
      </c>
      <c r="C87" s="75" t="s">
        <v>182</v>
      </c>
      <c r="D87" s="76">
        <v>1</v>
      </c>
      <c r="E87" s="77">
        <v>1</v>
      </c>
      <c r="F87" s="276"/>
      <c r="G87" s="75">
        <v>35</v>
      </c>
      <c r="H87" s="62">
        <v>31.5</v>
      </c>
      <c r="I87" s="62">
        <v>50.1</v>
      </c>
      <c r="J87" s="62">
        <v>44.617185412817626</v>
      </c>
    </row>
    <row r="88" spans="1:10" x14ac:dyDescent="0.4">
      <c r="A88" s="273" t="s">
        <v>275</v>
      </c>
      <c r="B88" s="86" t="s">
        <v>126</v>
      </c>
      <c r="C88" s="75" t="s">
        <v>278</v>
      </c>
      <c r="D88" s="76">
        <v>1</v>
      </c>
      <c r="E88" s="77">
        <v>1</v>
      </c>
      <c r="F88" s="90"/>
      <c r="G88" s="75">
        <v>70.319999999999993</v>
      </c>
      <c r="H88" s="62">
        <v>25.2</v>
      </c>
      <c r="I88" s="62">
        <v>56.1</v>
      </c>
      <c r="J88" s="62">
        <v>38.445655165716552</v>
      </c>
    </row>
    <row r="89" spans="1:10" x14ac:dyDescent="0.4">
      <c r="A89" s="273"/>
      <c r="B89" s="86" t="s">
        <v>127</v>
      </c>
      <c r="C89" s="75" t="s">
        <v>128</v>
      </c>
      <c r="D89" s="76">
        <v>1</v>
      </c>
      <c r="E89" s="77">
        <v>1</v>
      </c>
      <c r="F89" s="90"/>
      <c r="G89" s="75">
        <v>70.319999999999993</v>
      </c>
      <c r="H89" s="62">
        <v>25</v>
      </c>
      <c r="I89" s="62">
        <v>56.2</v>
      </c>
      <c r="J89" s="62">
        <v>37.517854848939081</v>
      </c>
    </row>
    <row r="90" spans="1:10" x14ac:dyDescent="0.4">
      <c r="A90" s="273"/>
      <c r="B90" s="86" t="s">
        <v>129</v>
      </c>
      <c r="C90" s="75" t="s">
        <v>130</v>
      </c>
      <c r="D90" s="76">
        <v>1</v>
      </c>
      <c r="E90" s="77">
        <v>1</v>
      </c>
      <c r="F90" s="90"/>
      <c r="G90" s="75">
        <v>70.319999999999993</v>
      </c>
      <c r="H90" s="62">
        <v>24.9</v>
      </c>
      <c r="I90" s="62">
        <v>55.1</v>
      </c>
      <c r="J90" s="62">
        <v>37.871109473847063</v>
      </c>
    </row>
    <row r="91" spans="1:10" x14ac:dyDescent="0.4">
      <c r="H91" s="121">
        <f>AVERAGE(H50:H90)</f>
        <v>26.575000000000006</v>
      </c>
      <c r="I91" s="121">
        <f>AVERAGE(I50:I90)</f>
        <v>41.062499999999986</v>
      </c>
      <c r="J91" s="122">
        <f>AVERAGE(J50:J90)</f>
        <v>34.042797428590319</v>
      </c>
    </row>
    <row r="92" spans="1:10" x14ac:dyDescent="0.4">
      <c r="J92" s="115" t="s">
        <v>262</v>
      </c>
    </row>
    <row r="93" spans="1:10" x14ac:dyDescent="0.4">
      <c r="A93" s="288" t="s">
        <v>290</v>
      </c>
      <c r="B93" s="288"/>
      <c r="C93" s="289" t="s">
        <v>187</v>
      </c>
      <c r="D93" s="290"/>
      <c r="E93" s="290" t="s">
        <v>188</v>
      </c>
      <c r="F93" s="290"/>
      <c r="G93" s="290" t="s">
        <v>189</v>
      </c>
      <c r="H93" s="290"/>
      <c r="I93" s="290" t="s">
        <v>190</v>
      </c>
      <c r="J93" s="290"/>
    </row>
    <row r="94" spans="1:10" ht="34.799999999999997" x14ac:dyDescent="0.4">
      <c r="A94" s="288"/>
      <c r="B94" s="288"/>
      <c r="C94" s="102" t="s">
        <v>191</v>
      </c>
      <c r="D94" s="101" t="s">
        <v>192</v>
      </c>
      <c r="E94" s="101" t="s">
        <v>191</v>
      </c>
      <c r="F94" s="101" t="s">
        <v>192</v>
      </c>
      <c r="G94" s="101" t="s">
        <v>191</v>
      </c>
      <c r="H94" s="101" t="s">
        <v>192</v>
      </c>
      <c r="I94" s="101" t="s">
        <v>191</v>
      </c>
      <c r="J94" s="101" t="s">
        <v>192</v>
      </c>
    </row>
    <row r="95" spans="1:10" x14ac:dyDescent="0.4">
      <c r="A95" s="277" t="s">
        <v>291</v>
      </c>
      <c r="B95" s="100" t="s">
        <v>292</v>
      </c>
      <c r="C95" s="93"/>
      <c r="D95" s="92"/>
      <c r="E95" s="93"/>
      <c r="F95" s="92"/>
      <c r="G95" s="93"/>
      <c r="H95" s="92"/>
      <c r="I95" s="93"/>
      <c r="J95" s="92"/>
    </row>
    <row r="96" spans="1:10" x14ac:dyDescent="0.4">
      <c r="A96" s="278"/>
      <c r="B96" s="94" t="s">
        <v>193</v>
      </c>
      <c r="C96" s="93"/>
      <c r="D96" s="92"/>
      <c r="E96" s="93"/>
      <c r="F96" s="92"/>
      <c r="G96" s="93"/>
      <c r="H96" s="92"/>
      <c r="I96" s="93"/>
      <c r="J96" s="92"/>
    </row>
    <row r="97" spans="1:10" x14ac:dyDescent="0.4">
      <c r="A97" s="278"/>
      <c r="B97" s="94" t="s">
        <v>194</v>
      </c>
      <c r="C97" s="93"/>
      <c r="D97" s="92"/>
      <c r="E97" s="93"/>
      <c r="F97" s="92"/>
      <c r="G97" s="93"/>
      <c r="H97" s="92"/>
      <c r="I97" s="93"/>
      <c r="J97" s="92"/>
    </row>
    <row r="98" spans="1:10" x14ac:dyDescent="0.4">
      <c r="A98" s="278"/>
      <c r="B98" s="94" t="s">
        <v>195</v>
      </c>
      <c r="C98" s="93"/>
      <c r="D98" s="92"/>
      <c r="E98" s="93"/>
      <c r="F98" s="92"/>
      <c r="G98" s="93"/>
      <c r="H98" s="92"/>
      <c r="I98" s="93"/>
      <c r="J98" s="92"/>
    </row>
    <row r="99" spans="1:10" x14ac:dyDescent="0.4">
      <c r="A99" s="278"/>
      <c r="B99" s="94" t="s">
        <v>196</v>
      </c>
      <c r="C99" s="93"/>
      <c r="D99" s="92"/>
      <c r="E99" s="93"/>
      <c r="F99" s="92"/>
      <c r="G99" s="93"/>
      <c r="H99" s="92"/>
      <c r="I99" s="93"/>
      <c r="J99" s="92"/>
    </row>
    <row r="100" spans="1:10" x14ac:dyDescent="0.4">
      <c r="A100" s="278"/>
      <c r="B100" s="94" t="s">
        <v>197</v>
      </c>
      <c r="C100" s="93"/>
      <c r="D100" s="92"/>
      <c r="E100" s="93"/>
      <c r="F100" s="92"/>
      <c r="G100" s="93"/>
      <c r="H100" s="92"/>
      <c r="I100" s="93"/>
      <c r="J100" s="92"/>
    </row>
    <row r="101" spans="1:10" x14ac:dyDescent="0.4">
      <c r="A101" s="278"/>
      <c r="B101" s="94" t="s">
        <v>198</v>
      </c>
      <c r="C101" s="93"/>
      <c r="D101" s="92"/>
      <c r="E101" s="93"/>
      <c r="F101" s="92"/>
      <c r="G101" s="93"/>
      <c r="H101" s="92"/>
      <c r="I101" s="93"/>
      <c r="J101" s="92"/>
    </row>
    <row r="102" spans="1:10" x14ac:dyDescent="0.4">
      <c r="A102" s="278"/>
      <c r="B102" s="94" t="s">
        <v>199</v>
      </c>
      <c r="C102" s="93"/>
      <c r="D102" s="92"/>
      <c r="E102" s="93"/>
      <c r="F102" s="92"/>
      <c r="G102" s="93"/>
      <c r="H102" s="92"/>
      <c r="I102" s="93"/>
      <c r="J102" s="92"/>
    </row>
    <row r="103" spans="1:10" x14ac:dyDescent="0.4">
      <c r="A103" s="278"/>
      <c r="B103" s="94" t="s">
        <v>200</v>
      </c>
      <c r="C103" s="93"/>
      <c r="D103" s="92"/>
      <c r="E103" s="93"/>
      <c r="F103" s="92"/>
      <c r="G103" s="93"/>
      <c r="H103" s="92"/>
      <c r="I103" s="98"/>
      <c r="J103" s="99"/>
    </row>
    <row r="104" spans="1:10" x14ac:dyDescent="0.4">
      <c r="A104" s="278"/>
      <c r="B104" s="94" t="s">
        <v>201</v>
      </c>
      <c r="C104" s="93"/>
      <c r="D104" s="92"/>
      <c r="E104" s="98"/>
      <c r="F104" s="99"/>
      <c r="G104" s="93"/>
      <c r="H104" s="92"/>
      <c r="I104" s="98"/>
      <c r="J104" s="99"/>
    </row>
    <row r="105" spans="1:10" x14ac:dyDescent="0.4">
      <c r="A105" s="278"/>
      <c r="B105" s="94" t="s">
        <v>202</v>
      </c>
      <c r="C105" s="93"/>
      <c r="D105" s="92"/>
      <c r="E105" s="98"/>
      <c r="F105" s="99"/>
      <c r="G105" s="93"/>
      <c r="H105" s="92"/>
      <c r="I105" s="98"/>
      <c r="J105" s="99"/>
    </row>
    <row r="106" spans="1:10" x14ac:dyDescent="0.4">
      <c r="A106" s="278"/>
      <c r="B106" s="94" t="s">
        <v>203</v>
      </c>
      <c r="C106" s="93"/>
      <c r="D106" s="92"/>
      <c r="E106" s="98"/>
      <c r="F106" s="99"/>
      <c r="G106" s="93"/>
      <c r="H106" s="92"/>
      <c r="I106" s="98"/>
      <c r="J106" s="99"/>
    </row>
    <row r="107" spans="1:10" x14ac:dyDescent="0.4">
      <c r="A107" s="278"/>
      <c r="B107" s="94" t="s">
        <v>204</v>
      </c>
      <c r="C107" s="93"/>
      <c r="D107" s="92"/>
      <c r="E107" s="98"/>
      <c r="F107" s="99"/>
      <c r="G107" s="93"/>
      <c r="H107" s="92"/>
      <c r="I107" s="98"/>
      <c r="J107" s="99"/>
    </row>
    <row r="108" spans="1:10" x14ac:dyDescent="0.4">
      <c r="A108" s="278"/>
      <c r="B108" s="94" t="s">
        <v>205</v>
      </c>
      <c r="C108" s="98"/>
      <c r="D108" s="99"/>
      <c r="E108" s="98"/>
      <c r="F108" s="99"/>
      <c r="G108" s="93"/>
      <c r="H108" s="92"/>
      <c r="I108" s="98"/>
      <c r="J108" s="99"/>
    </row>
    <row r="109" spans="1:10" x14ac:dyDescent="0.4">
      <c r="A109" s="278"/>
      <c r="B109" s="94" t="s">
        <v>206</v>
      </c>
      <c r="C109" s="98"/>
      <c r="D109" s="99"/>
      <c r="E109" s="98"/>
      <c r="F109" s="99"/>
      <c r="G109" s="93"/>
      <c r="H109" s="92"/>
      <c r="I109" s="98"/>
      <c r="J109" s="99"/>
    </row>
    <row r="110" spans="1:10" x14ac:dyDescent="0.4">
      <c r="A110" s="278"/>
      <c r="B110" s="94" t="s">
        <v>207</v>
      </c>
      <c r="C110" s="98"/>
      <c r="D110" s="99"/>
      <c r="E110" s="98"/>
      <c r="F110" s="99"/>
      <c r="G110" s="93"/>
      <c r="H110" s="92"/>
      <c r="I110" s="98"/>
      <c r="J110" s="99"/>
    </row>
    <row r="111" spans="1:10" x14ac:dyDescent="0.4">
      <c r="A111" s="278"/>
      <c r="B111" s="95" t="s">
        <v>293</v>
      </c>
      <c r="C111" s="93"/>
      <c r="D111" s="92"/>
      <c r="E111" s="93"/>
      <c r="F111" s="92"/>
      <c r="G111" s="93"/>
      <c r="H111" s="92"/>
      <c r="I111" s="93"/>
      <c r="J111" s="92"/>
    </row>
    <row r="112" spans="1:10" x14ac:dyDescent="0.4">
      <c r="A112" s="278"/>
      <c r="B112" s="95" t="s">
        <v>208</v>
      </c>
      <c r="C112" s="93"/>
      <c r="D112" s="92"/>
      <c r="E112" s="93"/>
      <c r="F112" s="92"/>
      <c r="G112" s="93"/>
      <c r="H112" s="92"/>
      <c r="I112" s="93"/>
      <c r="J112" s="92"/>
    </row>
    <row r="113" spans="1:10" x14ac:dyDescent="0.4">
      <c r="A113" s="278"/>
      <c r="B113" s="95" t="s">
        <v>209</v>
      </c>
      <c r="C113" s="93"/>
      <c r="D113" s="92"/>
      <c r="E113" s="93"/>
      <c r="F113" s="92"/>
      <c r="G113" s="93"/>
      <c r="H113" s="92"/>
      <c r="I113" s="93"/>
      <c r="J113" s="92"/>
    </row>
    <row r="114" spans="1:10" x14ac:dyDescent="0.4">
      <c r="A114" s="278"/>
      <c r="B114" s="95" t="s">
        <v>210</v>
      </c>
      <c r="C114" s="93"/>
      <c r="D114" s="92"/>
      <c r="E114" s="93"/>
      <c r="F114" s="92"/>
      <c r="G114" s="93"/>
      <c r="H114" s="92"/>
      <c r="I114" s="93"/>
      <c r="J114" s="92"/>
    </row>
    <row r="115" spans="1:10" x14ac:dyDescent="0.4">
      <c r="A115" s="278"/>
      <c r="B115" s="95" t="s">
        <v>211</v>
      </c>
      <c r="C115" s="93"/>
      <c r="D115" s="92"/>
      <c r="E115" s="93"/>
      <c r="F115" s="92"/>
      <c r="G115" s="93"/>
      <c r="H115" s="92"/>
      <c r="I115" s="93"/>
      <c r="J115" s="92"/>
    </row>
    <row r="116" spans="1:10" x14ac:dyDescent="0.4">
      <c r="A116" s="278"/>
      <c r="B116" s="95" t="s">
        <v>212</v>
      </c>
      <c r="C116" s="93"/>
      <c r="D116" s="92"/>
      <c r="E116" s="93"/>
      <c r="F116" s="92"/>
      <c r="G116" s="93"/>
      <c r="H116" s="92"/>
      <c r="I116" s="93"/>
      <c r="J116" s="92"/>
    </row>
    <row r="117" spans="1:10" x14ac:dyDescent="0.4">
      <c r="A117" s="278"/>
      <c r="B117" s="95" t="s">
        <v>213</v>
      </c>
      <c r="C117" s="93"/>
      <c r="D117" s="92"/>
      <c r="E117" s="93"/>
      <c r="F117" s="92"/>
      <c r="G117" s="93"/>
      <c r="H117" s="92"/>
      <c r="I117" s="93"/>
      <c r="J117" s="92"/>
    </row>
    <row r="118" spans="1:10" x14ac:dyDescent="0.4">
      <c r="A118" s="278"/>
      <c r="B118" s="95" t="s">
        <v>214</v>
      </c>
      <c r="C118" s="93"/>
      <c r="D118" s="92"/>
      <c r="E118" s="93"/>
      <c r="F118" s="92"/>
      <c r="G118" s="93"/>
      <c r="H118" s="92"/>
      <c r="I118" s="93"/>
      <c r="J118" s="92"/>
    </row>
    <row r="119" spans="1:10" x14ac:dyDescent="0.4">
      <c r="A119" s="278"/>
      <c r="B119" s="95" t="s">
        <v>215</v>
      </c>
      <c r="C119" s="93"/>
      <c r="D119" s="92"/>
      <c r="E119" s="93"/>
      <c r="F119" s="92"/>
      <c r="G119" s="93"/>
      <c r="H119" s="92"/>
      <c r="I119" s="93"/>
      <c r="J119" s="92"/>
    </row>
    <row r="120" spans="1:10" x14ac:dyDescent="0.4">
      <c r="A120" s="278"/>
      <c r="B120" s="95" t="s">
        <v>216</v>
      </c>
      <c r="C120" s="93"/>
      <c r="D120" s="92"/>
      <c r="E120" s="93"/>
      <c r="F120" s="92"/>
      <c r="G120" s="93"/>
      <c r="H120" s="92"/>
      <c r="I120" s="93"/>
      <c r="J120" s="92"/>
    </row>
    <row r="121" spans="1:10" x14ac:dyDescent="0.4">
      <c r="A121" s="278"/>
      <c r="B121" s="95" t="s">
        <v>217</v>
      </c>
      <c r="C121" s="93"/>
      <c r="D121" s="92"/>
      <c r="E121" s="93"/>
      <c r="F121" s="92"/>
      <c r="G121" s="93"/>
      <c r="H121" s="92"/>
      <c r="I121" s="98"/>
      <c r="J121" s="99"/>
    </row>
    <row r="122" spans="1:10" x14ac:dyDescent="0.4">
      <c r="A122" s="278"/>
      <c r="B122" s="95" t="s">
        <v>218</v>
      </c>
      <c r="C122" s="93"/>
      <c r="D122" s="92"/>
      <c r="E122" s="93"/>
      <c r="F122" s="92"/>
      <c r="G122" s="93"/>
      <c r="H122" s="92"/>
      <c r="I122" s="98"/>
      <c r="J122" s="99"/>
    </row>
    <row r="123" spans="1:10" x14ac:dyDescent="0.4">
      <c r="A123" s="278"/>
      <c r="B123" s="95" t="s">
        <v>219</v>
      </c>
      <c r="C123" s="93"/>
      <c r="D123" s="92"/>
      <c r="E123" s="93"/>
      <c r="F123" s="92"/>
      <c r="G123" s="93"/>
      <c r="H123" s="92"/>
      <c r="I123" s="98"/>
      <c r="J123" s="99"/>
    </row>
    <row r="124" spans="1:10" x14ac:dyDescent="0.4">
      <c r="A124" s="278"/>
      <c r="B124" s="95" t="s">
        <v>220</v>
      </c>
      <c r="C124" s="93"/>
      <c r="D124" s="92"/>
      <c r="E124" s="93"/>
      <c r="F124" s="92"/>
      <c r="G124" s="98"/>
      <c r="H124" s="99"/>
      <c r="I124" s="98"/>
      <c r="J124" s="99"/>
    </row>
    <row r="125" spans="1:10" x14ac:dyDescent="0.4">
      <c r="A125" s="278"/>
      <c r="B125" s="95" t="s">
        <v>294</v>
      </c>
      <c r="C125" s="93"/>
      <c r="D125" s="92"/>
      <c r="E125" s="98"/>
      <c r="F125" s="99"/>
      <c r="G125" s="98"/>
      <c r="H125" s="99"/>
      <c r="I125" s="98"/>
      <c r="J125" s="99"/>
    </row>
    <row r="126" spans="1:10" x14ac:dyDescent="0.4">
      <c r="A126" s="278"/>
      <c r="B126" s="95" t="s">
        <v>221</v>
      </c>
      <c r="C126" s="93"/>
      <c r="D126" s="92"/>
      <c r="E126" s="98"/>
      <c r="F126" s="99"/>
      <c r="G126" s="98"/>
      <c r="H126" s="99"/>
      <c r="I126" s="98"/>
      <c r="J126" s="99"/>
    </row>
    <row r="127" spans="1:10" x14ac:dyDescent="0.4">
      <c r="A127" s="278"/>
      <c r="B127" s="96" t="s">
        <v>295</v>
      </c>
      <c r="C127" s="93"/>
      <c r="D127" s="92"/>
      <c r="E127" s="93"/>
      <c r="F127" s="92"/>
      <c r="G127" s="93"/>
      <c r="H127" s="92"/>
      <c r="I127" s="93"/>
      <c r="J127" s="92"/>
    </row>
    <row r="128" spans="1:10" x14ac:dyDescent="0.4">
      <c r="A128" s="278"/>
      <c r="B128" s="96" t="s">
        <v>222</v>
      </c>
      <c r="C128" s="93"/>
      <c r="D128" s="92"/>
      <c r="E128" s="93"/>
      <c r="F128" s="92"/>
      <c r="G128" s="93"/>
      <c r="H128" s="92"/>
      <c r="I128" s="93"/>
      <c r="J128" s="92"/>
    </row>
    <row r="129" spans="1:10" x14ac:dyDescent="0.4">
      <c r="A129" s="278"/>
      <c r="B129" s="96" t="s">
        <v>223</v>
      </c>
      <c r="C129" s="93"/>
      <c r="D129" s="92"/>
      <c r="E129" s="93"/>
      <c r="F129" s="92"/>
      <c r="G129" s="93"/>
      <c r="H129" s="92"/>
      <c r="I129" s="93"/>
      <c r="J129" s="92"/>
    </row>
    <row r="130" spans="1:10" x14ac:dyDescent="0.4">
      <c r="A130" s="278"/>
      <c r="B130" s="96" t="s">
        <v>224</v>
      </c>
      <c r="C130" s="93"/>
      <c r="D130" s="92"/>
      <c r="E130" s="93"/>
      <c r="F130" s="92"/>
      <c r="G130" s="93"/>
      <c r="H130" s="92"/>
      <c r="I130" s="93"/>
      <c r="J130" s="92"/>
    </row>
    <row r="131" spans="1:10" x14ac:dyDescent="0.4">
      <c r="A131" s="278"/>
      <c r="B131" s="96" t="s">
        <v>225</v>
      </c>
      <c r="C131" s="93"/>
      <c r="D131" s="92"/>
      <c r="E131" s="93"/>
      <c r="F131" s="92"/>
      <c r="G131" s="93"/>
      <c r="H131" s="92"/>
      <c r="I131" s="93"/>
      <c r="J131" s="92"/>
    </row>
    <row r="132" spans="1:10" x14ac:dyDescent="0.4">
      <c r="A132" s="278"/>
      <c r="B132" s="96" t="s">
        <v>226</v>
      </c>
      <c r="C132" s="93"/>
      <c r="D132" s="92"/>
      <c r="E132" s="93"/>
      <c r="F132" s="92"/>
      <c r="G132" s="93"/>
      <c r="H132" s="92"/>
      <c r="I132" s="93"/>
      <c r="J132" s="92"/>
    </row>
    <row r="133" spans="1:10" x14ac:dyDescent="0.4">
      <c r="A133" s="278"/>
      <c r="B133" s="96" t="s">
        <v>227</v>
      </c>
      <c r="C133" s="93"/>
      <c r="D133" s="92"/>
      <c r="E133" s="93"/>
      <c r="F133" s="92"/>
      <c r="G133" s="93"/>
      <c r="H133" s="92"/>
      <c r="I133" s="93"/>
      <c r="J133" s="92"/>
    </row>
    <row r="134" spans="1:10" x14ac:dyDescent="0.4">
      <c r="A134" s="278"/>
      <c r="B134" s="96" t="s">
        <v>228</v>
      </c>
      <c r="C134" s="93"/>
      <c r="D134" s="92"/>
      <c r="E134" s="93"/>
      <c r="F134" s="92"/>
      <c r="G134" s="93"/>
      <c r="H134" s="92"/>
      <c r="I134" s="93"/>
      <c r="J134" s="92"/>
    </row>
    <row r="135" spans="1:10" x14ac:dyDescent="0.4">
      <c r="A135" s="278"/>
      <c r="B135" s="96" t="s">
        <v>229</v>
      </c>
      <c r="C135" s="93"/>
      <c r="D135" s="92"/>
      <c r="E135" s="93"/>
      <c r="F135" s="92"/>
      <c r="G135" s="98"/>
      <c r="H135" s="99"/>
      <c r="I135" s="93"/>
      <c r="J135" s="92"/>
    </row>
    <row r="136" spans="1:10" x14ac:dyDescent="0.4">
      <c r="A136" s="278"/>
      <c r="B136" s="96" t="s">
        <v>230</v>
      </c>
      <c r="C136" s="93"/>
      <c r="D136" s="92"/>
      <c r="E136" s="93"/>
      <c r="F136" s="92"/>
      <c r="G136" s="98"/>
      <c r="H136" s="99"/>
      <c r="I136" s="98"/>
      <c r="J136" s="99"/>
    </row>
    <row r="137" spans="1:10" x14ac:dyDescent="0.4">
      <c r="A137" s="278"/>
      <c r="B137" s="96" t="s">
        <v>231</v>
      </c>
      <c r="C137" s="93"/>
      <c r="D137" s="92"/>
      <c r="E137" s="93"/>
      <c r="F137" s="92"/>
      <c r="G137" s="98"/>
      <c r="H137" s="99"/>
      <c r="I137" s="98"/>
      <c r="J137" s="99"/>
    </row>
    <row r="138" spans="1:10" x14ac:dyDescent="0.4">
      <c r="A138" s="278"/>
      <c r="B138" s="96" t="s">
        <v>232</v>
      </c>
      <c r="C138" s="93"/>
      <c r="D138" s="92"/>
      <c r="E138" s="93"/>
      <c r="F138" s="92"/>
      <c r="G138" s="98"/>
      <c r="H138" s="99"/>
      <c r="I138" s="98"/>
      <c r="J138" s="99"/>
    </row>
    <row r="139" spans="1:10" x14ac:dyDescent="0.4">
      <c r="A139" s="278"/>
      <c r="B139" s="96" t="s">
        <v>233</v>
      </c>
      <c r="C139" s="93"/>
      <c r="D139" s="92"/>
      <c r="E139" s="93"/>
      <c r="F139" s="92"/>
      <c r="G139" s="98"/>
      <c r="H139" s="99"/>
      <c r="I139" s="98"/>
      <c r="J139" s="99"/>
    </row>
    <row r="140" spans="1:10" x14ac:dyDescent="0.4">
      <c r="A140" s="278"/>
      <c r="B140" s="96" t="s">
        <v>234</v>
      </c>
      <c r="C140" s="93"/>
      <c r="D140" s="92"/>
      <c r="E140" s="93"/>
      <c r="F140" s="92"/>
      <c r="G140" s="98"/>
      <c r="H140" s="99"/>
      <c r="I140" s="98"/>
      <c r="J140" s="99"/>
    </row>
    <row r="141" spans="1:10" x14ac:dyDescent="0.4">
      <c r="A141" s="278"/>
      <c r="B141" s="96" t="s">
        <v>235</v>
      </c>
      <c r="C141" s="93"/>
      <c r="D141" s="92"/>
      <c r="E141" s="98"/>
      <c r="F141" s="99"/>
      <c r="G141" s="98"/>
      <c r="H141" s="99"/>
      <c r="I141" s="98"/>
      <c r="J141" s="99"/>
    </row>
    <row r="142" spans="1:10" x14ac:dyDescent="0.4">
      <c r="A142" s="278"/>
      <c r="B142" s="96" t="s">
        <v>236</v>
      </c>
      <c r="C142" s="93"/>
      <c r="D142" s="92"/>
      <c r="E142" s="98"/>
      <c r="F142" s="99"/>
      <c r="G142" s="98"/>
      <c r="H142" s="99"/>
      <c r="I142" s="98"/>
      <c r="J142" s="99"/>
    </row>
    <row r="143" spans="1:10" x14ac:dyDescent="0.4">
      <c r="A143" s="278"/>
      <c r="B143" s="97" t="s">
        <v>296</v>
      </c>
      <c r="C143" s="93"/>
      <c r="D143" s="92"/>
      <c r="E143" s="93"/>
      <c r="F143" s="92"/>
      <c r="G143" s="93"/>
      <c r="H143" s="92"/>
      <c r="I143" s="93"/>
      <c r="J143" s="92"/>
    </row>
    <row r="144" spans="1:10" x14ac:dyDescent="0.4">
      <c r="A144" s="278"/>
      <c r="B144" s="97" t="s">
        <v>237</v>
      </c>
      <c r="C144" s="93"/>
      <c r="D144" s="92"/>
      <c r="E144" s="93"/>
      <c r="F144" s="92"/>
      <c r="G144" s="93"/>
      <c r="H144" s="92"/>
      <c r="I144" s="93"/>
      <c r="J144" s="92"/>
    </row>
    <row r="145" spans="1:10" x14ac:dyDescent="0.4">
      <c r="A145" s="278"/>
      <c r="B145" s="97" t="s">
        <v>238</v>
      </c>
      <c r="C145" s="93"/>
      <c r="D145" s="92"/>
      <c r="E145" s="93"/>
      <c r="F145" s="92"/>
      <c r="G145" s="93"/>
      <c r="H145" s="92"/>
      <c r="I145" s="93"/>
      <c r="J145" s="92"/>
    </row>
    <row r="146" spans="1:10" x14ac:dyDescent="0.4">
      <c r="A146" s="278"/>
      <c r="B146" s="97" t="s">
        <v>239</v>
      </c>
      <c r="C146" s="93"/>
      <c r="D146" s="92"/>
      <c r="E146" s="93"/>
      <c r="F146" s="92"/>
      <c r="G146" s="93"/>
      <c r="H146" s="92"/>
      <c r="I146" s="93"/>
      <c r="J146" s="92"/>
    </row>
    <row r="147" spans="1:10" x14ac:dyDescent="0.4">
      <c r="A147" s="278"/>
      <c r="B147" s="97" t="s">
        <v>240</v>
      </c>
      <c r="C147" s="93"/>
      <c r="D147" s="92"/>
      <c r="E147" s="93"/>
      <c r="F147" s="92"/>
      <c r="G147" s="93"/>
      <c r="H147" s="92"/>
      <c r="I147" s="93"/>
      <c r="J147" s="92"/>
    </row>
    <row r="148" spans="1:10" x14ac:dyDescent="0.4">
      <c r="A148" s="278"/>
      <c r="B148" s="97" t="s">
        <v>241</v>
      </c>
      <c r="C148" s="93"/>
      <c r="D148" s="92"/>
      <c r="E148" s="93"/>
      <c r="F148" s="92"/>
      <c r="G148" s="93"/>
      <c r="H148" s="92"/>
      <c r="I148" s="93"/>
      <c r="J148" s="92"/>
    </row>
    <row r="149" spans="1:10" x14ac:dyDescent="0.4">
      <c r="A149" s="278"/>
      <c r="B149" s="97" t="s">
        <v>242</v>
      </c>
      <c r="C149" s="93"/>
      <c r="D149" s="92"/>
      <c r="E149" s="93"/>
      <c r="F149" s="92"/>
      <c r="G149" s="93"/>
      <c r="H149" s="92"/>
      <c r="I149" s="93"/>
      <c r="J149" s="92"/>
    </row>
    <row r="150" spans="1:10" x14ac:dyDescent="0.4">
      <c r="A150" s="278"/>
      <c r="B150" s="97" t="s">
        <v>243</v>
      </c>
      <c r="C150" s="93"/>
      <c r="D150" s="92"/>
      <c r="E150" s="93"/>
      <c r="F150" s="92"/>
      <c r="G150" s="93"/>
      <c r="H150" s="92"/>
      <c r="I150" s="93"/>
      <c r="J150" s="92"/>
    </row>
    <row r="151" spans="1:10" x14ac:dyDescent="0.4">
      <c r="A151" s="278"/>
      <c r="B151" s="97" t="s">
        <v>244</v>
      </c>
      <c r="C151" s="93"/>
      <c r="D151" s="92"/>
      <c r="E151" s="93"/>
      <c r="F151" s="92"/>
      <c r="G151" s="93"/>
      <c r="H151" s="92"/>
      <c r="I151" s="98"/>
      <c r="J151" s="99"/>
    </row>
    <row r="152" spans="1:10" x14ac:dyDescent="0.4">
      <c r="A152" s="278"/>
      <c r="B152" s="97" t="s">
        <v>245</v>
      </c>
      <c r="C152" s="93"/>
      <c r="D152" s="92"/>
      <c r="E152" s="93"/>
      <c r="F152" s="92"/>
      <c r="G152" s="93"/>
      <c r="H152" s="92"/>
      <c r="I152" s="98"/>
      <c r="J152" s="99"/>
    </row>
    <row r="153" spans="1:10" x14ac:dyDescent="0.4">
      <c r="A153" s="278"/>
      <c r="B153" s="97" t="s">
        <v>246</v>
      </c>
      <c r="C153" s="98"/>
      <c r="D153" s="99"/>
      <c r="E153" s="93"/>
      <c r="F153" s="92"/>
      <c r="G153" s="93"/>
      <c r="H153" s="92"/>
      <c r="I153" s="98"/>
      <c r="J153" s="99"/>
    </row>
    <row r="154" spans="1:10" x14ac:dyDescent="0.4">
      <c r="A154" s="278"/>
      <c r="B154" s="97" t="s">
        <v>247</v>
      </c>
      <c r="C154" s="98"/>
      <c r="D154" s="99"/>
      <c r="E154" s="93"/>
      <c r="F154" s="92"/>
      <c r="G154" s="93"/>
      <c r="H154" s="92"/>
      <c r="I154" s="98"/>
      <c r="J154" s="99"/>
    </row>
    <row r="155" spans="1:10" x14ac:dyDescent="0.4">
      <c r="A155" s="278"/>
      <c r="B155" s="97" t="s">
        <v>248</v>
      </c>
      <c r="C155" s="98"/>
      <c r="D155" s="99"/>
      <c r="E155" s="98"/>
      <c r="F155" s="99"/>
      <c r="G155" s="93"/>
      <c r="H155" s="92"/>
      <c r="I155" s="98"/>
      <c r="J155" s="99"/>
    </row>
    <row r="156" spans="1:10" x14ac:dyDescent="0.4">
      <c r="A156" s="278"/>
      <c r="B156" s="94" t="s">
        <v>297</v>
      </c>
      <c r="C156" s="98"/>
      <c r="D156" s="99"/>
      <c r="E156" s="98"/>
      <c r="F156" s="99"/>
      <c r="G156" s="98"/>
      <c r="H156" s="99"/>
      <c r="I156" s="93"/>
      <c r="J156" s="92"/>
    </row>
    <row r="157" spans="1:10" x14ac:dyDescent="0.4">
      <c r="A157" s="278"/>
      <c r="B157" s="94" t="s">
        <v>249</v>
      </c>
      <c r="C157" s="98"/>
      <c r="D157" s="99"/>
      <c r="E157" s="98"/>
      <c r="F157" s="99"/>
      <c r="G157" s="98"/>
      <c r="H157" s="99"/>
      <c r="I157" s="93"/>
      <c r="J157" s="92"/>
    </row>
    <row r="158" spans="1:10" x14ac:dyDescent="0.4">
      <c r="A158" s="278"/>
      <c r="B158" s="94" t="s">
        <v>250</v>
      </c>
      <c r="C158" s="98"/>
      <c r="D158" s="99"/>
      <c r="E158" s="98"/>
      <c r="F158" s="99"/>
      <c r="G158" s="98"/>
      <c r="H158" s="99"/>
      <c r="I158" s="93"/>
      <c r="J158" s="92"/>
    </row>
    <row r="159" spans="1:10" x14ac:dyDescent="0.4">
      <c r="A159" s="278"/>
      <c r="B159" s="94" t="s">
        <v>251</v>
      </c>
      <c r="C159" s="98"/>
      <c r="D159" s="99"/>
      <c r="E159" s="98"/>
      <c r="F159" s="99"/>
      <c r="G159" s="98"/>
      <c r="H159" s="99"/>
      <c r="I159" s="93"/>
      <c r="J159" s="92"/>
    </row>
    <row r="160" spans="1:10" x14ac:dyDescent="0.4">
      <c r="A160" s="278"/>
      <c r="B160" s="94" t="s">
        <v>252</v>
      </c>
      <c r="C160" s="98"/>
      <c r="D160" s="99"/>
      <c r="E160" s="98"/>
      <c r="F160" s="99"/>
      <c r="G160" s="98"/>
      <c r="H160" s="99"/>
      <c r="I160" s="93"/>
      <c r="J160" s="92"/>
    </row>
    <row r="161" spans="1:11" x14ac:dyDescent="0.4">
      <c r="A161" s="278"/>
      <c r="B161" s="94" t="s">
        <v>253</v>
      </c>
      <c r="C161" s="98"/>
      <c r="D161" s="99"/>
      <c r="E161" s="98"/>
      <c r="F161" s="99"/>
      <c r="G161" s="98"/>
      <c r="H161" s="99"/>
      <c r="I161" s="93"/>
      <c r="J161" s="92"/>
    </row>
    <row r="162" spans="1:11" x14ac:dyDescent="0.4">
      <c r="A162" s="278"/>
      <c r="B162" s="94" t="s">
        <v>254</v>
      </c>
      <c r="C162" s="98"/>
      <c r="D162" s="99"/>
      <c r="E162" s="98"/>
      <c r="F162" s="99"/>
      <c r="G162" s="98"/>
      <c r="H162" s="99"/>
      <c r="I162" s="93"/>
      <c r="J162" s="92"/>
    </row>
    <row r="163" spans="1:11" x14ac:dyDescent="0.4">
      <c r="A163" s="278"/>
      <c r="B163" s="94" t="s">
        <v>255</v>
      </c>
      <c r="C163" s="98"/>
      <c r="D163" s="99"/>
      <c r="E163" s="98"/>
      <c r="F163" s="99"/>
      <c r="G163" s="98"/>
      <c r="H163" s="99"/>
      <c r="I163" s="93"/>
      <c r="J163" s="92"/>
    </row>
    <row r="164" spans="1:11" x14ac:dyDescent="0.4">
      <c r="A164" s="278"/>
      <c r="B164" s="94" t="s">
        <v>256</v>
      </c>
      <c r="C164" s="98"/>
      <c r="D164" s="99"/>
      <c r="E164" s="98"/>
      <c r="F164" s="99"/>
      <c r="G164" s="98"/>
      <c r="H164" s="99"/>
      <c r="I164" s="93"/>
      <c r="J164" s="92"/>
    </row>
    <row r="165" spans="1:11" x14ac:dyDescent="0.4">
      <c r="A165" s="278"/>
      <c r="B165" s="94" t="s">
        <v>257</v>
      </c>
      <c r="C165" s="98"/>
      <c r="D165" s="99"/>
      <c r="E165" s="98"/>
      <c r="F165" s="99"/>
      <c r="G165" s="98"/>
      <c r="H165" s="99"/>
      <c r="I165" s="93"/>
      <c r="J165" s="92"/>
    </row>
    <row r="166" spans="1:11" x14ac:dyDescent="0.4">
      <c r="A166" s="278"/>
      <c r="B166" s="94" t="s">
        <v>258</v>
      </c>
      <c r="C166" s="98"/>
      <c r="D166" s="99"/>
      <c r="E166" s="98"/>
      <c r="F166" s="99"/>
      <c r="G166" s="98"/>
      <c r="H166" s="99"/>
      <c r="I166" s="93"/>
      <c r="J166" s="92"/>
    </row>
    <row r="167" spans="1:11" x14ac:dyDescent="0.4">
      <c r="A167" s="279"/>
      <c r="B167" s="94" t="s">
        <v>259</v>
      </c>
      <c r="C167" s="98"/>
      <c r="D167" s="99"/>
      <c r="E167" s="98"/>
      <c r="F167" s="99"/>
      <c r="G167" s="98"/>
      <c r="H167" s="99"/>
      <c r="I167" s="93"/>
      <c r="J167" s="92"/>
    </row>
    <row r="168" spans="1:11" x14ac:dyDescent="0.4">
      <c r="A168" s="115" t="s">
        <v>263</v>
      </c>
      <c r="B168" s="116" t="e">
        <f>SUM(C168,E168,G168,I168)</f>
        <v>#DIV/0!</v>
      </c>
      <c r="C168" s="103" t="e">
        <f>AVERAGE(C95:C107,C111:C152)</f>
        <v>#DIV/0!</v>
      </c>
      <c r="D168" s="103" t="e">
        <f>AVERAGE(D95:D107,D111:D152)</f>
        <v>#DIV/0!</v>
      </c>
      <c r="E168" s="103" t="e">
        <f>AVERAGE(E95:E103,E111:E124,E127:E140,E143:E154)</f>
        <v>#DIV/0!</v>
      </c>
      <c r="F168" s="103" t="e">
        <f>AVERAGE(F95:F103,F111:F124,F127:F140,F143:F154)</f>
        <v>#DIV/0!</v>
      </c>
      <c r="G168" s="103" t="e">
        <f>AVERAGE(G95:G123,G127:G134,G143:G155)</f>
        <v>#DIV/0!</v>
      </c>
      <c r="H168" s="103" t="e">
        <f>AVERAGE(H95:H123,H127:H134,H143:H155)</f>
        <v>#DIV/0!</v>
      </c>
      <c r="I168" s="103" t="e">
        <f>AVERAGE(I95:I102,I111:I120,I127:I135,I143:I150,I156:I167)</f>
        <v>#DIV/0!</v>
      </c>
      <c r="J168" s="103" t="e">
        <f>AVERAGE(J95:J102,J111:J120,J127:J135,J143:J150,J156:J167)</f>
        <v>#DIV/0!</v>
      </c>
    </row>
    <row r="169" spans="1:11" x14ac:dyDescent="0.4">
      <c r="A169" s="115" t="s">
        <v>264</v>
      </c>
      <c r="B169" s="116" t="e">
        <f>SUM(D168,F168,H168,J168)</f>
        <v>#DIV/0!</v>
      </c>
      <c r="C169" s="63" t="s">
        <v>265</v>
      </c>
      <c r="D169" s="117" t="s">
        <v>266</v>
      </c>
      <c r="E169" s="63" t="s">
        <v>265</v>
      </c>
      <c r="F169" s="117" t="s">
        <v>266</v>
      </c>
      <c r="G169" s="63" t="s">
        <v>265</v>
      </c>
      <c r="H169" s="117" t="s">
        <v>266</v>
      </c>
      <c r="I169" s="63" t="s">
        <v>265</v>
      </c>
      <c r="J169" s="117" t="s">
        <v>266</v>
      </c>
    </row>
    <row r="172" spans="1:11" x14ac:dyDescent="0.4">
      <c r="A172" s="280" t="s">
        <v>107</v>
      </c>
      <c r="B172" s="280"/>
      <c r="C172" s="280"/>
      <c r="D172" s="280"/>
      <c r="E172" s="280"/>
      <c r="F172" s="280"/>
      <c r="G172" s="280"/>
      <c r="H172" s="280"/>
      <c r="I172" s="280"/>
      <c r="J172" s="281"/>
      <c r="K172" s="108">
        <v>2</v>
      </c>
    </row>
    <row r="173" spans="1:11" ht="34.799999999999997" x14ac:dyDescent="0.4">
      <c r="A173" s="73" t="s">
        <v>267</v>
      </c>
      <c r="B173" s="73" t="s">
        <v>268</v>
      </c>
      <c r="C173" s="73" t="s">
        <v>269</v>
      </c>
      <c r="D173" s="73" t="s">
        <v>108</v>
      </c>
      <c r="E173" s="73" t="s">
        <v>109</v>
      </c>
      <c r="F173" s="74" t="s">
        <v>270</v>
      </c>
      <c r="G173" s="73" t="s">
        <v>110</v>
      </c>
      <c r="H173" s="73" t="s">
        <v>111</v>
      </c>
      <c r="I173" s="73" t="s">
        <v>112</v>
      </c>
      <c r="J173" s="73" t="s">
        <v>113</v>
      </c>
    </row>
    <row r="174" spans="1:11" x14ac:dyDescent="0.4">
      <c r="A174" s="282" t="s">
        <v>271</v>
      </c>
      <c r="B174" s="86" t="s">
        <v>114</v>
      </c>
      <c r="C174" s="75" t="s">
        <v>272</v>
      </c>
      <c r="D174" s="76">
        <v>1</v>
      </c>
      <c r="E174" s="77">
        <v>1</v>
      </c>
      <c r="F174" s="274" t="s">
        <v>273</v>
      </c>
      <c r="G174" s="75">
        <v>105.48</v>
      </c>
      <c r="H174" s="51">
        <v>25.5</v>
      </c>
      <c r="I174" s="52">
        <v>26.6</v>
      </c>
      <c r="J174" s="52">
        <v>25.947168858331978</v>
      </c>
    </row>
    <row r="175" spans="1:11" x14ac:dyDescent="0.4">
      <c r="A175" s="283"/>
      <c r="B175" s="86" t="s">
        <v>115</v>
      </c>
      <c r="C175" s="75" t="s">
        <v>274</v>
      </c>
      <c r="D175" s="76">
        <v>1</v>
      </c>
      <c r="E175" s="77">
        <v>1</v>
      </c>
      <c r="F175" s="275"/>
      <c r="G175" s="75">
        <v>105.48</v>
      </c>
      <c r="H175" s="51">
        <v>26</v>
      </c>
      <c r="I175" s="52">
        <v>27.1</v>
      </c>
      <c r="J175" s="52">
        <v>26.534160006693167</v>
      </c>
    </row>
    <row r="176" spans="1:11" x14ac:dyDescent="0.4">
      <c r="A176" s="283"/>
      <c r="B176" s="86" t="s">
        <v>116</v>
      </c>
      <c r="C176" s="75" t="s">
        <v>117</v>
      </c>
      <c r="D176" s="76">
        <v>1</v>
      </c>
      <c r="E176" s="77">
        <v>1</v>
      </c>
      <c r="F176" s="78"/>
      <c r="G176" s="75">
        <v>105.48</v>
      </c>
      <c r="H176" s="51">
        <v>26</v>
      </c>
      <c r="I176" s="52">
        <v>27.1</v>
      </c>
      <c r="J176" s="52">
        <v>26.612712003992765</v>
      </c>
    </row>
    <row r="177" spans="1:10" x14ac:dyDescent="0.4">
      <c r="A177" s="284"/>
      <c r="B177" s="86" t="s">
        <v>118</v>
      </c>
      <c r="C177" s="75" t="s">
        <v>119</v>
      </c>
      <c r="D177" s="76">
        <v>1</v>
      </c>
      <c r="E177" s="77">
        <v>1</v>
      </c>
      <c r="F177" s="78"/>
      <c r="G177" s="75">
        <v>105.48</v>
      </c>
      <c r="H177" s="51">
        <v>25.9</v>
      </c>
      <c r="I177" s="52">
        <v>27</v>
      </c>
      <c r="J177" s="52">
        <v>26.551582992080178</v>
      </c>
    </row>
    <row r="178" spans="1:10" x14ac:dyDescent="0.4">
      <c r="A178" s="282" t="s">
        <v>275</v>
      </c>
      <c r="B178" s="86" t="s">
        <v>120</v>
      </c>
      <c r="C178" s="75" t="s">
        <v>276</v>
      </c>
      <c r="D178" s="76">
        <v>1</v>
      </c>
      <c r="E178" s="77">
        <v>1</v>
      </c>
      <c r="F178" s="274" t="s">
        <v>273</v>
      </c>
      <c r="G178" s="75">
        <v>105.48</v>
      </c>
      <c r="H178" s="51">
        <v>19.5</v>
      </c>
      <c r="I178" s="52">
        <v>28</v>
      </c>
      <c r="J178" s="52">
        <v>26.562861558467784</v>
      </c>
    </row>
    <row r="179" spans="1:10" x14ac:dyDescent="0.4">
      <c r="A179" s="283"/>
      <c r="B179" s="86" t="s">
        <v>121</v>
      </c>
      <c r="C179" s="75" t="s">
        <v>277</v>
      </c>
      <c r="D179" s="76">
        <v>1</v>
      </c>
      <c r="E179" s="77">
        <v>1</v>
      </c>
      <c r="F179" s="275"/>
      <c r="G179" s="75">
        <v>105.48</v>
      </c>
      <c r="H179" s="51">
        <v>24.3</v>
      </c>
      <c r="I179" s="52">
        <v>27.7</v>
      </c>
      <c r="J179" s="52">
        <v>26.468817329979629</v>
      </c>
    </row>
    <row r="180" spans="1:10" x14ac:dyDescent="0.4">
      <c r="A180" s="283"/>
      <c r="B180" s="86" t="s">
        <v>122</v>
      </c>
      <c r="C180" s="75" t="s">
        <v>123</v>
      </c>
      <c r="D180" s="76">
        <v>1</v>
      </c>
      <c r="E180" s="77">
        <v>1</v>
      </c>
      <c r="F180" s="275"/>
      <c r="G180" s="75">
        <v>105.48</v>
      </c>
      <c r="H180" s="51">
        <v>17</v>
      </c>
      <c r="I180" s="52">
        <v>27</v>
      </c>
      <c r="J180" s="52">
        <v>21.191033060811872</v>
      </c>
    </row>
    <row r="181" spans="1:10" x14ac:dyDescent="0.4">
      <c r="A181" s="283"/>
      <c r="B181" s="86" t="s">
        <v>124</v>
      </c>
      <c r="C181" s="75" t="s">
        <v>125</v>
      </c>
      <c r="D181" s="76">
        <v>1</v>
      </c>
      <c r="E181" s="77">
        <v>1</v>
      </c>
      <c r="F181" s="275"/>
      <c r="G181" s="75">
        <v>105.48</v>
      </c>
      <c r="H181" s="51">
        <v>24.9</v>
      </c>
      <c r="I181" s="52">
        <v>27.5</v>
      </c>
      <c r="J181" s="52">
        <v>26.191250294344051</v>
      </c>
    </row>
    <row r="182" spans="1:10" x14ac:dyDescent="0.4">
      <c r="A182" s="283"/>
      <c r="B182" s="86" t="s">
        <v>126</v>
      </c>
      <c r="C182" s="75" t="s">
        <v>278</v>
      </c>
      <c r="D182" s="76">
        <v>1</v>
      </c>
      <c r="E182" s="77">
        <v>1</v>
      </c>
      <c r="F182" s="78"/>
      <c r="G182" s="75">
        <v>70.319999999999993</v>
      </c>
      <c r="H182" s="51">
        <v>13.9</v>
      </c>
      <c r="I182" s="52">
        <v>26.3</v>
      </c>
      <c r="J182" s="52">
        <v>24.473978140810075</v>
      </c>
    </row>
    <row r="183" spans="1:10" x14ac:dyDescent="0.4">
      <c r="A183" s="283"/>
      <c r="B183" s="86" t="s">
        <v>127</v>
      </c>
      <c r="C183" s="75" t="s">
        <v>128</v>
      </c>
      <c r="D183" s="76">
        <v>1</v>
      </c>
      <c r="E183" s="77">
        <v>1</v>
      </c>
      <c r="F183" s="78"/>
      <c r="G183" s="75">
        <v>70.319999999999993</v>
      </c>
      <c r="H183" s="51">
        <v>14.1</v>
      </c>
      <c r="I183" s="52">
        <v>26.1</v>
      </c>
      <c r="J183" s="52">
        <v>24.513090894548593</v>
      </c>
    </row>
    <row r="184" spans="1:10" x14ac:dyDescent="0.4">
      <c r="A184" s="284"/>
      <c r="B184" s="86" t="s">
        <v>129</v>
      </c>
      <c r="C184" s="75" t="s">
        <v>130</v>
      </c>
      <c r="D184" s="76">
        <v>1</v>
      </c>
      <c r="E184" s="77">
        <v>1</v>
      </c>
      <c r="F184" s="78"/>
      <c r="G184" s="75">
        <v>70.319999999999993</v>
      </c>
      <c r="H184" s="51">
        <v>14.8</v>
      </c>
      <c r="I184" s="52">
        <v>26</v>
      </c>
      <c r="J184" s="52">
        <v>24.625210701474238</v>
      </c>
    </row>
    <row r="185" spans="1:10" x14ac:dyDescent="0.4">
      <c r="A185" s="273" t="s">
        <v>279</v>
      </c>
      <c r="B185" s="86" t="s">
        <v>131</v>
      </c>
      <c r="C185" s="75" t="s">
        <v>280</v>
      </c>
      <c r="D185" s="76">
        <v>1</v>
      </c>
      <c r="E185" s="77">
        <v>1</v>
      </c>
      <c r="F185" s="274" t="s">
        <v>273</v>
      </c>
      <c r="G185" s="75">
        <v>105.48</v>
      </c>
      <c r="H185" s="51">
        <v>24</v>
      </c>
      <c r="I185" s="52">
        <v>25.5</v>
      </c>
      <c r="J185" s="52">
        <v>24.86613436981952</v>
      </c>
    </row>
    <row r="186" spans="1:10" x14ac:dyDescent="0.4">
      <c r="A186" s="273"/>
      <c r="B186" s="86" t="s">
        <v>132</v>
      </c>
      <c r="C186" s="75" t="s">
        <v>133</v>
      </c>
      <c r="D186" s="76">
        <v>1</v>
      </c>
      <c r="E186" s="77">
        <v>1</v>
      </c>
      <c r="F186" s="275"/>
      <c r="G186" s="75">
        <v>105.48</v>
      </c>
      <c r="H186" s="51">
        <v>24.4</v>
      </c>
      <c r="I186" s="52">
        <v>25.9</v>
      </c>
      <c r="J186" s="52">
        <v>25.221151651472233</v>
      </c>
    </row>
    <row r="187" spans="1:10" x14ac:dyDescent="0.4">
      <c r="A187" s="273"/>
      <c r="B187" s="86" t="s">
        <v>134</v>
      </c>
      <c r="C187" s="75" t="s">
        <v>135</v>
      </c>
      <c r="D187" s="76">
        <v>1</v>
      </c>
      <c r="E187" s="77">
        <v>1</v>
      </c>
      <c r="F187" s="275"/>
      <c r="G187" s="79">
        <v>105.48</v>
      </c>
      <c r="H187" s="51">
        <v>24.5</v>
      </c>
      <c r="I187" s="52">
        <v>26.4</v>
      </c>
      <c r="J187" s="52">
        <v>25.252246982879878</v>
      </c>
    </row>
    <row r="188" spans="1:10" x14ac:dyDescent="0.4">
      <c r="A188" s="273"/>
      <c r="B188" s="86" t="s">
        <v>136</v>
      </c>
      <c r="C188" s="75" t="s">
        <v>137</v>
      </c>
      <c r="D188" s="76">
        <v>1</v>
      </c>
      <c r="E188" s="77">
        <v>1</v>
      </c>
      <c r="F188" s="275"/>
      <c r="G188" s="79">
        <v>105.48</v>
      </c>
      <c r="H188" s="51">
        <v>24.1</v>
      </c>
      <c r="I188" s="52">
        <v>26</v>
      </c>
      <c r="J188" s="52">
        <v>24.844128275320063</v>
      </c>
    </row>
    <row r="189" spans="1:10" x14ac:dyDescent="0.4">
      <c r="A189" s="273"/>
      <c r="B189" s="86" t="s">
        <v>138</v>
      </c>
      <c r="C189" s="75" t="s">
        <v>281</v>
      </c>
      <c r="D189" s="76">
        <v>0</v>
      </c>
      <c r="E189" s="77">
        <v>1</v>
      </c>
      <c r="F189" s="274" t="s">
        <v>282</v>
      </c>
      <c r="G189" s="75">
        <v>32.549999999999997</v>
      </c>
      <c r="H189" s="111">
        <v>25.3</v>
      </c>
      <c r="I189" s="111">
        <v>33.5</v>
      </c>
      <c r="J189" s="111">
        <v>32.598777177207168</v>
      </c>
    </row>
    <row r="190" spans="1:10" x14ac:dyDescent="0.4">
      <c r="A190" s="273"/>
      <c r="B190" s="86" t="s">
        <v>139</v>
      </c>
      <c r="C190" s="75" t="s">
        <v>140</v>
      </c>
      <c r="D190" s="76">
        <v>0</v>
      </c>
      <c r="E190" s="77">
        <v>1</v>
      </c>
      <c r="F190" s="276"/>
      <c r="G190" s="75">
        <v>32.549999999999997</v>
      </c>
      <c r="H190" s="112">
        <v>23.4</v>
      </c>
      <c r="I190" s="112">
        <v>27.2</v>
      </c>
      <c r="J190" s="112">
        <v>26.023714421315294</v>
      </c>
    </row>
    <row r="191" spans="1:10" x14ac:dyDescent="0.4">
      <c r="A191" s="273"/>
      <c r="B191" s="86" t="s">
        <v>141</v>
      </c>
      <c r="C191" s="75" t="s">
        <v>283</v>
      </c>
      <c r="D191" s="76">
        <v>0</v>
      </c>
      <c r="E191" s="77">
        <v>1</v>
      </c>
      <c r="F191" s="274" t="s">
        <v>282</v>
      </c>
      <c r="G191" s="75">
        <v>32.549999999999997</v>
      </c>
      <c r="H191" s="112">
        <v>21.8</v>
      </c>
      <c r="I191" s="112">
        <v>32.700000000000003</v>
      </c>
      <c r="J191" s="112">
        <v>31.101890811719603</v>
      </c>
    </row>
    <row r="192" spans="1:10" x14ac:dyDescent="0.4">
      <c r="A192" s="273"/>
      <c r="B192" s="86" t="s">
        <v>142</v>
      </c>
      <c r="C192" s="75" t="s">
        <v>143</v>
      </c>
      <c r="D192" s="76">
        <v>1</v>
      </c>
      <c r="E192" s="77">
        <v>1</v>
      </c>
      <c r="F192" s="275"/>
      <c r="G192" s="75">
        <v>32.549999999999997</v>
      </c>
      <c r="H192" s="53">
        <v>22.5</v>
      </c>
      <c r="I192" s="53">
        <v>27.8</v>
      </c>
      <c r="J192" s="53">
        <v>26.137480201432698</v>
      </c>
    </row>
    <row r="193" spans="1:10" x14ac:dyDescent="0.4">
      <c r="A193" s="273"/>
      <c r="B193" s="86" t="s">
        <v>144</v>
      </c>
      <c r="C193" s="75" t="s">
        <v>145</v>
      </c>
      <c r="D193" s="76">
        <v>0</v>
      </c>
      <c r="E193" s="77">
        <v>1</v>
      </c>
      <c r="F193" s="275"/>
      <c r="G193" s="75">
        <v>32.549999999999997</v>
      </c>
      <c r="H193" s="112">
        <v>17.8</v>
      </c>
      <c r="I193" s="112">
        <v>29.5</v>
      </c>
      <c r="J193" s="112">
        <v>27.936542597126117</v>
      </c>
    </row>
    <row r="194" spans="1:10" x14ac:dyDescent="0.4">
      <c r="A194" s="273"/>
      <c r="B194" s="86" t="s">
        <v>146</v>
      </c>
      <c r="C194" s="75" t="s">
        <v>147</v>
      </c>
      <c r="D194" s="76">
        <v>1</v>
      </c>
      <c r="E194" s="77">
        <v>1</v>
      </c>
      <c r="F194" s="275"/>
      <c r="G194" s="75">
        <v>32.549999999999997</v>
      </c>
      <c r="H194" s="53">
        <v>21.4</v>
      </c>
      <c r="I194" s="53">
        <v>26.9</v>
      </c>
      <c r="J194" s="53">
        <v>24.703474713280034</v>
      </c>
    </row>
    <row r="195" spans="1:10" x14ac:dyDescent="0.4">
      <c r="A195" s="273"/>
      <c r="B195" s="86" t="s">
        <v>148</v>
      </c>
      <c r="C195" s="75" t="s">
        <v>149</v>
      </c>
      <c r="D195" s="76">
        <v>0</v>
      </c>
      <c r="E195" s="77">
        <v>1</v>
      </c>
      <c r="F195" s="275"/>
      <c r="G195" s="75">
        <v>32.549999999999997</v>
      </c>
      <c r="H195" s="53">
        <v>20.3</v>
      </c>
      <c r="I195" s="53">
        <v>24.4</v>
      </c>
      <c r="J195" s="53">
        <v>21.562160054259266</v>
      </c>
    </row>
    <row r="196" spans="1:10" x14ac:dyDescent="0.4">
      <c r="A196" s="273"/>
      <c r="B196" s="86" t="s">
        <v>150</v>
      </c>
      <c r="C196" s="75" t="s">
        <v>151</v>
      </c>
      <c r="D196" s="76">
        <v>1</v>
      </c>
      <c r="E196" s="77">
        <v>1</v>
      </c>
      <c r="F196" s="275"/>
      <c r="G196" s="75">
        <v>32.549999999999997</v>
      </c>
      <c r="H196" s="53">
        <v>21.2</v>
      </c>
      <c r="I196" s="53">
        <v>24.2</v>
      </c>
      <c r="J196" s="53">
        <v>23.427404201133758</v>
      </c>
    </row>
    <row r="197" spans="1:10" x14ac:dyDescent="0.4">
      <c r="A197" s="273"/>
      <c r="B197" s="86" t="s">
        <v>152</v>
      </c>
      <c r="C197" s="75" t="s">
        <v>153</v>
      </c>
      <c r="D197" s="76">
        <v>0</v>
      </c>
      <c r="E197" s="77">
        <v>1</v>
      </c>
      <c r="F197" s="275"/>
      <c r="G197" s="75">
        <v>32.549999999999997</v>
      </c>
      <c r="H197" s="112"/>
      <c r="I197" s="112"/>
      <c r="J197" s="112"/>
    </row>
    <row r="198" spans="1:10" x14ac:dyDescent="0.4">
      <c r="A198" s="273"/>
      <c r="B198" s="86" t="s">
        <v>154</v>
      </c>
      <c r="C198" s="75" t="s">
        <v>155</v>
      </c>
      <c r="D198" s="76">
        <v>0</v>
      </c>
      <c r="E198" s="77">
        <v>1</v>
      </c>
      <c r="F198" s="275"/>
      <c r="G198" s="75">
        <v>32.549999999999997</v>
      </c>
      <c r="H198" s="112">
        <v>18.399999999999999</v>
      </c>
      <c r="I198" s="112">
        <v>99.5</v>
      </c>
      <c r="J198" s="112">
        <v>22.382754481136075</v>
      </c>
    </row>
    <row r="199" spans="1:10" x14ac:dyDescent="0.4">
      <c r="A199" s="273"/>
      <c r="B199" s="86" t="s">
        <v>156</v>
      </c>
      <c r="C199" s="75" t="s">
        <v>157</v>
      </c>
      <c r="D199" s="76">
        <v>0</v>
      </c>
      <c r="E199" s="77">
        <v>1</v>
      </c>
      <c r="F199" s="275"/>
      <c r="G199" s="75">
        <v>32.549999999999997</v>
      </c>
      <c r="H199" s="112">
        <v>18.399999999999999</v>
      </c>
      <c r="I199" s="112">
        <v>25.1</v>
      </c>
      <c r="J199" s="112">
        <v>23.977183057851555</v>
      </c>
    </row>
    <row r="200" spans="1:10" x14ac:dyDescent="0.4">
      <c r="A200" s="273"/>
      <c r="B200" s="86" t="s">
        <v>158</v>
      </c>
      <c r="C200" s="75" t="s">
        <v>159</v>
      </c>
      <c r="D200" s="76">
        <v>0</v>
      </c>
      <c r="E200" s="77">
        <v>1</v>
      </c>
      <c r="F200" s="275"/>
      <c r="G200" s="75">
        <v>32.549999999999997</v>
      </c>
      <c r="H200" s="112">
        <v>17.7</v>
      </c>
      <c r="I200" s="112">
        <v>29.2</v>
      </c>
      <c r="J200" s="112">
        <v>21.609415322508042</v>
      </c>
    </row>
    <row r="201" spans="1:10" x14ac:dyDescent="0.4">
      <c r="A201" s="273"/>
      <c r="B201" s="86" t="s">
        <v>160</v>
      </c>
      <c r="C201" s="75" t="s">
        <v>161</v>
      </c>
      <c r="D201" s="76">
        <v>0</v>
      </c>
      <c r="E201" s="77">
        <v>1</v>
      </c>
      <c r="F201" s="275"/>
      <c r="G201" s="75">
        <v>32.549999999999997</v>
      </c>
      <c r="H201" s="112">
        <v>21.2</v>
      </c>
      <c r="I201" s="112">
        <v>25.6</v>
      </c>
      <c r="J201" s="112">
        <v>22.483006882817978</v>
      </c>
    </row>
    <row r="202" spans="1:10" x14ac:dyDescent="0.4">
      <c r="A202" s="273"/>
      <c r="B202" s="86" t="s">
        <v>162</v>
      </c>
      <c r="C202" s="75" t="s">
        <v>163</v>
      </c>
      <c r="D202" s="76">
        <v>0</v>
      </c>
      <c r="E202" s="77">
        <v>1</v>
      </c>
      <c r="F202" s="276"/>
      <c r="G202" s="75">
        <v>32.549999999999997</v>
      </c>
      <c r="H202" s="112">
        <v>19</v>
      </c>
      <c r="I202" s="112">
        <v>23.8</v>
      </c>
      <c r="J202" s="112">
        <v>21.875528539539498</v>
      </c>
    </row>
    <row r="203" spans="1:10" x14ac:dyDescent="0.4">
      <c r="A203" s="273"/>
      <c r="B203" s="86" t="s">
        <v>164</v>
      </c>
      <c r="C203" s="75" t="s">
        <v>284</v>
      </c>
      <c r="D203" s="76">
        <v>0</v>
      </c>
      <c r="E203" s="77">
        <v>1</v>
      </c>
      <c r="F203" s="274" t="s">
        <v>282</v>
      </c>
      <c r="G203" s="75">
        <v>24.4</v>
      </c>
      <c r="H203" s="112">
        <v>27.5</v>
      </c>
      <c r="I203" s="112">
        <v>30</v>
      </c>
      <c r="J203" s="112">
        <v>28.669886471256667</v>
      </c>
    </row>
    <row r="204" spans="1:10" x14ac:dyDescent="0.4">
      <c r="A204" s="273"/>
      <c r="B204" s="86" t="s">
        <v>165</v>
      </c>
      <c r="C204" s="75" t="s">
        <v>166</v>
      </c>
      <c r="D204" s="76">
        <v>0</v>
      </c>
      <c r="E204" s="77">
        <v>1</v>
      </c>
      <c r="F204" s="276"/>
      <c r="G204" s="75">
        <v>24.4</v>
      </c>
      <c r="H204" s="112">
        <v>26</v>
      </c>
      <c r="I204" s="112">
        <v>28.5</v>
      </c>
      <c r="J204" s="112">
        <v>27.101774468195114</v>
      </c>
    </row>
    <row r="205" spans="1:10" x14ac:dyDescent="0.4">
      <c r="A205" s="273" t="s">
        <v>285</v>
      </c>
      <c r="B205" s="86" t="s">
        <v>167</v>
      </c>
      <c r="C205" s="75" t="s">
        <v>286</v>
      </c>
      <c r="D205" s="76">
        <v>1</v>
      </c>
      <c r="E205" s="77">
        <v>1</v>
      </c>
      <c r="F205" s="274" t="s">
        <v>273</v>
      </c>
      <c r="G205" s="75">
        <v>105.48</v>
      </c>
      <c r="H205" s="51">
        <v>24.8</v>
      </c>
      <c r="I205" s="53">
        <v>26</v>
      </c>
      <c r="J205" s="53">
        <v>25.5657765485998</v>
      </c>
    </row>
    <row r="206" spans="1:10" x14ac:dyDescent="0.4">
      <c r="A206" s="273"/>
      <c r="B206" s="86" t="s">
        <v>168</v>
      </c>
      <c r="C206" s="75" t="s">
        <v>169</v>
      </c>
      <c r="D206" s="76">
        <v>1</v>
      </c>
      <c r="E206" s="77">
        <v>1</v>
      </c>
      <c r="F206" s="275"/>
      <c r="G206" s="75">
        <v>105.48</v>
      </c>
      <c r="H206" s="51">
        <v>24.6</v>
      </c>
      <c r="I206" s="54">
        <v>25.8</v>
      </c>
      <c r="J206" s="54">
        <v>25.342871866513704</v>
      </c>
    </row>
    <row r="207" spans="1:10" x14ac:dyDescent="0.4">
      <c r="A207" s="273"/>
      <c r="B207" s="86" t="s">
        <v>170</v>
      </c>
      <c r="C207" s="75" t="s">
        <v>171</v>
      </c>
      <c r="D207" s="76">
        <v>1</v>
      </c>
      <c r="E207" s="77">
        <v>1</v>
      </c>
      <c r="F207" s="275"/>
      <c r="G207" s="75">
        <v>105.48</v>
      </c>
      <c r="H207" s="51">
        <v>23.9</v>
      </c>
      <c r="I207" s="52">
        <v>25.8</v>
      </c>
      <c r="J207" s="52">
        <v>24.947314233142599</v>
      </c>
    </row>
    <row r="208" spans="1:10" x14ac:dyDescent="0.4">
      <c r="A208" s="273"/>
      <c r="B208" s="86" t="s">
        <v>172</v>
      </c>
      <c r="C208" s="75" t="s">
        <v>173</v>
      </c>
      <c r="D208" s="76">
        <v>1</v>
      </c>
      <c r="E208" s="77">
        <v>1</v>
      </c>
      <c r="F208" s="275"/>
      <c r="G208" s="75">
        <v>105.48</v>
      </c>
      <c r="H208" s="51">
        <v>24</v>
      </c>
      <c r="I208" s="52">
        <v>25.7</v>
      </c>
      <c r="J208" s="52">
        <v>24.962164505328346</v>
      </c>
    </row>
    <row r="209" spans="1:10" x14ac:dyDescent="0.4">
      <c r="A209" s="273"/>
      <c r="B209" s="86" t="s">
        <v>174</v>
      </c>
      <c r="C209" s="75" t="s">
        <v>287</v>
      </c>
      <c r="D209" s="76">
        <v>1</v>
      </c>
      <c r="E209" s="77">
        <v>1</v>
      </c>
      <c r="F209" s="275"/>
      <c r="G209" s="75">
        <v>65</v>
      </c>
      <c r="H209" s="55">
        <v>26.1</v>
      </c>
      <c r="I209" s="55">
        <v>28.3</v>
      </c>
      <c r="J209" s="55">
        <v>27.236223419018422</v>
      </c>
    </row>
    <row r="210" spans="1:10" x14ac:dyDescent="0.4">
      <c r="A210" s="273"/>
      <c r="B210" s="86" t="s">
        <v>175</v>
      </c>
      <c r="C210" s="75" t="s">
        <v>176</v>
      </c>
      <c r="D210" s="76">
        <v>1</v>
      </c>
      <c r="E210" s="77">
        <v>1</v>
      </c>
      <c r="F210" s="276"/>
      <c r="G210" s="75">
        <v>65</v>
      </c>
      <c r="H210" s="55">
        <v>24</v>
      </c>
      <c r="I210" s="55">
        <v>26</v>
      </c>
      <c r="J210" s="55">
        <v>24.516666666666666</v>
      </c>
    </row>
    <row r="211" spans="1:10" x14ac:dyDescent="0.4">
      <c r="A211" s="273"/>
      <c r="B211" s="86" t="s">
        <v>177</v>
      </c>
      <c r="C211" s="75" t="s">
        <v>288</v>
      </c>
      <c r="D211" s="76">
        <v>1</v>
      </c>
      <c r="E211" s="77">
        <v>1</v>
      </c>
      <c r="F211" s="274" t="s">
        <v>282</v>
      </c>
      <c r="G211" s="75">
        <v>16.3</v>
      </c>
      <c r="H211" s="55">
        <v>23.5</v>
      </c>
      <c r="I211" s="55">
        <v>26</v>
      </c>
      <c r="J211" s="55">
        <v>24.533991418670009</v>
      </c>
    </row>
    <row r="212" spans="1:10" x14ac:dyDescent="0.4">
      <c r="A212" s="273"/>
      <c r="B212" s="86" t="s">
        <v>178</v>
      </c>
      <c r="C212" s="75" t="s">
        <v>179</v>
      </c>
      <c r="D212" s="76">
        <v>1</v>
      </c>
      <c r="E212" s="77">
        <v>1</v>
      </c>
      <c r="F212" s="275"/>
      <c r="G212" s="75">
        <v>16.3</v>
      </c>
      <c r="H212" s="55">
        <v>21</v>
      </c>
      <c r="I212" s="55">
        <v>24.5</v>
      </c>
      <c r="J212" s="55">
        <v>22.917691723309261</v>
      </c>
    </row>
    <row r="213" spans="1:10" x14ac:dyDescent="0.4">
      <c r="A213" s="273"/>
      <c r="B213" s="86" t="s">
        <v>180</v>
      </c>
      <c r="C213" s="75" t="s">
        <v>181</v>
      </c>
      <c r="D213" s="76">
        <v>1</v>
      </c>
      <c r="E213" s="77">
        <v>1</v>
      </c>
      <c r="F213" s="275"/>
      <c r="G213" s="75">
        <v>16.3</v>
      </c>
      <c r="H213" s="55">
        <v>18</v>
      </c>
      <c r="I213" s="55">
        <v>29.5</v>
      </c>
      <c r="J213" s="55">
        <v>26.953550372958549</v>
      </c>
    </row>
    <row r="214" spans="1:10" x14ac:dyDescent="0.4">
      <c r="A214" s="273"/>
      <c r="B214" s="86" t="s">
        <v>289</v>
      </c>
      <c r="C214" s="75" t="s">
        <v>182</v>
      </c>
      <c r="D214" s="76">
        <v>1</v>
      </c>
      <c r="E214" s="77">
        <v>1</v>
      </c>
      <c r="F214" s="276"/>
      <c r="G214" s="75">
        <v>35</v>
      </c>
      <c r="H214" s="55">
        <v>24</v>
      </c>
      <c r="I214" s="55">
        <v>26</v>
      </c>
      <c r="J214" s="55">
        <v>24.855475787683329</v>
      </c>
    </row>
    <row r="215" spans="1:10" x14ac:dyDescent="0.4">
      <c r="H215" s="65">
        <f>AVERAGE(H174:H188,H194:H196,H205:H214)</f>
        <v>22.346428571428572</v>
      </c>
      <c r="I215" s="65">
        <f t="shared" ref="I215" si="1">AVERAGE(I174:I188,I194:I196,I205:I214)</f>
        <v>26.403571428571421</v>
      </c>
      <c r="J215" s="113">
        <f>AVERAGE(J174:J188,J194:J196,J205:J214,J192)</f>
        <v>25.086819752862844</v>
      </c>
    </row>
    <row r="216" spans="1:10" x14ac:dyDescent="0.4">
      <c r="J216" s="64" t="s">
        <v>261</v>
      </c>
    </row>
    <row r="217" spans="1:10" x14ac:dyDescent="0.4">
      <c r="A217" s="280" t="s">
        <v>183</v>
      </c>
      <c r="B217" s="280"/>
      <c r="C217" s="280"/>
      <c r="D217" s="280"/>
      <c r="E217" s="280"/>
      <c r="F217" s="280"/>
      <c r="G217" s="280"/>
      <c r="H217" s="280"/>
      <c r="I217" s="280"/>
      <c r="J217" s="281"/>
    </row>
    <row r="218" spans="1:10" ht="34.799999999999997" x14ac:dyDescent="0.4">
      <c r="A218" s="73" t="s">
        <v>267</v>
      </c>
      <c r="B218" s="73" t="s">
        <v>268</v>
      </c>
      <c r="C218" s="73" t="s">
        <v>269</v>
      </c>
      <c r="D218" s="73" t="s">
        <v>108</v>
      </c>
      <c r="E218" s="73" t="s">
        <v>109</v>
      </c>
      <c r="F218" s="74" t="s">
        <v>270</v>
      </c>
      <c r="G218" s="73" t="s">
        <v>110</v>
      </c>
      <c r="H218" s="73" t="s">
        <v>184</v>
      </c>
      <c r="I218" s="73" t="s">
        <v>185</v>
      </c>
      <c r="J218" s="73" t="s">
        <v>186</v>
      </c>
    </row>
    <row r="219" spans="1:10" x14ac:dyDescent="0.4">
      <c r="A219" s="285" t="s">
        <v>271</v>
      </c>
      <c r="B219" s="87" t="s">
        <v>114</v>
      </c>
      <c r="C219" s="88" t="s">
        <v>272</v>
      </c>
      <c r="D219" s="89">
        <v>1</v>
      </c>
      <c r="E219" s="88">
        <v>1</v>
      </c>
      <c r="F219" s="274" t="s">
        <v>273</v>
      </c>
      <c r="G219" s="75">
        <v>105.48</v>
      </c>
      <c r="H219" s="56">
        <v>24.1</v>
      </c>
      <c r="I219" s="57">
        <v>46.6</v>
      </c>
      <c r="J219" s="57">
        <v>36.875899645011756</v>
      </c>
    </row>
    <row r="220" spans="1:10" x14ac:dyDescent="0.4">
      <c r="A220" s="286"/>
      <c r="B220" s="87" t="s">
        <v>115</v>
      </c>
      <c r="C220" s="88" t="s">
        <v>274</v>
      </c>
      <c r="D220" s="89">
        <v>1</v>
      </c>
      <c r="E220" s="88">
        <v>1</v>
      </c>
      <c r="F220" s="275"/>
      <c r="G220" s="75">
        <v>105.48</v>
      </c>
      <c r="H220" s="56">
        <v>24.5</v>
      </c>
      <c r="I220" s="57">
        <v>46.8</v>
      </c>
      <c r="J220" s="57">
        <v>37.004108173574643</v>
      </c>
    </row>
    <row r="221" spans="1:10" x14ac:dyDescent="0.4">
      <c r="A221" s="286"/>
      <c r="B221" s="87" t="s">
        <v>116</v>
      </c>
      <c r="C221" s="88" t="s">
        <v>117</v>
      </c>
      <c r="D221" s="89">
        <v>1</v>
      </c>
      <c r="E221" s="88">
        <v>1</v>
      </c>
      <c r="F221" s="78"/>
      <c r="G221" s="75">
        <v>105.48</v>
      </c>
      <c r="H221" s="56">
        <v>25.7</v>
      </c>
      <c r="I221" s="57">
        <v>45.6</v>
      </c>
      <c r="J221" s="57">
        <v>36.984516441492424</v>
      </c>
    </row>
    <row r="222" spans="1:10" x14ac:dyDescent="0.4">
      <c r="A222" s="287"/>
      <c r="B222" s="87" t="s">
        <v>118</v>
      </c>
      <c r="C222" s="88" t="s">
        <v>119</v>
      </c>
      <c r="D222" s="89">
        <v>1</v>
      </c>
      <c r="E222" s="88">
        <v>1</v>
      </c>
      <c r="F222" s="78"/>
      <c r="G222" s="75">
        <v>105.48</v>
      </c>
      <c r="H222" s="56">
        <v>23.2</v>
      </c>
      <c r="I222" s="57">
        <v>44.2</v>
      </c>
      <c r="J222" s="57">
        <v>35.156717090807682</v>
      </c>
    </row>
    <row r="223" spans="1:10" x14ac:dyDescent="0.4">
      <c r="A223" s="273" t="s">
        <v>275</v>
      </c>
      <c r="B223" s="86" t="s">
        <v>120</v>
      </c>
      <c r="C223" s="75" t="s">
        <v>276</v>
      </c>
      <c r="D223" s="76">
        <v>1</v>
      </c>
      <c r="E223" s="77">
        <v>1</v>
      </c>
      <c r="F223" s="274" t="s">
        <v>273</v>
      </c>
      <c r="G223" s="75">
        <v>105.48</v>
      </c>
      <c r="H223" s="56">
        <v>22.8</v>
      </c>
      <c r="I223" s="57">
        <v>73.8</v>
      </c>
      <c r="J223" s="57">
        <v>37.251804931220235</v>
      </c>
    </row>
    <row r="224" spans="1:10" x14ac:dyDescent="0.4">
      <c r="A224" s="273"/>
      <c r="B224" s="86" t="s">
        <v>121</v>
      </c>
      <c r="C224" s="75" t="s">
        <v>277</v>
      </c>
      <c r="D224" s="76">
        <v>1</v>
      </c>
      <c r="E224" s="77">
        <v>1</v>
      </c>
      <c r="F224" s="275"/>
      <c r="G224" s="75">
        <v>105.48</v>
      </c>
      <c r="H224" s="56">
        <v>22.8</v>
      </c>
      <c r="I224" s="57">
        <v>53.2</v>
      </c>
      <c r="J224" s="57">
        <v>37.175433774739822</v>
      </c>
    </row>
    <row r="225" spans="1:10" x14ac:dyDescent="0.4">
      <c r="A225" s="273"/>
      <c r="B225" s="86" t="s">
        <v>122</v>
      </c>
      <c r="C225" s="75" t="s">
        <v>123</v>
      </c>
      <c r="D225" s="76">
        <v>1</v>
      </c>
      <c r="E225" s="77">
        <v>1</v>
      </c>
      <c r="F225" s="275"/>
      <c r="G225" s="75">
        <v>105.48</v>
      </c>
      <c r="H225" s="56">
        <v>37.299999999999997</v>
      </c>
      <c r="I225" s="57">
        <v>66</v>
      </c>
      <c r="J225" s="57">
        <v>49.840352179488214</v>
      </c>
    </row>
    <row r="226" spans="1:10" x14ac:dyDescent="0.4">
      <c r="A226" s="273"/>
      <c r="B226" s="86" t="s">
        <v>124</v>
      </c>
      <c r="C226" s="75" t="s">
        <v>125</v>
      </c>
      <c r="D226" s="76">
        <v>1</v>
      </c>
      <c r="E226" s="77">
        <v>1</v>
      </c>
      <c r="F226" s="275"/>
      <c r="G226" s="75">
        <v>105.48</v>
      </c>
      <c r="H226" s="56">
        <v>24</v>
      </c>
      <c r="I226" s="57">
        <v>47.5</v>
      </c>
      <c r="J226" s="57">
        <v>40.07350006711988</v>
      </c>
    </row>
    <row r="227" spans="1:10" x14ac:dyDescent="0.4">
      <c r="A227" s="273" t="s">
        <v>279</v>
      </c>
      <c r="B227" s="86" t="s">
        <v>131</v>
      </c>
      <c r="C227" s="75" t="s">
        <v>280</v>
      </c>
      <c r="D227" s="76">
        <v>1</v>
      </c>
      <c r="E227" s="77">
        <v>1</v>
      </c>
      <c r="F227" s="274" t="s">
        <v>273</v>
      </c>
      <c r="G227" s="75">
        <v>105.48</v>
      </c>
      <c r="H227" s="56">
        <v>22.5</v>
      </c>
      <c r="I227" s="57">
        <v>45.8</v>
      </c>
      <c r="J227" s="57">
        <v>38.195485835971027</v>
      </c>
    </row>
    <row r="228" spans="1:10" x14ac:dyDescent="0.4">
      <c r="A228" s="273"/>
      <c r="B228" s="86" t="s">
        <v>132</v>
      </c>
      <c r="C228" s="75" t="s">
        <v>133</v>
      </c>
      <c r="D228" s="76">
        <v>1</v>
      </c>
      <c r="E228" s="77">
        <v>1</v>
      </c>
      <c r="F228" s="275"/>
      <c r="G228" s="75">
        <v>105.48</v>
      </c>
      <c r="H228" s="56">
        <v>21.9</v>
      </c>
      <c r="I228" s="57">
        <v>44.3</v>
      </c>
      <c r="J228" s="57">
        <v>37.074655494835682</v>
      </c>
    </row>
    <row r="229" spans="1:10" x14ac:dyDescent="0.4">
      <c r="A229" s="273"/>
      <c r="B229" s="86" t="s">
        <v>134</v>
      </c>
      <c r="C229" s="75" t="s">
        <v>135</v>
      </c>
      <c r="D229" s="76">
        <v>1</v>
      </c>
      <c r="E229" s="77">
        <v>1</v>
      </c>
      <c r="F229" s="275"/>
      <c r="G229" s="79">
        <v>105.48</v>
      </c>
      <c r="H229" s="56">
        <v>20.9</v>
      </c>
      <c r="I229" s="57">
        <v>39.5</v>
      </c>
      <c r="J229" s="57">
        <v>34.962139230837934</v>
      </c>
    </row>
    <row r="230" spans="1:10" x14ac:dyDescent="0.4">
      <c r="A230" s="273"/>
      <c r="B230" s="86" t="s">
        <v>136</v>
      </c>
      <c r="C230" s="75" t="s">
        <v>137</v>
      </c>
      <c r="D230" s="76">
        <v>1</v>
      </c>
      <c r="E230" s="77">
        <v>1</v>
      </c>
      <c r="F230" s="275"/>
      <c r="G230" s="79">
        <v>105.48</v>
      </c>
      <c r="H230" s="56">
        <v>21.5</v>
      </c>
      <c r="I230" s="57">
        <v>40.6</v>
      </c>
      <c r="J230" s="57">
        <v>35.881135303974233</v>
      </c>
    </row>
    <row r="231" spans="1:10" x14ac:dyDescent="0.4">
      <c r="A231" s="273"/>
      <c r="B231" s="86" t="s">
        <v>138</v>
      </c>
      <c r="C231" s="75" t="s">
        <v>281</v>
      </c>
      <c r="D231" s="75">
        <v>0</v>
      </c>
      <c r="E231" s="77">
        <v>1</v>
      </c>
      <c r="F231" s="77">
        <v>1</v>
      </c>
      <c r="G231" s="75">
        <v>32.549999999999997</v>
      </c>
      <c r="H231" s="58">
        <v>25.8</v>
      </c>
      <c r="I231" s="58">
        <v>31.6</v>
      </c>
      <c r="J231" s="58">
        <v>26.354365316483779</v>
      </c>
    </row>
    <row r="232" spans="1:10" x14ac:dyDescent="0.4">
      <c r="A232" s="273"/>
      <c r="B232" s="86" t="s">
        <v>139</v>
      </c>
      <c r="C232" s="75" t="s">
        <v>140</v>
      </c>
      <c r="D232" s="75">
        <v>0</v>
      </c>
      <c r="E232" s="77">
        <v>1</v>
      </c>
      <c r="F232" s="77">
        <v>1</v>
      </c>
      <c r="G232" s="75">
        <v>32.549999999999997</v>
      </c>
      <c r="H232" s="59">
        <v>27.8</v>
      </c>
      <c r="I232" s="59">
        <v>30.6</v>
      </c>
      <c r="J232" s="59">
        <v>28.507460941612955</v>
      </c>
    </row>
    <row r="233" spans="1:10" x14ac:dyDescent="0.4">
      <c r="A233" s="273"/>
      <c r="B233" s="86" t="s">
        <v>141</v>
      </c>
      <c r="C233" s="75" t="s">
        <v>283</v>
      </c>
      <c r="D233" s="75">
        <v>0</v>
      </c>
      <c r="E233" s="77">
        <v>1</v>
      </c>
      <c r="F233" s="77">
        <v>1</v>
      </c>
      <c r="G233" s="75">
        <v>32.549999999999997</v>
      </c>
      <c r="H233" s="59">
        <v>24.4</v>
      </c>
      <c r="I233" s="59">
        <v>31.6</v>
      </c>
      <c r="J233" s="59">
        <v>25.308625390828567</v>
      </c>
    </row>
    <row r="234" spans="1:10" x14ac:dyDescent="0.4">
      <c r="A234" s="273"/>
      <c r="B234" s="86" t="s">
        <v>142</v>
      </c>
      <c r="C234" s="75" t="s">
        <v>143</v>
      </c>
      <c r="D234" s="75">
        <v>1</v>
      </c>
      <c r="E234" s="77">
        <v>1</v>
      </c>
      <c r="F234" s="77">
        <v>1</v>
      </c>
      <c r="G234" s="75">
        <v>32.549999999999997</v>
      </c>
      <c r="H234" s="60">
        <v>29</v>
      </c>
      <c r="I234" s="60">
        <v>32.799999999999997</v>
      </c>
      <c r="J234" s="60">
        <v>30.690526910212576</v>
      </c>
    </row>
    <row r="235" spans="1:10" x14ac:dyDescent="0.4">
      <c r="A235" s="273"/>
      <c r="B235" s="86" t="s">
        <v>144</v>
      </c>
      <c r="C235" s="75" t="s">
        <v>145</v>
      </c>
      <c r="D235" s="75">
        <v>0</v>
      </c>
      <c r="E235" s="77">
        <v>1</v>
      </c>
      <c r="F235" s="77">
        <v>1</v>
      </c>
      <c r="G235" s="75">
        <v>32.549999999999997</v>
      </c>
      <c r="H235" s="59">
        <v>24.4</v>
      </c>
      <c r="I235" s="59">
        <v>32.5</v>
      </c>
      <c r="J235" s="59">
        <v>25.450364206403666</v>
      </c>
    </row>
    <row r="236" spans="1:10" x14ac:dyDescent="0.4">
      <c r="A236" s="273"/>
      <c r="B236" s="86" t="s">
        <v>146</v>
      </c>
      <c r="C236" s="75" t="s">
        <v>147</v>
      </c>
      <c r="D236" s="75">
        <v>1</v>
      </c>
      <c r="E236" s="77">
        <v>1</v>
      </c>
      <c r="F236" s="77">
        <v>1</v>
      </c>
      <c r="G236" s="75">
        <v>32.549999999999997</v>
      </c>
      <c r="H236" s="60">
        <v>28.6</v>
      </c>
      <c r="I236" s="60">
        <v>32.799999999999997</v>
      </c>
      <c r="J236" s="60">
        <v>31.681985326236472</v>
      </c>
    </row>
    <row r="237" spans="1:10" x14ac:dyDescent="0.4">
      <c r="A237" s="273"/>
      <c r="B237" s="86" t="s">
        <v>148</v>
      </c>
      <c r="C237" s="75" t="s">
        <v>149</v>
      </c>
      <c r="D237" s="75">
        <v>0</v>
      </c>
      <c r="E237" s="77">
        <v>1</v>
      </c>
      <c r="F237" s="77">
        <v>1</v>
      </c>
      <c r="G237" s="75">
        <v>32.549999999999997</v>
      </c>
      <c r="H237" s="60">
        <v>30.1</v>
      </c>
      <c r="I237" s="60">
        <v>32.5</v>
      </c>
      <c r="J237" s="60">
        <v>31.839196380938393</v>
      </c>
    </row>
    <row r="238" spans="1:10" x14ac:dyDescent="0.4">
      <c r="A238" s="273"/>
      <c r="B238" s="86" t="s">
        <v>150</v>
      </c>
      <c r="C238" s="75" t="s">
        <v>151</v>
      </c>
      <c r="D238" s="75">
        <v>1</v>
      </c>
      <c r="E238" s="77">
        <v>1</v>
      </c>
      <c r="F238" s="77">
        <v>1</v>
      </c>
      <c r="G238" s="75">
        <v>32.549999999999997</v>
      </c>
      <c r="H238" s="60">
        <v>30.7</v>
      </c>
      <c r="I238" s="60">
        <v>32.6</v>
      </c>
      <c r="J238" s="60">
        <v>31.343251116148533</v>
      </c>
    </row>
    <row r="239" spans="1:10" x14ac:dyDescent="0.4">
      <c r="A239" s="273"/>
      <c r="B239" s="86" t="s">
        <v>152</v>
      </c>
      <c r="C239" s="75" t="s">
        <v>153</v>
      </c>
      <c r="D239" s="75">
        <v>0</v>
      </c>
      <c r="E239" s="77">
        <v>1</v>
      </c>
      <c r="F239" s="77">
        <v>1</v>
      </c>
      <c r="G239" s="75">
        <v>32.549999999999997</v>
      </c>
      <c r="H239" s="59"/>
      <c r="I239" s="59"/>
      <c r="J239" s="59"/>
    </row>
    <row r="240" spans="1:10" x14ac:dyDescent="0.4">
      <c r="A240" s="273"/>
      <c r="B240" s="86" t="s">
        <v>154</v>
      </c>
      <c r="C240" s="75" t="s">
        <v>155</v>
      </c>
      <c r="D240" s="75">
        <v>0</v>
      </c>
      <c r="E240" s="77">
        <v>1</v>
      </c>
      <c r="F240" s="77">
        <v>1</v>
      </c>
      <c r="G240" s="75">
        <v>32.549999999999997</v>
      </c>
      <c r="H240" s="59">
        <v>28.4</v>
      </c>
      <c r="I240" s="59">
        <v>29.9</v>
      </c>
      <c r="J240" s="59">
        <v>29.630716247788403</v>
      </c>
    </row>
    <row r="241" spans="1:10" x14ac:dyDescent="0.4">
      <c r="A241" s="273"/>
      <c r="B241" s="86" t="s">
        <v>156</v>
      </c>
      <c r="C241" s="75" t="s">
        <v>157</v>
      </c>
      <c r="D241" s="75">
        <v>0</v>
      </c>
      <c r="E241" s="77">
        <v>1</v>
      </c>
      <c r="F241" s="77">
        <v>1</v>
      </c>
      <c r="G241" s="75">
        <v>32.549999999999997</v>
      </c>
      <c r="H241" s="59">
        <v>26.3</v>
      </c>
      <c r="I241" s="59">
        <v>30.6</v>
      </c>
      <c r="J241" s="59">
        <v>26.935364994203944</v>
      </c>
    </row>
    <row r="242" spans="1:10" x14ac:dyDescent="0.4">
      <c r="A242" s="273"/>
      <c r="B242" s="86" t="s">
        <v>158</v>
      </c>
      <c r="C242" s="75" t="s">
        <v>159</v>
      </c>
      <c r="D242" s="75">
        <v>0</v>
      </c>
      <c r="E242" s="77">
        <v>1</v>
      </c>
      <c r="F242" s="77">
        <v>1</v>
      </c>
      <c r="G242" s="75">
        <v>32.549999999999997</v>
      </c>
      <c r="H242" s="59">
        <v>25.6</v>
      </c>
      <c r="I242" s="59">
        <v>34</v>
      </c>
      <c r="J242" s="59">
        <v>30.625999679618541</v>
      </c>
    </row>
    <row r="243" spans="1:10" x14ac:dyDescent="0.4">
      <c r="A243" s="273"/>
      <c r="B243" s="86" t="s">
        <v>160</v>
      </c>
      <c r="C243" s="75" t="s">
        <v>161</v>
      </c>
      <c r="D243" s="75">
        <v>0</v>
      </c>
      <c r="E243" s="77">
        <v>1</v>
      </c>
      <c r="F243" s="77">
        <v>1</v>
      </c>
      <c r="G243" s="75">
        <v>32.549999999999997</v>
      </c>
      <c r="H243" s="59">
        <v>27.7</v>
      </c>
      <c r="I243" s="59">
        <v>30.4</v>
      </c>
      <c r="J243" s="59">
        <v>29.382356535905735</v>
      </c>
    </row>
    <row r="244" spans="1:10" x14ac:dyDescent="0.4">
      <c r="A244" s="273"/>
      <c r="B244" s="86" t="s">
        <v>162</v>
      </c>
      <c r="C244" s="75" t="s">
        <v>163</v>
      </c>
      <c r="D244" s="75">
        <v>0</v>
      </c>
      <c r="E244" s="77">
        <v>1</v>
      </c>
      <c r="F244" s="77">
        <v>1</v>
      </c>
      <c r="G244" s="75">
        <v>32.549999999999997</v>
      </c>
      <c r="H244" s="59">
        <v>27</v>
      </c>
      <c r="I244" s="59">
        <v>30.2</v>
      </c>
      <c r="J244" s="59">
        <v>28.319564185557223</v>
      </c>
    </row>
    <row r="245" spans="1:10" x14ac:dyDescent="0.4">
      <c r="A245" s="273"/>
      <c r="B245" s="86" t="s">
        <v>164</v>
      </c>
      <c r="C245" s="75" t="s">
        <v>284</v>
      </c>
      <c r="D245" s="75">
        <v>0</v>
      </c>
      <c r="E245" s="77">
        <v>1</v>
      </c>
      <c r="F245" s="77">
        <v>1</v>
      </c>
      <c r="G245" s="75">
        <v>24.4</v>
      </c>
      <c r="H245" s="59">
        <v>26</v>
      </c>
      <c r="I245" s="59">
        <v>27.5</v>
      </c>
      <c r="J245" s="59">
        <v>26.918421650104822</v>
      </c>
    </row>
    <row r="246" spans="1:10" x14ac:dyDescent="0.4">
      <c r="A246" s="273"/>
      <c r="B246" s="86" t="s">
        <v>165</v>
      </c>
      <c r="C246" s="75" t="s">
        <v>166</v>
      </c>
      <c r="D246" s="75">
        <v>0</v>
      </c>
      <c r="E246" s="77">
        <v>1</v>
      </c>
      <c r="F246" s="77">
        <v>1</v>
      </c>
      <c r="G246" s="75">
        <v>24.4</v>
      </c>
      <c r="H246" s="59">
        <v>25.5</v>
      </c>
      <c r="I246" s="59">
        <v>27.5</v>
      </c>
      <c r="J246" s="59">
        <v>26.559773141544955</v>
      </c>
    </row>
    <row r="247" spans="1:10" x14ac:dyDescent="0.4">
      <c r="A247" s="273" t="s">
        <v>285</v>
      </c>
      <c r="B247" s="86" t="s">
        <v>167</v>
      </c>
      <c r="C247" s="75" t="s">
        <v>286</v>
      </c>
      <c r="D247" s="76">
        <v>1</v>
      </c>
      <c r="E247" s="77">
        <v>1</v>
      </c>
      <c r="F247" s="274" t="s">
        <v>273</v>
      </c>
      <c r="G247" s="75">
        <v>105.48</v>
      </c>
      <c r="H247" s="56">
        <v>25.7</v>
      </c>
      <c r="I247" s="60">
        <v>39.700000000000003</v>
      </c>
      <c r="J247" s="60">
        <v>35.190372604446353</v>
      </c>
    </row>
    <row r="248" spans="1:10" x14ac:dyDescent="0.4">
      <c r="A248" s="273"/>
      <c r="B248" s="86" t="s">
        <v>168</v>
      </c>
      <c r="C248" s="75" t="s">
        <v>169</v>
      </c>
      <c r="D248" s="76">
        <v>1</v>
      </c>
      <c r="E248" s="77">
        <v>1</v>
      </c>
      <c r="F248" s="275"/>
      <c r="G248" s="75">
        <v>105.48</v>
      </c>
      <c r="H248" s="56">
        <v>28.7</v>
      </c>
      <c r="I248" s="61">
        <v>42.6</v>
      </c>
      <c r="J248" s="61">
        <v>38.274867758099141</v>
      </c>
    </row>
    <row r="249" spans="1:10" x14ac:dyDescent="0.4">
      <c r="A249" s="273"/>
      <c r="B249" s="86" t="s">
        <v>170</v>
      </c>
      <c r="C249" s="75" t="s">
        <v>171</v>
      </c>
      <c r="D249" s="76">
        <v>1</v>
      </c>
      <c r="E249" s="77">
        <v>1</v>
      </c>
      <c r="F249" s="275"/>
      <c r="G249" s="75">
        <v>105.48</v>
      </c>
      <c r="H249" s="56">
        <v>27.4</v>
      </c>
      <c r="I249" s="57">
        <v>45.8</v>
      </c>
      <c r="J249" s="57">
        <v>40.447616220029126</v>
      </c>
    </row>
    <row r="250" spans="1:10" x14ac:dyDescent="0.4">
      <c r="A250" s="273"/>
      <c r="B250" s="86" t="s">
        <v>172</v>
      </c>
      <c r="C250" s="75" t="s">
        <v>173</v>
      </c>
      <c r="D250" s="76">
        <v>1</v>
      </c>
      <c r="E250" s="77">
        <v>1</v>
      </c>
      <c r="F250" s="275"/>
      <c r="G250" s="75">
        <v>105.48</v>
      </c>
      <c r="H250" s="56">
        <v>27</v>
      </c>
      <c r="I250" s="57">
        <v>45.3</v>
      </c>
      <c r="J250" s="57">
        <v>40.088349265555607</v>
      </c>
    </row>
    <row r="251" spans="1:10" x14ac:dyDescent="0.4">
      <c r="A251" s="273"/>
      <c r="B251" s="86" t="s">
        <v>174</v>
      </c>
      <c r="C251" s="75" t="s">
        <v>287</v>
      </c>
      <c r="D251" s="76">
        <v>1</v>
      </c>
      <c r="E251" s="77">
        <v>1</v>
      </c>
      <c r="F251" s="275"/>
      <c r="G251" s="75">
        <v>65</v>
      </c>
      <c r="H251" s="62">
        <v>30.6</v>
      </c>
      <c r="I251" s="62">
        <v>40.6</v>
      </c>
      <c r="J251" s="62">
        <v>37.47478447889106</v>
      </c>
    </row>
    <row r="252" spans="1:10" x14ac:dyDescent="0.4">
      <c r="A252" s="273"/>
      <c r="B252" s="86" t="s">
        <v>175</v>
      </c>
      <c r="C252" s="75" t="s">
        <v>176</v>
      </c>
      <c r="D252" s="76">
        <v>1</v>
      </c>
      <c r="E252" s="77">
        <v>1</v>
      </c>
      <c r="F252" s="276"/>
      <c r="G252" s="75">
        <v>65</v>
      </c>
      <c r="H252" s="62">
        <v>29</v>
      </c>
      <c r="I252" s="62">
        <v>30</v>
      </c>
      <c r="J252" s="62">
        <v>29.322365104728199</v>
      </c>
    </row>
    <row r="253" spans="1:10" x14ac:dyDescent="0.4">
      <c r="A253" s="273"/>
      <c r="B253" s="86" t="s">
        <v>177</v>
      </c>
      <c r="C253" s="75" t="s">
        <v>288</v>
      </c>
      <c r="D253" s="76">
        <v>1</v>
      </c>
      <c r="E253" s="77">
        <v>1</v>
      </c>
      <c r="F253" s="274" t="s">
        <v>282</v>
      </c>
      <c r="G253" s="75">
        <v>16.3</v>
      </c>
      <c r="H253" s="62">
        <v>30.5</v>
      </c>
      <c r="I253" s="62">
        <v>34.5</v>
      </c>
      <c r="J253" s="62">
        <v>31.691676637256574</v>
      </c>
    </row>
    <row r="254" spans="1:10" x14ac:dyDescent="0.4">
      <c r="A254" s="273"/>
      <c r="B254" s="86" t="s">
        <v>178</v>
      </c>
      <c r="C254" s="75" t="s">
        <v>179</v>
      </c>
      <c r="D254" s="76">
        <v>1</v>
      </c>
      <c r="E254" s="77">
        <v>1</v>
      </c>
      <c r="F254" s="275"/>
      <c r="G254" s="75">
        <v>16.3</v>
      </c>
      <c r="H254" s="62">
        <v>31</v>
      </c>
      <c r="I254" s="62">
        <v>40.5</v>
      </c>
      <c r="J254" s="62">
        <v>34.619817345292134</v>
      </c>
    </row>
    <row r="255" spans="1:10" x14ac:dyDescent="0.4">
      <c r="A255" s="273"/>
      <c r="B255" s="86" t="s">
        <v>180</v>
      </c>
      <c r="C255" s="75" t="s">
        <v>181</v>
      </c>
      <c r="D255" s="76">
        <v>1</v>
      </c>
      <c r="E255" s="77">
        <v>1</v>
      </c>
      <c r="F255" s="275"/>
      <c r="G255" s="75">
        <v>16.3</v>
      </c>
      <c r="H255" s="62">
        <v>28</v>
      </c>
      <c r="I255" s="62">
        <v>45</v>
      </c>
      <c r="J255" s="62">
        <v>30.126522635332051</v>
      </c>
    </row>
    <row r="256" spans="1:10" x14ac:dyDescent="0.4">
      <c r="A256" s="273"/>
      <c r="B256" s="86" t="s">
        <v>289</v>
      </c>
      <c r="C256" s="75" t="s">
        <v>182</v>
      </c>
      <c r="D256" s="76">
        <v>1</v>
      </c>
      <c r="E256" s="77">
        <v>1</v>
      </c>
      <c r="F256" s="276"/>
      <c r="G256" s="75">
        <v>35</v>
      </c>
      <c r="H256" s="62">
        <v>31.5</v>
      </c>
      <c r="I256" s="62">
        <v>50.1</v>
      </c>
      <c r="J256" s="62">
        <v>44.617185412817626</v>
      </c>
    </row>
    <row r="257" spans="1:10" x14ac:dyDescent="0.4">
      <c r="A257" s="273" t="s">
        <v>275</v>
      </c>
      <c r="B257" s="86" t="s">
        <v>126</v>
      </c>
      <c r="C257" s="75" t="s">
        <v>278</v>
      </c>
      <c r="D257" s="76">
        <v>1</v>
      </c>
      <c r="E257" s="77">
        <v>1</v>
      </c>
      <c r="F257" s="90"/>
      <c r="G257" s="75">
        <v>70.319999999999993</v>
      </c>
      <c r="H257" s="62">
        <v>25.2</v>
      </c>
      <c r="I257" s="62">
        <v>56.1</v>
      </c>
      <c r="J257" s="62">
        <v>38.445655165716552</v>
      </c>
    </row>
    <row r="258" spans="1:10" x14ac:dyDescent="0.4">
      <c r="A258" s="273"/>
      <c r="B258" s="86" t="s">
        <v>127</v>
      </c>
      <c r="C258" s="75" t="s">
        <v>128</v>
      </c>
      <c r="D258" s="76">
        <v>1</v>
      </c>
      <c r="E258" s="77">
        <v>1</v>
      </c>
      <c r="F258" s="90"/>
      <c r="G258" s="75">
        <v>70.319999999999993</v>
      </c>
      <c r="H258" s="62">
        <v>25</v>
      </c>
      <c r="I258" s="62">
        <v>56.2</v>
      </c>
      <c r="J258" s="62">
        <v>37.517854848939081</v>
      </c>
    </row>
    <row r="259" spans="1:10" x14ac:dyDescent="0.4">
      <c r="A259" s="273"/>
      <c r="B259" s="86" t="s">
        <v>129</v>
      </c>
      <c r="C259" s="75" t="s">
        <v>130</v>
      </c>
      <c r="D259" s="76">
        <v>1</v>
      </c>
      <c r="E259" s="77">
        <v>1</v>
      </c>
      <c r="F259" s="90"/>
      <c r="G259" s="75">
        <v>70.319999999999993</v>
      </c>
      <c r="H259" s="62">
        <v>24.9</v>
      </c>
      <c r="I259" s="62">
        <v>55.1</v>
      </c>
      <c r="J259" s="62">
        <v>37.871109473847063</v>
      </c>
    </row>
    <row r="260" spans="1:10" x14ac:dyDescent="0.4">
      <c r="H260" s="91">
        <f>AVERAGE(H219:H230,H236:H238,H247:H259)</f>
        <v>26.610714285714288</v>
      </c>
      <c r="I260" s="91">
        <f>AVERAGE(I219:I230,I236:I238,I247:I259)</f>
        <v>45.474999999999987</v>
      </c>
      <c r="J260" s="114">
        <f>AVERAGE(J219:J230,J236:J238,J247:J259,J234)</f>
        <v>36.473064994950349</v>
      </c>
    </row>
    <row r="261" spans="1:10" x14ac:dyDescent="0.4">
      <c r="J261" s="115" t="s">
        <v>262</v>
      </c>
    </row>
    <row r="262" spans="1:10" x14ac:dyDescent="0.4">
      <c r="A262" s="288" t="s">
        <v>290</v>
      </c>
      <c r="B262" s="288"/>
      <c r="C262" s="289" t="s">
        <v>187</v>
      </c>
      <c r="D262" s="290"/>
      <c r="E262" s="290" t="s">
        <v>188</v>
      </c>
      <c r="F262" s="290"/>
      <c r="G262" s="290" t="s">
        <v>189</v>
      </c>
      <c r="H262" s="290"/>
      <c r="I262" s="290" t="s">
        <v>190</v>
      </c>
      <c r="J262" s="290"/>
    </row>
    <row r="263" spans="1:10" ht="34.799999999999997" x14ac:dyDescent="0.4">
      <c r="A263" s="288"/>
      <c r="B263" s="288"/>
      <c r="C263" s="102" t="s">
        <v>191</v>
      </c>
      <c r="D263" s="101" t="s">
        <v>192</v>
      </c>
      <c r="E263" s="101" t="s">
        <v>191</v>
      </c>
      <c r="F263" s="101" t="s">
        <v>192</v>
      </c>
      <c r="G263" s="101" t="s">
        <v>191</v>
      </c>
      <c r="H263" s="101" t="s">
        <v>192</v>
      </c>
      <c r="I263" s="101" t="s">
        <v>191</v>
      </c>
      <c r="J263" s="101" t="s">
        <v>192</v>
      </c>
    </row>
    <row r="264" spans="1:10" x14ac:dyDescent="0.4">
      <c r="A264" s="277" t="s">
        <v>291</v>
      </c>
      <c r="B264" s="100" t="s">
        <v>292</v>
      </c>
      <c r="C264" s="93"/>
      <c r="D264" s="92"/>
      <c r="E264" s="93"/>
      <c r="F264" s="92"/>
      <c r="G264" s="93"/>
      <c r="H264" s="92"/>
      <c r="I264" s="93"/>
      <c r="J264" s="92"/>
    </row>
    <row r="265" spans="1:10" x14ac:dyDescent="0.4">
      <c r="A265" s="278"/>
      <c r="B265" s="94" t="s">
        <v>193</v>
      </c>
      <c r="C265" s="93"/>
      <c r="D265" s="92"/>
      <c r="E265" s="93"/>
      <c r="F265" s="92"/>
      <c r="G265" s="93"/>
      <c r="H265" s="92"/>
      <c r="I265" s="93"/>
      <c r="J265" s="92"/>
    </row>
    <row r="266" spans="1:10" x14ac:dyDescent="0.4">
      <c r="A266" s="278"/>
      <c r="B266" s="94" t="s">
        <v>194</v>
      </c>
      <c r="C266" s="93"/>
      <c r="D266" s="92"/>
      <c r="E266" s="93"/>
      <c r="F266" s="92"/>
      <c r="G266" s="93"/>
      <c r="H266" s="92"/>
      <c r="I266" s="93"/>
      <c r="J266" s="92"/>
    </row>
    <row r="267" spans="1:10" x14ac:dyDescent="0.4">
      <c r="A267" s="278"/>
      <c r="B267" s="94" t="s">
        <v>195</v>
      </c>
      <c r="C267" s="93"/>
      <c r="D267" s="92"/>
      <c r="E267" s="93"/>
      <c r="F267" s="92"/>
      <c r="G267" s="93"/>
      <c r="H267" s="92"/>
      <c r="I267" s="93"/>
      <c r="J267" s="92"/>
    </row>
    <row r="268" spans="1:10" x14ac:dyDescent="0.4">
      <c r="A268" s="278"/>
      <c r="B268" s="94" t="s">
        <v>196</v>
      </c>
      <c r="C268" s="93"/>
      <c r="D268" s="92"/>
      <c r="E268" s="93"/>
      <c r="F268" s="92"/>
      <c r="G268" s="93"/>
      <c r="H268" s="92"/>
      <c r="I268" s="93"/>
      <c r="J268" s="92"/>
    </row>
    <row r="269" spans="1:10" x14ac:dyDescent="0.4">
      <c r="A269" s="278"/>
      <c r="B269" s="94" t="s">
        <v>197</v>
      </c>
      <c r="C269" s="93"/>
      <c r="D269" s="92"/>
      <c r="E269" s="93"/>
      <c r="F269" s="92"/>
      <c r="G269" s="93"/>
      <c r="H269" s="92"/>
      <c r="I269" s="93"/>
      <c r="J269" s="92"/>
    </row>
    <row r="270" spans="1:10" x14ac:dyDescent="0.4">
      <c r="A270" s="278"/>
      <c r="B270" s="94" t="s">
        <v>198</v>
      </c>
      <c r="C270" s="93"/>
      <c r="D270" s="92"/>
      <c r="E270" s="93"/>
      <c r="F270" s="92"/>
      <c r="G270" s="93"/>
      <c r="H270" s="92"/>
      <c r="I270" s="93"/>
      <c r="J270" s="92"/>
    </row>
    <row r="271" spans="1:10" x14ac:dyDescent="0.4">
      <c r="A271" s="278"/>
      <c r="B271" s="94" t="s">
        <v>199</v>
      </c>
      <c r="C271" s="93"/>
      <c r="D271" s="92"/>
      <c r="E271" s="93"/>
      <c r="F271" s="92"/>
      <c r="G271" s="93"/>
      <c r="H271" s="92"/>
      <c r="I271" s="93"/>
      <c r="J271" s="92"/>
    </row>
    <row r="272" spans="1:10" x14ac:dyDescent="0.4">
      <c r="A272" s="278"/>
      <c r="B272" s="94" t="s">
        <v>200</v>
      </c>
      <c r="C272" s="93"/>
      <c r="D272" s="92"/>
      <c r="E272" s="93"/>
      <c r="F272" s="92"/>
      <c r="G272" s="93"/>
      <c r="H272" s="92"/>
      <c r="I272" s="98"/>
      <c r="J272" s="99"/>
    </row>
    <row r="273" spans="1:10" x14ac:dyDescent="0.4">
      <c r="A273" s="278"/>
      <c r="B273" s="94" t="s">
        <v>201</v>
      </c>
      <c r="C273" s="93"/>
      <c r="D273" s="92"/>
      <c r="E273" s="98"/>
      <c r="F273" s="99"/>
      <c r="G273" s="93"/>
      <c r="H273" s="92"/>
      <c r="I273" s="98"/>
      <c r="J273" s="99"/>
    </row>
    <row r="274" spans="1:10" x14ac:dyDescent="0.4">
      <c r="A274" s="278"/>
      <c r="B274" s="94" t="s">
        <v>202</v>
      </c>
      <c r="C274" s="93"/>
      <c r="D274" s="92"/>
      <c r="E274" s="98"/>
      <c r="F274" s="99"/>
      <c r="G274" s="93"/>
      <c r="H274" s="92"/>
      <c r="I274" s="98"/>
      <c r="J274" s="99"/>
    </row>
    <row r="275" spans="1:10" x14ac:dyDescent="0.4">
      <c r="A275" s="278"/>
      <c r="B275" s="94" t="s">
        <v>203</v>
      </c>
      <c r="C275" s="93"/>
      <c r="D275" s="92"/>
      <c r="E275" s="98"/>
      <c r="F275" s="99"/>
      <c r="G275" s="93"/>
      <c r="H275" s="92"/>
      <c r="I275" s="98"/>
      <c r="J275" s="99"/>
    </row>
    <row r="276" spans="1:10" x14ac:dyDescent="0.4">
      <c r="A276" s="278"/>
      <c r="B276" s="94" t="s">
        <v>204</v>
      </c>
      <c r="C276" s="93"/>
      <c r="D276" s="92"/>
      <c r="E276" s="98"/>
      <c r="F276" s="99"/>
      <c r="G276" s="93"/>
      <c r="H276" s="92"/>
      <c r="I276" s="98"/>
      <c r="J276" s="99"/>
    </row>
    <row r="277" spans="1:10" x14ac:dyDescent="0.4">
      <c r="A277" s="278"/>
      <c r="B277" s="94" t="s">
        <v>205</v>
      </c>
      <c r="C277" s="98"/>
      <c r="D277" s="99"/>
      <c r="E277" s="98"/>
      <c r="F277" s="99"/>
      <c r="G277" s="93"/>
      <c r="H277" s="92"/>
      <c r="I277" s="98"/>
      <c r="J277" s="99"/>
    </row>
    <row r="278" spans="1:10" x14ac:dyDescent="0.4">
      <c r="A278" s="278"/>
      <c r="B278" s="94" t="s">
        <v>206</v>
      </c>
      <c r="C278" s="98"/>
      <c r="D278" s="99"/>
      <c r="E278" s="98"/>
      <c r="F278" s="99"/>
      <c r="G278" s="93"/>
      <c r="H278" s="92"/>
      <c r="I278" s="98"/>
      <c r="J278" s="99"/>
    </row>
    <row r="279" spans="1:10" x14ac:dyDescent="0.4">
      <c r="A279" s="278"/>
      <c r="B279" s="94" t="s">
        <v>207</v>
      </c>
      <c r="C279" s="98"/>
      <c r="D279" s="99"/>
      <c r="E279" s="98"/>
      <c r="F279" s="99"/>
      <c r="G279" s="93"/>
      <c r="H279" s="92"/>
      <c r="I279" s="98"/>
      <c r="J279" s="99"/>
    </row>
    <row r="280" spans="1:10" x14ac:dyDescent="0.4">
      <c r="A280" s="278"/>
      <c r="B280" s="95" t="s">
        <v>293</v>
      </c>
      <c r="C280" s="93"/>
      <c r="D280" s="92"/>
      <c r="E280" s="93"/>
      <c r="F280" s="92"/>
      <c r="G280" s="93"/>
      <c r="H280" s="92"/>
      <c r="I280" s="93"/>
      <c r="J280" s="92"/>
    </row>
    <row r="281" spans="1:10" x14ac:dyDescent="0.4">
      <c r="A281" s="278"/>
      <c r="B281" s="95" t="s">
        <v>208</v>
      </c>
      <c r="C281" s="93"/>
      <c r="D281" s="92"/>
      <c r="E281" s="93"/>
      <c r="F281" s="92"/>
      <c r="G281" s="93"/>
      <c r="H281" s="92"/>
      <c r="I281" s="93"/>
      <c r="J281" s="92"/>
    </row>
    <row r="282" spans="1:10" x14ac:dyDescent="0.4">
      <c r="A282" s="278"/>
      <c r="B282" s="95" t="s">
        <v>209</v>
      </c>
      <c r="C282" s="93"/>
      <c r="D282" s="92"/>
      <c r="E282" s="93"/>
      <c r="F282" s="92"/>
      <c r="G282" s="93"/>
      <c r="H282" s="92"/>
      <c r="I282" s="93"/>
      <c r="J282" s="92"/>
    </row>
    <row r="283" spans="1:10" x14ac:dyDescent="0.4">
      <c r="A283" s="278"/>
      <c r="B283" s="95" t="s">
        <v>210</v>
      </c>
      <c r="C283" s="93"/>
      <c r="D283" s="92"/>
      <c r="E283" s="93"/>
      <c r="F283" s="92"/>
      <c r="G283" s="93"/>
      <c r="H283" s="92"/>
      <c r="I283" s="93"/>
      <c r="J283" s="92"/>
    </row>
    <row r="284" spans="1:10" x14ac:dyDescent="0.4">
      <c r="A284" s="278"/>
      <c r="B284" s="95" t="s">
        <v>211</v>
      </c>
      <c r="C284" s="93"/>
      <c r="D284" s="92"/>
      <c r="E284" s="93"/>
      <c r="F284" s="92"/>
      <c r="G284" s="93"/>
      <c r="H284" s="92"/>
      <c r="I284" s="93"/>
      <c r="J284" s="92"/>
    </row>
    <row r="285" spans="1:10" x14ac:dyDescent="0.4">
      <c r="A285" s="278"/>
      <c r="B285" s="95" t="s">
        <v>212</v>
      </c>
      <c r="C285" s="93"/>
      <c r="D285" s="92"/>
      <c r="E285" s="93"/>
      <c r="F285" s="92"/>
      <c r="G285" s="93"/>
      <c r="H285" s="92"/>
      <c r="I285" s="93"/>
      <c r="J285" s="92"/>
    </row>
    <row r="286" spans="1:10" x14ac:dyDescent="0.4">
      <c r="A286" s="278"/>
      <c r="B286" s="95" t="s">
        <v>213</v>
      </c>
      <c r="C286" s="93"/>
      <c r="D286" s="92"/>
      <c r="E286" s="93"/>
      <c r="F286" s="92"/>
      <c r="G286" s="93"/>
      <c r="H286" s="92"/>
      <c r="I286" s="93"/>
      <c r="J286" s="92"/>
    </row>
    <row r="287" spans="1:10" x14ac:dyDescent="0.4">
      <c r="A287" s="278"/>
      <c r="B287" s="95" t="s">
        <v>214</v>
      </c>
      <c r="C287" s="93"/>
      <c r="D287" s="92"/>
      <c r="E287" s="93"/>
      <c r="F287" s="92"/>
      <c r="G287" s="93"/>
      <c r="H287" s="92"/>
      <c r="I287" s="93"/>
      <c r="J287" s="92"/>
    </row>
    <row r="288" spans="1:10" x14ac:dyDescent="0.4">
      <c r="A288" s="278"/>
      <c r="B288" s="95" t="s">
        <v>215</v>
      </c>
      <c r="C288" s="93"/>
      <c r="D288" s="92"/>
      <c r="E288" s="93"/>
      <c r="F288" s="92"/>
      <c r="G288" s="93"/>
      <c r="H288" s="92"/>
      <c r="I288" s="93"/>
      <c r="J288" s="92"/>
    </row>
    <row r="289" spans="1:10" x14ac:dyDescent="0.4">
      <c r="A289" s="278"/>
      <c r="B289" s="95" t="s">
        <v>216</v>
      </c>
      <c r="C289" s="93"/>
      <c r="D289" s="92"/>
      <c r="E289" s="93"/>
      <c r="F289" s="92"/>
      <c r="G289" s="93"/>
      <c r="H289" s="92"/>
      <c r="I289" s="93"/>
      <c r="J289" s="92"/>
    </row>
    <row r="290" spans="1:10" x14ac:dyDescent="0.4">
      <c r="A290" s="278"/>
      <c r="B290" s="95" t="s">
        <v>217</v>
      </c>
      <c r="C290" s="93"/>
      <c r="D290" s="92"/>
      <c r="E290" s="93"/>
      <c r="F290" s="92"/>
      <c r="G290" s="93"/>
      <c r="H290" s="92"/>
      <c r="I290" s="98"/>
      <c r="J290" s="99"/>
    </row>
    <row r="291" spans="1:10" x14ac:dyDescent="0.4">
      <c r="A291" s="278"/>
      <c r="B291" s="95" t="s">
        <v>218</v>
      </c>
      <c r="C291" s="93"/>
      <c r="D291" s="92"/>
      <c r="E291" s="93"/>
      <c r="F291" s="92"/>
      <c r="G291" s="93"/>
      <c r="H291" s="92"/>
      <c r="I291" s="98"/>
      <c r="J291" s="99"/>
    </row>
    <row r="292" spans="1:10" x14ac:dyDescent="0.4">
      <c r="A292" s="278"/>
      <c r="B292" s="95" t="s">
        <v>219</v>
      </c>
      <c r="C292" s="93"/>
      <c r="D292" s="92"/>
      <c r="E292" s="93"/>
      <c r="F292" s="92"/>
      <c r="G292" s="93"/>
      <c r="H292" s="92"/>
      <c r="I292" s="98"/>
      <c r="J292" s="99"/>
    </row>
    <row r="293" spans="1:10" x14ac:dyDescent="0.4">
      <c r="A293" s="278"/>
      <c r="B293" s="95" t="s">
        <v>220</v>
      </c>
      <c r="C293" s="93"/>
      <c r="D293" s="92"/>
      <c r="E293" s="93"/>
      <c r="F293" s="92"/>
      <c r="G293" s="98"/>
      <c r="H293" s="99"/>
      <c r="I293" s="98"/>
      <c r="J293" s="99"/>
    </row>
    <row r="294" spans="1:10" x14ac:dyDescent="0.4">
      <c r="A294" s="278"/>
      <c r="B294" s="95" t="s">
        <v>294</v>
      </c>
      <c r="C294" s="93"/>
      <c r="D294" s="92"/>
      <c r="E294" s="98"/>
      <c r="F294" s="99"/>
      <c r="G294" s="98"/>
      <c r="H294" s="99"/>
      <c r="I294" s="98"/>
      <c r="J294" s="99"/>
    </row>
    <row r="295" spans="1:10" x14ac:dyDescent="0.4">
      <c r="A295" s="278"/>
      <c r="B295" s="95" t="s">
        <v>221</v>
      </c>
      <c r="C295" s="93"/>
      <c r="D295" s="92"/>
      <c r="E295" s="98"/>
      <c r="F295" s="99"/>
      <c r="G295" s="98"/>
      <c r="H295" s="99"/>
      <c r="I295" s="98"/>
      <c r="J295" s="99"/>
    </row>
    <row r="296" spans="1:10" x14ac:dyDescent="0.4">
      <c r="A296" s="278"/>
      <c r="B296" s="96" t="s">
        <v>295</v>
      </c>
      <c r="C296" s="93"/>
      <c r="D296" s="92"/>
      <c r="E296" s="93"/>
      <c r="F296" s="92"/>
      <c r="G296" s="93"/>
      <c r="H296" s="92"/>
      <c r="I296" s="93"/>
      <c r="J296" s="92"/>
    </row>
    <row r="297" spans="1:10" x14ac:dyDescent="0.4">
      <c r="A297" s="278"/>
      <c r="B297" s="96" t="s">
        <v>222</v>
      </c>
      <c r="C297" s="93"/>
      <c r="D297" s="92"/>
      <c r="E297" s="93"/>
      <c r="F297" s="92"/>
      <c r="G297" s="93"/>
      <c r="H297" s="92"/>
      <c r="I297" s="93"/>
      <c r="J297" s="92"/>
    </row>
    <row r="298" spans="1:10" x14ac:dyDescent="0.4">
      <c r="A298" s="278"/>
      <c r="B298" s="96" t="s">
        <v>223</v>
      </c>
      <c r="C298" s="93"/>
      <c r="D298" s="92"/>
      <c r="E298" s="93"/>
      <c r="F298" s="92"/>
      <c r="G298" s="93"/>
      <c r="H298" s="92"/>
      <c r="I298" s="93"/>
      <c r="J298" s="92"/>
    </row>
    <row r="299" spans="1:10" x14ac:dyDescent="0.4">
      <c r="A299" s="278"/>
      <c r="B299" s="96" t="s">
        <v>224</v>
      </c>
      <c r="C299" s="93"/>
      <c r="D299" s="92"/>
      <c r="E299" s="93"/>
      <c r="F299" s="92"/>
      <c r="G299" s="93"/>
      <c r="H299" s="92"/>
      <c r="I299" s="93"/>
      <c r="J299" s="92"/>
    </row>
    <row r="300" spans="1:10" x14ac:dyDescent="0.4">
      <c r="A300" s="278"/>
      <c r="B300" s="96" t="s">
        <v>225</v>
      </c>
      <c r="C300" s="93"/>
      <c r="D300" s="92"/>
      <c r="E300" s="93"/>
      <c r="F300" s="92"/>
      <c r="G300" s="93"/>
      <c r="H300" s="92"/>
      <c r="I300" s="93"/>
      <c r="J300" s="92"/>
    </row>
    <row r="301" spans="1:10" x14ac:dyDescent="0.4">
      <c r="A301" s="278"/>
      <c r="B301" s="96" t="s">
        <v>226</v>
      </c>
      <c r="C301" s="93"/>
      <c r="D301" s="92"/>
      <c r="E301" s="93"/>
      <c r="F301" s="92"/>
      <c r="G301" s="93"/>
      <c r="H301" s="92"/>
      <c r="I301" s="93"/>
      <c r="J301" s="92"/>
    </row>
    <row r="302" spans="1:10" x14ac:dyDescent="0.4">
      <c r="A302" s="278"/>
      <c r="B302" s="96" t="s">
        <v>227</v>
      </c>
      <c r="C302" s="93"/>
      <c r="D302" s="92"/>
      <c r="E302" s="93"/>
      <c r="F302" s="92"/>
      <c r="G302" s="93"/>
      <c r="H302" s="92"/>
      <c r="I302" s="93"/>
      <c r="J302" s="92"/>
    </row>
    <row r="303" spans="1:10" x14ac:dyDescent="0.4">
      <c r="A303" s="278"/>
      <c r="B303" s="96" t="s">
        <v>228</v>
      </c>
      <c r="C303" s="93"/>
      <c r="D303" s="92"/>
      <c r="E303" s="93"/>
      <c r="F303" s="92"/>
      <c r="G303" s="93"/>
      <c r="H303" s="92"/>
      <c r="I303" s="93"/>
      <c r="J303" s="92"/>
    </row>
    <row r="304" spans="1:10" x14ac:dyDescent="0.4">
      <c r="A304" s="278"/>
      <c r="B304" s="96" t="s">
        <v>229</v>
      </c>
      <c r="C304" s="93"/>
      <c r="D304" s="92"/>
      <c r="E304" s="93"/>
      <c r="F304" s="92"/>
      <c r="G304" s="98"/>
      <c r="H304" s="99"/>
      <c r="I304" s="93"/>
      <c r="J304" s="92"/>
    </row>
    <row r="305" spans="1:10" x14ac:dyDescent="0.4">
      <c r="A305" s="278"/>
      <c r="B305" s="96" t="s">
        <v>230</v>
      </c>
      <c r="C305" s="93"/>
      <c r="D305" s="92"/>
      <c r="E305" s="93"/>
      <c r="F305" s="92"/>
      <c r="G305" s="98"/>
      <c r="H305" s="99"/>
      <c r="I305" s="98"/>
      <c r="J305" s="99"/>
    </row>
    <row r="306" spans="1:10" x14ac:dyDescent="0.4">
      <c r="A306" s="278"/>
      <c r="B306" s="96" t="s">
        <v>231</v>
      </c>
      <c r="C306" s="93"/>
      <c r="D306" s="92"/>
      <c r="E306" s="93"/>
      <c r="F306" s="92"/>
      <c r="G306" s="98"/>
      <c r="H306" s="99"/>
      <c r="I306" s="98"/>
      <c r="J306" s="99"/>
    </row>
    <row r="307" spans="1:10" x14ac:dyDescent="0.4">
      <c r="A307" s="278"/>
      <c r="B307" s="96" t="s">
        <v>232</v>
      </c>
      <c r="C307" s="93"/>
      <c r="D307" s="92"/>
      <c r="E307" s="93"/>
      <c r="F307" s="92"/>
      <c r="G307" s="98"/>
      <c r="H307" s="99"/>
      <c r="I307" s="98"/>
      <c r="J307" s="99"/>
    </row>
    <row r="308" spans="1:10" x14ac:dyDescent="0.4">
      <c r="A308" s="278"/>
      <c r="B308" s="96" t="s">
        <v>233</v>
      </c>
      <c r="C308" s="93"/>
      <c r="D308" s="92"/>
      <c r="E308" s="93"/>
      <c r="F308" s="92"/>
      <c r="G308" s="98"/>
      <c r="H308" s="99"/>
      <c r="I308" s="98"/>
      <c r="J308" s="99"/>
    </row>
    <row r="309" spans="1:10" x14ac:dyDescent="0.4">
      <c r="A309" s="278"/>
      <c r="B309" s="96" t="s">
        <v>234</v>
      </c>
      <c r="C309" s="93"/>
      <c r="D309" s="92"/>
      <c r="E309" s="93"/>
      <c r="F309" s="92"/>
      <c r="G309" s="98"/>
      <c r="H309" s="99"/>
      <c r="I309" s="98"/>
      <c r="J309" s="99"/>
    </row>
    <row r="310" spans="1:10" x14ac:dyDescent="0.4">
      <c r="A310" s="278"/>
      <c r="B310" s="96" t="s">
        <v>235</v>
      </c>
      <c r="C310" s="93"/>
      <c r="D310" s="92"/>
      <c r="E310" s="98"/>
      <c r="F310" s="99"/>
      <c r="G310" s="98"/>
      <c r="H310" s="99"/>
      <c r="I310" s="98"/>
      <c r="J310" s="99"/>
    </row>
    <row r="311" spans="1:10" x14ac:dyDescent="0.4">
      <c r="A311" s="278"/>
      <c r="B311" s="96" t="s">
        <v>236</v>
      </c>
      <c r="C311" s="93"/>
      <c r="D311" s="92"/>
      <c r="E311" s="98"/>
      <c r="F311" s="99"/>
      <c r="G311" s="98"/>
      <c r="H311" s="99"/>
      <c r="I311" s="98"/>
      <c r="J311" s="99"/>
    </row>
    <row r="312" spans="1:10" x14ac:dyDescent="0.4">
      <c r="A312" s="278"/>
      <c r="B312" s="97" t="s">
        <v>296</v>
      </c>
      <c r="C312" s="93"/>
      <c r="D312" s="92"/>
      <c r="E312" s="93"/>
      <c r="F312" s="92"/>
      <c r="G312" s="93"/>
      <c r="H312" s="92"/>
      <c r="I312" s="93"/>
      <c r="J312" s="92"/>
    </row>
    <row r="313" spans="1:10" x14ac:dyDescent="0.4">
      <c r="A313" s="278"/>
      <c r="B313" s="97" t="s">
        <v>237</v>
      </c>
      <c r="C313" s="93"/>
      <c r="D313" s="92"/>
      <c r="E313" s="93"/>
      <c r="F313" s="92"/>
      <c r="G313" s="93"/>
      <c r="H313" s="92"/>
      <c r="I313" s="93"/>
      <c r="J313" s="92"/>
    </row>
    <row r="314" spans="1:10" x14ac:dyDescent="0.4">
      <c r="A314" s="278"/>
      <c r="B314" s="97" t="s">
        <v>238</v>
      </c>
      <c r="C314" s="93"/>
      <c r="D314" s="92"/>
      <c r="E314" s="93"/>
      <c r="F314" s="92"/>
      <c r="G314" s="93"/>
      <c r="H314" s="92"/>
      <c r="I314" s="93"/>
      <c r="J314" s="92"/>
    </row>
    <row r="315" spans="1:10" x14ac:dyDescent="0.4">
      <c r="A315" s="278"/>
      <c r="B315" s="97" t="s">
        <v>239</v>
      </c>
      <c r="C315" s="93"/>
      <c r="D315" s="92"/>
      <c r="E315" s="93"/>
      <c r="F315" s="92"/>
      <c r="G315" s="93"/>
      <c r="H315" s="92"/>
      <c r="I315" s="93"/>
      <c r="J315" s="92"/>
    </row>
    <row r="316" spans="1:10" x14ac:dyDescent="0.4">
      <c r="A316" s="278"/>
      <c r="B316" s="97" t="s">
        <v>240</v>
      </c>
      <c r="C316" s="93"/>
      <c r="D316" s="92"/>
      <c r="E316" s="93"/>
      <c r="F316" s="92"/>
      <c r="G316" s="93"/>
      <c r="H316" s="92"/>
      <c r="I316" s="93"/>
      <c r="J316" s="92"/>
    </row>
    <row r="317" spans="1:10" x14ac:dyDescent="0.4">
      <c r="A317" s="278"/>
      <c r="B317" s="97" t="s">
        <v>241</v>
      </c>
      <c r="C317" s="93"/>
      <c r="D317" s="92"/>
      <c r="E317" s="93"/>
      <c r="F317" s="92"/>
      <c r="G317" s="93"/>
      <c r="H317" s="92"/>
      <c r="I317" s="93"/>
      <c r="J317" s="92"/>
    </row>
    <row r="318" spans="1:10" x14ac:dyDescent="0.4">
      <c r="A318" s="278"/>
      <c r="B318" s="97" t="s">
        <v>242</v>
      </c>
      <c r="C318" s="93"/>
      <c r="D318" s="92"/>
      <c r="E318" s="93"/>
      <c r="F318" s="92"/>
      <c r="G318" s="93"/>
      <c r="H318" s="92"/>
      <c r="I318" s="93"/>
      <c r="J318" s="92"/>
    </row>
    <row r="319" spans="1:10" x14ac:dyDescent="0.4">
      <c r="A319" s="278"/>
      <c r="B319" s="97" t="s">
        <v>243</v>
      </c>
      <c r="C319" s="93"/>
      <c r="D319" s="92"/>
      <c r="E319" s="93"/>
      <c r="F319" s="92"/>
      <c r="G319" s="93"/>
      <c r="H319" s="92"/>
      <c r="I319" s="93"/>
      <c r="J319" s="92"/>
    </row>
    <row r="320" spans="1:10" x14ac:dyDescent="0.4">
      <c r="A320" s="278"/>
      <c r="B320" s="97" t="s">
        <v>244</v>
      </c>
      <c r="C320" s="93"/>
      <c r="D320" s="92"/>
      <c r="E320" s="93"/>
      <c r="F320" s="92"/>
      <c r="G320" s="93"/>
      <c r="H320" s="92"/>
      <c r="I320" s="98"/>
      <c r="J320" s="99"/>
    </row>
    <row r="321" spans="1:10" x14ac:dyDescent="0.4">
      <c r="A321" s="278"/>
      <c r="B321" s="97" t="s">
        <v>245</v>
      </c>
      <c r="C321" s="93"/>
      <c r="D321" s="92"/>
      <c r="E321" s="93"/>
      <c r="F321" s="92"/>
      <c r="G321" s="93"/>
      <c r="H321" s="92"/>
      <c r="I321" s="98"/>
      <c r="J321" s="99"/>
    </row>
    <row r="322" spans="1:10" x14ac:dyDescent="0.4">
      <c r="A322" s="278"/>
      <c r="B322" s="97" t="s">
        <v>246</v>
      </c>
      <c r="C322" s="98"/>
      <c r="D322" s="99"/>
      <c r="E322" s="93"/>
      <c r="F322" s="92"/>
      <c r="G322" s="93"/>
      <c r="H322" s="92"/>
      <c r="I322" s="98"/>
      <c r="J322" s="99"/>
    </row>
    <row r="323" spans="1:10" x14ac:dyDescent="0.4">
      <c r="A323" s="278"/>
      <c r="B323" s="97" t="s">
        <v>247</v>
      </c>
      <c r="C323" s="98"/>
      <c r="D323" s="99"/>
      <c r="E323" s="93"/>
      <c r="F323" s="92"/>
      <c r="G323" s="93"/>
      <c r="H323" s="92"/>
      <c r="I323" s="98"/>
      <c r="J323" s="99"/>
    </row>
    <row r="324" spans="1:10" x14ac:dyDescent="0.4">
      <c r="A324" s="278"/>
      <c r="B324" s="97" t="s">
        <v>248</v>
      </c>
      <c r="C324" s="98"/>
      <c r="D324" s="99"/>
      <c r="E324" s="98"/>
      <c r="F324" s="99"/>
      <c r="G324" s="93"/>
      <c r="H324" s="92"/>
      <c r="I324" s="98"/>
      <c r="J324" s="99"/>
    </row>
    <row r="325" spans="1:10" x14ac:dyDescent="0.4">
      <c r="A325" s="278"/>
      <c r="B325" s="94" t="s">
        <v>297</v>
      </c>
      <c r="C325" s="98"/>
      <c r="D325" s="99"/>
      <c r="E325" s="98"/>
      <c r="F325" s="99"/>
      <c r="G325" s="98"/>
      <c r="H325" s="99"/>
      <c r="I325" s="93"/>
      <c r="J325" s="92"/>
    </row>
    <row r="326" spans="1:10" x14ac:dyDescent="0.4">
      <c r="A326" s="278"/>
      <c r="B326" s="94" t="s">
        <v>249</v>
      </c>
      <c r="C326" s="98"/>
      <c r="D326" s="99"/>
      <c r="E326" s="98"/>
      <c r="F326" s="99"/>
      <c r="G326" s="98"/>
      <c r="H326" s="99"/>
      <c r="I326" s="93"/>
      <c r="J326" s="92"/>
    </row>
    <row r="327" spans="1:10" x14ac:dyDescent="0.4">
      <c r="A327" s="278"/>
      <c r="B327" s="94" t="s">
        <v>250</v>
      </c>
      <c r="C327" s="98"/>
      <c r="D327" s="99"/>
      <c r="E327" s="98"/>
      <c r="F327" s="99"/>
      <c r="G327" s="98"/>
      <c r="H327" s="99"/>
      <c r="I327" s="93"/>
      <c r="J327" s="92"/>
    </row>
    <row r="328" spans="1:10" x14ac:dyDescent="0.4">
      <c r="A328" s="278"/>
      <c r="B328" s="94" t="s">
        <v>251</v>
      </c>
      <c r="C328" s="98"/>
      <c r="D328" s="99"/>
      <c r="E328" s="98"/>
      <c r="F328" s="99"/>
      <c r="G328" s="98"/>
      <c r="H328" s="99"/>
      <c r="I328" s="93"/>
      <c r="J328" s="92"/>
    </row>
    <row r="329" spans="1:10" x14ac:dyDescent="0.4">
      <c r="A329" s="278"/>
      <c r="B329" s="94" t="s">
        <v>252</v>
      </c>
      <c r="C329" s="98"/>
      <c r="D329" s="99"/>
      <c r="E329" s="98"/>
      <c r="F329" s="99"/>
      <c r="G329" s="98"/>
      <c r="H329" s="99"/>
      <c r="I329" s="93"/>
      <c r="J329" s="92"/>
    </row>
    <row r="330" spans="1:10" x14ac:dyDescent="0.4">
      <c r="A330" s="278"/>
      <c r="B330" s="94" t="s">
        <v>253</v>
      </c>
      <c r="C330" s="98"/>
      <c r="D330" s="99"/>
      <c r="E330" s="98"/>
      <c r="F330" s="99"/>
      <c r="G330" s="98"/>
      <c r="H330" s="99"/>
      <c r="I330" s="93"/>
      <c r="J330" s="92"/>
    </row>
    <row r="331" spans="1:10" x14ac:dyDescent="0.4">
      <c r="A331" s="278"/>
      <c r="B331" s="94" t="s">
        <v>254</v>
      </c>
      <c r="C331" s="98"/>
      <c r="D331" s="99"/>
      <c r="E331" s="98"/>
      <c r="F331" s="99"/>
      <c r="G331" s="98"/>
      <c r="H331" s="99"/>
      <c r="I331" s="93"/>
      <c r="J331" s="92"/>
    </row>
    <row r="332" spans="1:10" x14ac:dyDescent="0.4">
      <c r="A332" s="278"/>
      <c r="B332" s="94" t="s">
        <v>255</v>
      </c>
      <c r="C332" s="98"/>
      <c r="D332" s="99"/>
      <c r="E332" s="98"/>
      <c r="F332" s="99"/>
      <c r="G332" s="98"/>
      <c r="H332" s="99"/>
      <c r="I332" s="93"/>
      <c r="J332" s="92"/>
    </row>
    <row r="333" spans="1:10" x14ac:dyDescent="0.4">
      <c r="A333" s="278"/>
      <c r="B333" s="94" t="s">
        <v>256</v>
      </c>
      <c r="C333" s="98"/>
      <c r="D333" s="99"/>
      <c r="E333" s="98"/>
      <c r="F333" s="99"/>
      <c r="G333" s="98"/>
      <c r="H333" s="99"/>
      <c r="I333" s="93"/>
      <c r="J333" s="92"/>
    </row>
    <row r="334" spans="1:10" x14ac:dyDescent="0.4">
      <c r="A334" s="278"/>
      <c r="B334" s="94" t="s">
        <v>257</v>
      </c>
      <c r="C334" s="98"/>
      <c r="D334" s="99"/>
      <c r="E334" s="98"/>
      <c r="F334" s="99"/>
      <c r="G334" s="98"/>
      <c r="H334" s="99"/>
      <c r="I334" s="93"/>
      <c r="J334" s="92"/>
    </row>
    <row r="335" spans="1:10" x14ac:dyDescent="0.4">
      <c r="A335" s="278"/>
      <c r="B335" s="94" t="s">
        <v>258</v>
      </c>
      <c r="C335" s="98"/>
      <c r="D335" s="99"/>
      <c r="E335" s="98"/>
      <c r="F335" s="99"/>
      <c r="G335" s="98"/>
      <c r="H335" s="99"/>
      <c r="I335" s="93"/>
      <c r="J335" s="92"/>
    </row>
    <row r="336" spans="1:10" x14ac:dyDescent="0.4">
      <c r="A336" s="279"/>
      <c r="B336" s="94" t="s">
        <v>259</v>
      </c>
      <c r="C336" s="98"/>
      <c r="D336" s="99"/>
      <c r="E336" s="98"/>
      <c r="F336" s="99"/>
      <c r="G336" s="98"/>
      <c r="H336" s="99"/>
      <c r="I336" s="93"/>
      <c r="J336" s="92"/>
    </row>
    <row r="337" spans="1:11" x14ac:dyDescent="0.4">
      <c r="A337" s="115" t="s">
        <v>263</v>
      </c>
      <c r="B337" s="116" t="e">
        <f>SUM(C337,E337,G337,I337)</f>
        <v>#DIV/0!</v>
      </c>
      <c r="C337" s="103" t="e">
        <f>AVERAGE(C264:C276,C280:C321)</f>
        <v>#DIV/0!</v>
      </c>
      <c r="D337" s="103" t="e">
        <f>AVERAGE(D264:D276,D280:D321)</f>
        <v>#DIV/0!</v>
      </c>
      <c r="E337" s="103" t="e">
        <f>AVERAGE(E264:E272,E280:E293,E296:E309,E312:E323)</f>
        <v>#DIV/0!</v>
      </c>
      <c r="F337" s="103" t="e">
        <f>AVERAGE(F264:F272,F280:F293,F296:F309,F312:F323)</f>
        <v>#DIV/0!</v>
      </c>
      <c r="G337" s="103" t="e">
        <f>AVERAGE(G264:G292,G296:G303,G312:G324)</f>
        <v>#DIV/0!</v>
      </c>
      <c r="H337" s="103" t="e">
        <f>AVERAGE(H264:H292,H296:H303,H312:H324)</f>
        <v>#DIV/0!</v>
      </c>
      <c r="I337" s="103" t="e">
        <f>AVERAGE(I264:I271,I280:I289,I296:I304,I312:I319,I325:I336)</f>
        <v>#DIV/0!</v>
      </c>
      <c r="J337" s="103" t="e">
        <f>AVERAGE(J264:J271,J280:J289,J296:J304,J312:J319,J325:J336)</f>
        <v>#DIV/0!</v>
      </c>
    </row>
    <row r="338" spans="1:11" x14ac:dyDescent="0.4">
      <c r="A338" s="115" t="s">
        <v>264</v>
      </c>
      <c r="B338" s="116" t="e">
        <f>SUM(D337,F337,H337,J337)</f>
        <v>#DIV/0!</v>
      </c>
      <c r="C338" s="63" t="s">
        <v>265</v>
      </c>
      <c r="D338" s="117" t="s">
        <v>266</v>
      </c>
      <c r="E338" s="63" t="s">
        <v>265</v>
      </c>
      <c r="F338" s="117" t="s">
        <v>266</v>
      </c>
      <c r="G338" s="63" t="s">
        <v>265</v>
      </c>
      <c r="H338" s="117" t="s">
        <v>266</v>
      </c>
      <c r="I338" s="63" t="s">
        <v>265</v>
      </c>
      <c r="J338" s="117" t="s">
        <v>266</v>
      </c>
    </row>
    <row r="341" spans="1:11" x14ac:dyDescent="0.4">
      <c r="A341" s="280" t="s">
        <v>107</v>
      </c>
      <c r="B341" s="280"/>
      <c r="C341" s="280"/>
      <c r="D341" s="280"/>
      <c r="E341" s="280"/>
      <c r="F341" s="280"/>
      <c r="G341" s="280"/>
      <c r="H341" s="280"/>
      <c r="I341" s="280"/>
      <c r="J341" s="281"/>
      <c r="K341" s="108">
        <v>3</v>
      </c>
    </row>
    <row r="342" spans="1:11" ht="34.799999999999997" x14ac:dyDescent="0.4">
      <c r="A342" s="73" t="s">
        <v>267</v>
      </c>
      <c r="B342" s="73" t="s">
        <v>268</v>
      </c>
      <c r="C342" s="73" t="s">
        <v>269</v>
      </c>
      <c r="D342" s="73" t="s">
        <v>108</v>
      </c>
      <c r="E342" s="73" t="s">
        <v>109</v>
      </c>
      <c r="F342" s="74" t="s">
        <v>270</v>
      </c>
      <c r="G342" s="73" t="s">
        <v>110</v>
      </c>
      <c r="H342" s="73" t="s">
        <v>111</v>
      </c>
      <c r="I342" s="73" t="s">
        <v>112</v>
      </c>
      <c r="J342" s="73" t="s">
        <v>113</v>
      </c>
    </row>
    <row r="343" spans="1:11" x14ac:dyDescent="0.4">
      <c r="A343" s="282" t="s">
        <v>271</v>
      </c>
      <c r="B343" s="86" t="s">
        <v>114</v>
      </c>
      <c r="C343" s="75" t="s">
        <v>272</v>
      </c>
      <c r="D343" s="76">
        <v>1</v>
      </c>
      <c r="E343" s="77">
        <v>1</v>
      </c>
      <c r="F343" s="274" t="s">
        <v>273</v>
      </c>
      <c r="G343" s="75">
        <v>105.48</v>
      </c>
      <c r="H343" s="51">
        <v>25.5</v>
      </c>
      <c r="I343" s="52">
        <v>26.6</v>
      </c>
      <c r="J343" s="52">
        <v>25.947168858331978</v>
      </c>
    </row>
    <row r="344" spans="1:11" x14ac:dyDescent="0.4">
      <c r="A344" s="283"/>
      <c r="B344" s="86" t="s">
        <v>115</v>
      </c>
      <c r="C344" s="75" t="s">
        <v>274</v>
      </c>
      <c r="D344" s="76">
        <v>1</v>
      </c>
      <c r="E344" s="77">
        <v>1</v>
      </c>
      <c r="F344" s="275"/>
      <c r="G344" s="75">
        <v>105.48</v>
      </c>
      <c r="H344" s="51">
        <v>26</v>
      </c>
      <c r="I344" s="52">
        <v>27.1</v>
      </c>
      <c r="J344" s="52">
        <v>26.534160006693167</v>
      </c>
    </row>
    <row r="345" spans="1:11" x14ac:dyDescent="0.4">
      <c r="A345" s="283"/>
      <c r="B345" s="86" t="s">
        <v>116</v>
      </c>
      <c r="C345" s="75" t="s">
        <v>117</v>
      </c>
      <c r="D345" s="76">
        <v>1</v>
      </c>
      <c r="E345" s="77">
        <v>1</v>
      </c>
      <c r="F345" s="78"/>
      <c r="G345" s="75">
        <v>105.48</v>
      </c>
      <c r="H345" s="51">
        <v>26</v>
      </c>
      <c r="I345" s="52">
        <v>27.1</v>
      </c>
      <c r="J345" s="52">
        <v>26.612712003992765</v>
      </c>
    </row>
    <row r="346" spans="1:11" x14ac:dyDescent="0.4">
      <c r="A346" s="284"/>
      <c r="B346" s="86" t="s">
        <v>118</v>
      </c>
      <c r="C346" s="75" t="s">
        <v>119</v>
      </c>
      <c r="D346" s="76">
        <v>1</v>
      </c>
      <c r="E346" s="77">
        <v>1</v>
      </c>
      <c r="F346" s="78"/>
      <c r="G346" s="75">
        <v>105.48</v>
      </c>
      <c r="H346" s="51">
        <v>25.9</v>
      </c>
      <c r="I346" s="52">
        <v>27</v>
      </c>
      <c r="J346" s="52">
        <v>26.551582992080178</v>
      </c>
    </row>
    <row r="347" spans="1:11" x14ac:dyDescent="0.4">
      <c r="A347" s="282" t="s">
        <v>275</v>
      </c>
      <c r="B347" s="86" t="s">
        <v>120</v>
      </c>
      <c r="C347" s="75" t="s">
        <v>276</v>
      </c>
      <c r="D347" s="76">
        <v>1</v>
      </c>
      <c r="E347" s="77">
        <v>1</v>
      </c>
      <c r="F347" s="274" t="s">
        <v>273</v>
      </c>
      <c r="G347" s="75">
        <v>105.48</v>
      </c>
      <c r="H347" s="51">
        <v>19.5</v>
      </c>
      <c r="I347" s="52">
        <v>28</v>
      </c>
      <c r="J347" s="52">
        <v>26.562861558467784</v>
      </c>
    </row>
    <row r="348" spans="1:11" x14ac:dyDescent="0.4">
      <c r="A348" s="283"/>
      <c r="B348" s="86" t="s">
        <v>121</v>
      </c>
      <c r="C348" s="75" t="s">
        <v>277</v>
      </c>
      <c r="D348" s="76">
        <v>1</v>
      </c>
      <c r="E348" s="77">
        <v>1</v>
      </c>
      <c r="F348" s="275"/>
      <c r="G348" s="75">
        <v>105.48</v>
      </c>
      <c r="H348" s="51">
        <v>24.3</v>
      </c>
      <c r="I348" s="52">
        <v>27.7</v>
      </c>
      <c r="J348" s="52">
        <v>26.468817329979629</v>
      </c>
    </row>
    <row r="349" spans="1:11" x14ac:dyDescent="0.4">
      <c r="A349" s="283"/>
      <c r="B349" s="86" t="s">
        <v>122</v>
      </c>
      <c r="C349" s="75" t="s">
        <v>123</v>
      </c>
      <c r="D349" s="76">
        <v>1</v>
      </c>
      <c r="E349" s="77">
        <v>1</v>
      </c>
      <c r="F349" s="275"/>
      <c r="G349" s="75">
        <v>105.48</v>
      </c>
      <c r="H349" s="51">
        <v>17</v>
      </c>
      <c r="I349" s="52">
        <v>27</v>
      </c>
      <c r="J349" s="52">
        <v>21.191033060811872</v>
      </c>
    </row>
    <row r="350" spans="1:11" x14ac:dyDescent="0.4">
      <c r="A350" s="283"/>
      <c r="B350" s="86" t="s">
        <v>124</v>
      </c>
      <c r="C350" s="75" t="s">
        <v>125</v>
      </c>
      <c r="D350" s="76">
        <v>1</v>
      </c>
      <c r="E350" s="77">
        <v>1</v>
      </c>
      <c r="F350" s="275"/>
      <c r="G350" s="75">
        <v>105.48</v>
      </c>
      <c r="H350" s="51">
        <v>24.9</v>
      </c>
      <c r="I350" s="52">
        <v>27.5</v>
      </c>
      <c r="J350" s="52">
        <v>26.191250294344051</v>
      </c>
    </row>
    <row r="351" spans="1:11" x14ac:dyDescent="0.4">
      <c r="A351" s="283"/>
      <c r="B351" s="86" t="s">
        <v>126</v>
      </c>
      <c r="C351" s="75" t="s">
        <v>278</v>
      </c>
      <c r="D351" s="76">
        <v>1</v>
      </c>
      <c r="E351" s="77">
        <v>1</v>
      </c>
      <c r="F351" s="78"/>
      <c r="G351" s="75">
        <v>70.319999999999993</v>
      </c>
      <c r="H351" s="51">
        <v>13.9</v>
      </c>
      <c r="I351" s="52">
        <v>26.3</v>
      </c>
      <c r="J351" s="52">
        <v>24.473978140810075</v>
      </c>
    </row>
    <row r="352" spans="1:11" x14ac:dyDescent="0.4">
      <c r="A352" s="283"/>
      <c r="B352" s="86" t="s">
        <v>127</v>
      </c>
      <c r="C352" s="75" t="s">
        <v>128</v>
      </c>
      <c r="D352" s="76">
        <v>1</v>
      </c>
      <c r="E352" s="77">
        <v>1</v>
      </c>
      <c r="F352" s="78"/>
      <c r="G352" s="75">
        <v>70.319999999999993</v>
      </c>
      <c r="H352" s="51">
        <v>14.1</v>
      </c>
      <c r="I352" s="52">
        <v>26.1</v>
      </c>
      <c r="J352" s="52">
        <v>24.513090894548593</v>
      </c>
    </row>
    <row r="353" spans="1:10" x14ac:dyDescent="0.4">
      <c r="A353" s="284"/>
      <c r="B353" s="86" t="s">
        <v>129</v>
      </c>
      <c r="C353" s="75" t="s">
        <v>130</v>
      </c>
      <c r="D353" s="76">
        <v>1</v>
      </c>
      <c r="E353" s="77">
        <v>1</v>
      </c>
      <c r="F353" s="78"/>
      <c r="G353" s="75">
        <v>70.319999999999993</v>
      </c>
      <c r="H353" s="51">
        <v>14.8</v>
      </c>
      <c r="I353" s="52">
        <v>26</v>
      </c>
      <c r="J353" s="52">
        <v>24.625210701474238</v>
      </c>
    </row>
    <row r="354" spans="1:10" x14ac:dyDescent="0.4">
      <c r="A354" s="273" t="s">
        <v>279</v>
      </c>
      <c r="B354" s="86" t="s">
        <v>131</v>
      </c>
      <c r="C354" s="75" t="s">
        <v>280</v>
      </c>
      <c r="D354" s="76">
        <v>1</v>
      </c>
      <c r="E354" s="77">
        <v>1</v>
      </c>
      <c r="F354" s="274" t="s">
        <v>273</v>
      </c>
      <c r="G354" s="75">
        <v>105.48</v>
      </c>
      <c r="H354" s="51">
        <v>24</v>
      </c>
      <c r="I354" s="52">
        <v>25.5</v>
      </c>
      <c r="J354" s="52">
        <v>24.86613436981952</v>
      </c>
    </row>
    <row r="355" spans="1:10" x14ac:dyDescent="0.4">
      <c r="A355" s="273"/>
      <c r="B355" s="86" t="s">
        <v>132</v>
      </c>
      <c r="C355" s="75" t="s">
        <v>133</v>
      </c>
      <c r="D355" s="76">
        <v>1</v>
      </c>
      <c r="E355" s="77">
        <v>1</v>
      </c>
      <c r="F355" s="275"/>
      <c r="G355" s="75">
        <v>105.48</v>
      </c>
      <c r="H355" s="51">
        <v>24.4</v>
      </c>
      <c r="I355" s="52">
        <v>25.9</v>
      </c>
      <c r="J355" s="52">
        <v>25.221151651472233</v>
      </c>
    </row>
    <row r="356" spans="1:10" x14ac:dyDescent="0.4">
      <c r="A356" s="273"/>
      <c r="B356" s="86" t="s">
        <v>134</v>
      </c>
      <c r="C356" s="75" t="s">
        <v>135</v>
      </c>
      <c r="D356" s="76">
        <v>1</v>
      </c>
      <c r="E356" s="77">
        <v>1</v>
      </c>
      <c r="F356" s="275"/>
      <c r="G356" s="79">
        <v>105.48</v>
      </c>
      <c r="H356" s="51">
        <v>24.5</v>
      </c>
      <c r="I356" s="52">
        <v>26.4</v>
      </c>
      <c r="J356" s="52">
        <v>25.252246982879878</v>
      </c>
    </row>
    <row r="357" spans="1:10" x14ac:dyDescent="0.4">
      <c r="A357" s="273"/>
      <c r="B357" s="86" t="s">
        <v>136</v>
      </c>
      <c r="C357" s="75" t="s">
        <v>137</v>
      </c>
      <c r="D357" s="76">
        <v>1</v>
      </c>
      <c r="E357" s="77">
        <v>1</v>
      </c>
      <c r="F357" s="275"/>
      <c r="G357" s="79">
        <v>105.48</v>
      </c>
      <c r="H357" s="51">
        <v>24.1</v>
      </c>
      <c r="I357" s="52">
        <v>26</v>
      </c>
      <c r="J357" s="52">
        <v>24.844128275320063</v>
      </c>
    </row>
    <row r="358" spans="1:10" x14ac:dyDescent="0.4">
      <c r="A358" s="273"/>
      <c r="B358" s="86" t="s">
        <v>138</v>
      </c>
      <c r="C358" s="75" t="s">
        <v>281</v>
      </c>
      <c r="D358" s="76">
        <v>0</v>
      </c>
      <c r="E358" s="77">
        <v>1</v>
      </c>
      <c r="F358" s="274" t="s">
        <v>282</v>
      </c>
      <c r="G358" s="75">
        <v>32.549999999999997</v>
      </c>
      <c r="H358" s="111">
        <v>25.3</v>
      </c>
      <c r="I358" s="111">
        <v>33.5</v>
      </c>
      <c r="J358" s="111">
        <v>32.598777177207168</v>
      </c>
    </row>
    <row r="359" spans="1:10" x14ac:dyDescent="0.4">
      <c r="A359" s="273"/>
      <c r="B359" s="86" t="s">
        <v>139</v>
      </c>
      <c r="C359" s="75" t="s">
        <v>140</v>
      </c>
      <c r="D359" s="76">
        <v>0</v>
      </c>
      <c r="E359" s="77">
        <v>1</v>
      </c>
      <c r="F359" s="276"/>
      <c r="G359" s="75">
        <v>32.549999999999997</v>
      </c>
      <c r="H359" s="112">
        <v>23.4</v>
      </c>
      <c r="I359" s="112">
        <v>27.2</v>
      </c>
      <c r="J359" s="112">
        <v>26.023714421315294</v>
      </c>
    </row>
    <row r="360" spans="1:10" x14ac:dyDescent="0.4">
      <c r="A360" s="273"/>
      <c r="B360" s="86" t="s">
        <v>141</v>
      </c>
      <c r="C360" s="75" t="s">
        <v>283</v>
      </c>
      <c r="D360" s="76">
        <v>0</v>
      </c>
      <c r="E360" s="77">
        <v>1</v>
      </c>
      <c r="F360" s="274" t="s">
        <v>282</v>
      </c>
      <c r="G360" s="75">
        <v>32.549999999999997</v>
      </c>
      <c r="H360" s="112">
        <v>21.8</v>
      </c>
      <c r="I360" s="112">
        <v>32.700000000000003</v>
      </c>
      <c r="J360" s="112">
        <v>31.101890811719603</v>
      </c>
    </row>
    <row r="361" spans="1:10" x14ac:dyDescent="0.4">
      <c r="A361" s="273"/>
      <c r="B361" s="86" t="s">
        <v>142</v>
      </c>
      <c r="C361" s="75" t="s">
        <v>143</v>
      </c>
      <c r="D361" s="76">
        <v>1</v>
      </c>
      <c r="E361" s="77">
        <v>1</v>
      </c>
      <c r="F361" s="275"/>
      <c r="G361" s="75">
        <v>32.549999999999997</v>
      </c>
      <c r="H361" s="53">
        <v>22.5</v>
      </c>
      <c r="I361" s="53">
        <v>27.8</v>
      </c>
      <c r="J361" s="53">
        <v>26.137480201432698</v>
      </c>
    </row>
    <row r="362" spans="1:10" x14ac:dyDescent="0.4">
      <c r="A362" s="273"/>
      <c r="B362" s="86" t="s">
        <v>144</v>
      </c>
      <c r="C362" s="75" t="s">
        <v>145</v>
      </c>
      <c r="D362" s="76">
        <v>0</v>
      </c>
      <c r="E362" s="77">
        <v>1</v>
      </c>
      <c r="F362" s="275"/>
      <c r="G362" s="75">
        <v>32.549999999999997</v>
      </c>
      <c r="H362" s="112">
        <v>17.8</v>
      </c>
      <c r="I362" s="112">
        <v>29.5</v>
      </c>
      <c r="J362" s="112">
        <v>27.936542597126117</v>
      </c>
    </row>
    <row r="363" spans="1:10" x14ac:dyDescent="0.4">
      <c r="A363" s="273"/>
      <c r="B363" s="86" t="s">
        <v>146</v>
      </c>
      <c r="C363" s="75" t="s">
        <v>147</v>
      </c>
      <c r="D363" s="76">
        <v>1</v>
      </c>
      <c r="E363" s="77">
        <v>1</v>
      </c>
      <c r="F363" s="275"/>
      <c r="G363" s="75">
        <v>32.549999999999997</v>
      </c>
      <c r="H363" s="53">
        <v>21.4</v>
      </c>
      <c r="I363" s="53">
        <v>26.9</v>
      </c>
      <c r="J363" s="53">
        <v>24.703474713280034</v>
      </c>
    </row>
    <row r="364" spans="1:10" x14ac:dyDescent="0.4">
      <c r="A364" s="273"/>
      <c r="B364" s="86" t="s">
        <v>148</v>
      </c>
      <c r="C364" s="75" t="s">
        <v>149</v>
      </c>
      <c r="D364" s="76">
        <v>0</v>
      </c>
      <c r="E364" s="77">
        <v>1</v>
      </c>
      <c r="F364" s="275"/>
      <c r="G364" s="75">
        <v>32.549999999999997</v>
      </c>
      <c r="H364" s="53">
        <v>20.3</v>
      </c>
      <c r="I364" s="53">
        <v>24.4</v>
      </c>
      <c r="J364" s="53">
        <v>21.562160054259266</v>
      </c>
    </row>
    <row r="365" spans="1:10" x14ac:dyDescent="0.4">
      <c r="A365" s="273"/>
      <c r="B365" s="86" t="s">
        <v>150</v>
      </c>
      <c r="C365" s="75" t="s">
        <v>151</v>
      </c>
      <c r="D365" s="76">
        <v>1</v>
      </c>
      <c r="E365" s="77">
        <v>1</v>
      </c>
      <c r="F365" s="275"/>
      <c r="G365" s="75">
        <v>32.549999999999997</v>
      </c>
      <c r="H365" s="53">
        <v>21.2</v>
      </c>
      <c r="I365" s="53">
        <v>24.2</v>
      </c>
      <c r="J365" s="53">
        <v>23.427404201133758</v>
      </c>
    </row>
    <row r="366" spans="1:10" x14ac:dyDescent="0.4">
      <c r="A366" s="273"/>
      <c r="B366" s="86" t="s">
        <v>152</v>
      </c>
      <c r="C366" s="75" t="s">
        <v>153</v>
      </c>
      <c r="D366" s="76">
        <v>0</v>
      </c>
      <c r="E366" s="77">
        <v>1</v>
      </c>
      <c r="F366" s="275"/>
      <c r="G366" s="75">
        <v>32.549999999999997</v>
      </c>
      <c r="H366" s="112"/>
      <c r="I366" s="112"/>
      <c r="J366" s="112"/>
    </row>
    <row r="367" spans="1:10" x14ac:dyDescent="0.4">
      <c r="A367" s="273"/>
      <c r="B367" s="86" t="s">
        <v>154</v>
      </c>
      <c r="C367" s="75" t="s">
        <v>155</v>
      </c>
      <c r="D367" s="76">
        <v>0</v>
      </c>
      <c r="E367" s="77">
        <v>1</v>
      </c>
      <c r="F367" s="275"/>
      <c r="G367" s="75">
        <v>32.549999999999997</v>
      </c>
      <c r="H367" s="112">
        <v>18.399999999999999</v>
      </c>
      <c r="I367" s="112">
        <v>99.5</v>
      </c>
      <c r="J367" s="112">
        <v>22.382754481136075</v>
      </c>
    </row>
    <row r="368" spans="1:10" x14ac:dyDescent="0.4">
      <c r="A368" s="273"/>
      <c r="B368" s="86" t="s">
        <v>156</v>
      </c>
      <c r="C368" s="75" t="s">
        <v>157</v>
      </c>
      <c r="D368" s="76">
        <v>0</v>
      </c>
      <c r="E368" s="77">
        <v>1</v>
      </c>
      <c r="F368" s="275"/>
      <c r="G368" s="75">
        <v>32.549999999999997</v>
      </c>
      <c r="H368" s="112">
        <v>18.399999999999999</v>
      </c>
      <c r="I368" s="112">
        <v>25.1</v>
      </c>
      <c r="J368" s="112">
        <v>23.977183057851555</v>
      </c>
    </row>
    <row r="369" spans="1:10" x14ac:dyDescent="0.4">
      <c r="A369" s="273"/>
      <c r="B369" s="86" t="s">
        <v>158</v>
      </c>
      <c r="C369" s="75" t="s">
        <v>159</v>
      </c>
      <c r="D369" s="76">
        <v>0</v>
      </c>
      <c r="E369" s="77">
        <v>1</v>
      </c>
      <c r="F369" s="275"/>
      <c r="G369" s="75">
        <v>32.549999999999997</v>
      </c>
      <c r="H369" s="112">
        <v>17.7</v>
      </c>
      <c r="I369" s="112">
        <v>29.2</v>
      </c>
      <c r="J369" s="112">
        <v>21.609415322508042</v>
      </c>
    </row>
    <row r="370" spans="1:10" x14ac:dyDescent="0.4">
      <c r="A370" s="273"/>
      <c r="B370" s="86" t="s">
        <v>160</v>
      </c>
      <c r="C370" s="75" t="s">
        <v>161</v>
      </c>
      <c r="D370" s="76">
        <v>0</v>
      </c>
      <c r="E370" s="77">
        <v>1</v>
      </c>
      <c r="F370" s="275"/>
      <c r="G370" s="75">
        <v>32.549999999999997</v>
      </c>
      <c r="H370" s="112">
        <v>21.2</v>
      </c>
      <c r="I370" s="112">
        <v>25.6</v>
      </c>
      <c r="J370" s="112">
        <v>22.483006882817978</v>
      </c>
    </row>
    <row r="371" spans="1:10" x14ac:dyDescent="0.4">
      <c r="A371" s="273"/>
      <c r="B371" s="86" t="s">
        <v>162</v>
      </c>
      <c r="C371" s="75" t="s">
        <v>163</v>
      </c>
      <c r="D371" s="76">
        <v>0</v>
      </c>
      <c r="E371" s="77">
        <v>1</v>
      </c>
      <c r="F371" s="276"/>
      <c r="G371" s="75">
        <v>32.549999999999997</v>
      </c>
      <c r="H371" s="112">
        <v>19</v>
      </c>
      <c r="I371" s="112">
        <v>23.8</v>
      </c>
      <c r="J371" s="112">
        <v>21.875528539539498</v>
      </c>
    </row>
    <row r="372" spans="1:10" x14ac:dyDescent="0.4">
      <c r="A372" s="273"/>
      <c r="B372" s="86" t="s">
        <v>164</v>
      </c>
      <c r="C372" s="75" t="s">
        <v>284</v>
      </c>
      <c r="D372" s="76">
        <v>0</v>
      </c>
      <c r="E372" s="77">
        <v>1</v>
      </c>
      <c r="F372" s="274" t="s">
        <v>282</v>
      </c>
      <c r="G372" s="75">
        <v>24.4</v>
      </c>
      <c r="H372" s="112">
        <v>27.5</v>
      </c>
      <c r="I372" s="112">
        <v>30</v>
      </c>
      <c r="J372" s="112">
        <v>28.669886471256667</v>
      </c>
    </row>
    <row r="373" spans="1:10" x14ac:dyDescent="0.4">
      <c r="A373" s="273"/>
      <c r="B373" s="86" t="s">
        <v>165</v>
      </c>
      <c r="C373" s="75" t="s">
        <v>166</v>
      </c>
      <c r="D373" s="76">
        <v>0</v>
      </c>
      <c r="E373" s="77">
        <v>1</v>
      </c>
      <c r="F373" s="276"/>
      <c r="G373" s="75">
        <v>24.4</v>
      </c>
      <c r="H373" s="112">
        <v>26</v>
      </c>
      <c r="I373" s="112">
        <v>28.5</v>
      </c>
      <c r="J373" s="112">
        <v>27.101774468195114</v>
      </c>
    </row>
    <row r="374" spans="1:10" x14ac:dyDescent="0.4">
      <c r="A374" s="273" t="s">
        <v>285</v>
      </c>
      <c r="B374" s="86" t="s">
        <v>167</v>
      </c>
      <c r="C374" s="75" t="s">
        <v>286</v>
      </c>
      <c r="D374" s="76">
        <v>1</v>
      </c>
      <c r="E374" s="77">
        <v>1</v>
      </c>
      <c r="F374" s="274" t="s">
        <v>273</v>
      </c>
      <c r="G374" s="75">
        <v>105.48</v>
      </c>
      <c r="H374" s="51">
        <v>24.8</v>
      </c>
      <c r="I374" s="53">
        <v>26</v>
      </c>
      <c r="J374" s="53">
        <v>25.5657765485998</v>
      </c>
    </row>
    <row r="375" spans="1:10" x14ac:dyDescent="0.4">
      <c r="A375" s="273"/>
      <c r="B375" s="86" t="s">
        <v>168</v>
      </c>
      <c r="C375" s="75" t="s">
        <v>169</v>
      </c>
      <c r="D375" s="76">
        <v>1</v>
      </c>
      <c r="E375" s="77">
        <v>1</v>
      </c>
      <c r="F375" s="275"/>
      <c r="G375" s="75">
        <v>105.48</v>
      </c>
      <c r="H375" s="51">
        <v>24.6</v>
      </c>
      <c r="I375" s="54">
        <v>25.8</v>
      </c>
      <c r="J375" s="54">
        <v>25.342871866513704</v>
      </c>
    </row>
    <row r="376" spans="1:10" x14ac:dyDescent="0.4">
      <c r="A376" s="273"/>
      <c r="B376" s="86" t="s">
        <v>170</v>
      </c>
      <c r="C376" s="75" t="s">
        <v>171</v>
      </c>
      <c r="D376" s="76">
        <v>1</v>
      </c>
      <c r="E376" s="77">
        <v>1</v>
      </c>
      <c r="F376" s="275"/>
      <c r="G376" s="75">
        <v>105.48</v>
      </c>
      <c r="H376" s="51">
        <v>23.9</v>
      </c>
      <c r="I376" s="52">
        <v>25.8</v>
      </c>
      <c r="J376" s="52">
        <v>24.947314233142599</v>
      </c>
    </row>
    <row r="377" spans="1:10" x14ac:dyDescent="0.4">
      <c r="A377" s="273"/>
      <c r="B377" s="86" t="s">
        <v>172</v>
      </c>
      <c r="C377" s="75" t="s">
        <v>173</v>
      </c>
      <c r="D377" s="76">
        <v>1</v>
      </c>
      <c r="E377" s="77">
        <v>1</v>
      </c>
      <c r="F377" s="275"/>
      <c r="G377" s="75">
        <v>105.48</v>
      </c>
      <c r="H377" s="51">
        <v>24</v>
      </c>
      <c r="I377" s="52">
        <v>25.7</v>
      </c>
      <c r="J377" s="52">
        <v>24.962164505328346</v>
      </c>
    </row>
    <row r="378" spans="1:10" x14ac:dyDescent="0.4">
      <c r="A378" s="273"/>
      <c r="B378" s="86" t="s">
        <v>174</v>
      </c>
      <c r="C378" s="75" t="s">
        <v>287</v>
      </c>
      <c r="D378" s="76">
        <v>1</v>
      </c>
      <c r="E378" s="77">
        <v>1</v>
      </c>
      <c r="F378" s="275"/>
      <c r="G378" s="75">
        <v>65</v>
      </c>
      <c r="H378" s="55">
        <v>26.1</v>
      </c>
      <c r="I378" s="55">
        <v>28.3</v>
      </c>
      <c r="J378" s="55">
        <v>27.236223419018422</v>
      </c>
    </row>
    <row r="379" spans="1:10" x14ac:dyDescent="0.4">
      <c r="A379" s="273"/>
      <c r="B379" s="86" t="s">
        <v>175</v>
      </c>
      <c r="C379" s="75" t="s">
        <v>176</v>
      </c>
      <c r="D379" s="76">
        <v>1</v>
      </c>
      <c r="E379" s="77">
        <v>1</v>
      </c>
      <c r="F379" s="276"/>
      <c r="G379" s="75">
        <v>65</v>
      </c>
      <c r="H379" s="55">
        <v>24</v>
      </c>
      <c r="I379" s="55">
        <v>26</v>
      </c>
      <c r="J379" s="55">
        <v>24.516666666666666</v>
      </c>
    </row>
    <row r="380" spans="1:10" x14ac:dyDescent="0.4">
      <c r="A380" s="273"/>
      <c r="B380" s="86" t="s">
        <v>177</v>
      </c>
      <c r="C380" s="75" t="s">
        <v>288</v>
      </c>
      <c r="D380" s="76">
        <v>1</v>
      </c>
      <c r="E380" s="77">
        <v>1</v>
      </c>
      <c r="F380" s="274" t="s">
        <v>282</v>
      </c>
      <c r="G380" s="75">
        <v>16.3</v>
      </c>
      <c r="H380" s="55">
        <v>23.5</v>
      </c>
      <c r="I380" s="55">
        <v>26</v>
      </c>
      <c r="J380" s="55">
        <v>24.533991418670009</v>
      </c>
    </row>
    <row r="381" spans="1:10" x14ac:dyDescent="0.4">
      <c r="A381" s="273"/>
      <c r="B381" s="86" t="s">
        <v>178</v>
      </c>
      <c r="C381" s="75" t="s">
        <v>179</v>
      </c>
      <c r="D381" s="76">
        <v>1</v>
      </c>
      <c r="E381" s="77">
        <v>1</v>
      </c>
      <c r="F381" s="275"/>
      <c r="G381" s="75">
        <v>16.3</v>
      </c>
      <c r="H381" s="55">
        <v>21</v>
      </c>
      <c r="I381" s="55">
        <v>24.5</v>
      </c>
      <c r="J381" s="55">
        <v>22.917691723309261</v>
      </c>
    </row>
    <row r="382" spans="1:10" x14ac:dyDescent="0.4">
      <c r="A382" s="273"/>
      <c r="B382" s="86" t="s">
        <v>180</v>
      </c>
      <c r="C382" s="75" t="s">
        <v>181</v>
      </c>
      <c r="D382" s="76">
        <v>1</v>
      </c>
      <c r="E382" s="77">
        <v>1</v>
      </c>
      <c r="F382" s="275"/>
      <c r="G382" s="75">
        <v>16.3</v>
      </c>
      <c r="H382" s="55">
        <v>18</v>
      </c>
      <c r="I382" s="55">
        <v>29.5</v>
      </c>
      <c r="J382" s="55">
        <v>26.953550372958549</v>
      </c>
    </row>
    <row r="383" spans="1:10" x14ac:dyDescent="0.4">
      <c r="A383" s="273"/>
      <c r="B383" s="86" t="s">
        <v>289</v>
      </c>
      <c r="C383" s="75" t="s">
        <v>182</v>
      </c>
      <c r="D383" s="76">
        <v>1</v>
      </c>
      <c r="E383" s="77">
        <v>1</v>
      </c>
      <c r="F383" s="276"/>
      <c r="G383" s="75">
        <v>35</v>
      </c>
      <c r="H383" s="55">
        <v>24</v>
      </c>
      <c r="I383" s="55">
        <v>26</v>
      </c>
      <c r="J383" s="55">
        <v>24.855475787683329</v>
      </c>
    </row>
    <row r="384" spans="1:10" x14ac:dyDescent="0.4">
      <c r="H384" s="65">
        <f>AVERAGE(H343:H357,H363:H365,H374:H383)</f>
        <v>22.346428571428572</v>
      </c>
      <c r="I384" s="65">
        <f t="shared" ref="I384:J384" si="2">AVERAGE(I343:I357,I363:I365,I374:I383)</f>
        <v>26.403571428571421</v>
      </c>
      <c r="J384" s="113">
        <f t="shared" si="2"/>
        <v>25.049296165413921</v>
      </c>
    </row>
    <row r="385" spans="1:10" x14ac:dyDescent="0.4">
      <c r="J385" s="64" t="s">
        <v>261</v>
      </c>
    </row>
    <row r="386" spans="1:10" x14ac:dyDescent="0.4">
      <c r="A386" s="280" t="s">
        <v>183</v>
      </c>
      <c r="B386" s="280"/>
      <c r="C386" s="280"/>
      <c r="D386" s="280"/>
      <c r="E386" s="280"/>
      <c r="F386" s="280"/>
      <c r="G386" s="280"/>
      <c r="H386" s="280"/>
      <c r="I386" s="280"/>
      <c r="J386" s="281"/>
    </row>
    <row r="387" spans="1:10" ht="34.799999999999997" x14ac:dyDescent="0.4">
      <c r="A387" s="73" t="s">
        <v>267</v>
      </c>
      <c r="B387" s="73" t="s">
        <v>268</v>
      </c>
      <c r="C387" s="73" t="s">
        <v>269</v>
      </c>
      <c r="D387" s="73" t="s">
        <v>108</v>
      </c>
      <c r="E387" s="73" t="s">
        <v>109</v>
      </c>
      <c r="F387" s="74" t="s">
        <v>270</v>
      </c>
      <c r="G387" s="73" t="s">
        <v>110</v>
      </c>
      <c r="H387" s="73" t="s">
        <v>184</v>
      </c>
      <c r="I387" s="73" t="s">
        <v>185</v>
      </c>
      <c r="J387" s="73" t="s">
        <v>186</v>
      </c>
    </row>
    <row r="388" spans="1:10" x14ac:dyDescent="0.4">
      <c r="A388" s="285" t="s">
        <v>271</v>
      </c>
      <c r="B388" s="87" t="s">
        <v>114</v>
      </c>
      <c r="C388" s="88" t="s">
        <v>272</v>
      </c>
      <c r="D388" s="89">
        <v>1</v>
      </c>
      <c r="E388" s="88">
        <v>1</v>
      </c>
      <c r="F388" s="274" t="s">
        <v>273</v>
      </c>
      <c r="G388" s="75">
        <v>105.48</v>
      </c>
      <c r="H388" s="56">
        <v>24.1</v>
      </c>
      <c r="I388" s="57">
        <v>46.6</v>
      </c>
      <c r="J388" s="57">
        <v>36.875899645011756</v>
      </c>
    </row>
    <row r="389" spans="1:10" x14ac:dyDescent="0.4">
      <c r="A389" s="286"/>
      <c r="B389" s="87" t="s">
        <v>115</v>
      </c>
      <c r="C389" s="88" t="s">
        <v>274</v>
      </c>
      <c r="D389" s="89">
        <v>1</v>
      </c>
      <c r="E389" s="88">
        <v>1</v>
      </c>
      <c r="F389" s="275"/>
      <c r="G389" s="75">
        <v>105.48</v>
      </c>
      <c r="H389" s="56">
        <v>24.5</v>
      </c>
      <c r="I389" s="57">
        <v>46.8</v>
      </c>
      <c r="J389" s="57">
        <v>37.004108173574643</v>
      </c>
    </row>
    <row r="390" spans="1:10" x14ac:dyDescent="0.4">
      <c r="A390" s="286"/>
      <c r="B390" s="87" t="s">
        <v>116</v>
      </c>
      <c r="C390" s="88" t="s">
        <v>117</v>
      </c>
      <c r="D390" s="89">
        <v>1</v>
      </c>
      <c r="E390" s="88">
        <v>1</v>
      </c>
      <c r="F390" s="78"/>
      <c r="G390" s="75">
        <v>105.48</v>
      </c>
      <c r="H390" s="56">
        <v>25.7</v>
      </c>
      <c r="I390" s="57">
        <v>45.6</v>
      </c>
      <c r="J390" s="57">
        <v>36.984516441492424</v>
      </c>
    </row>
    <row r="391" spans="1:10" x14ac:dyDescent="0.4">
      <c r="A391" s="287"/>
      <c r="B391" s="87" t="s">
        <v>118</v>
      </c>
      <c r="C391" s="88" t="s">
        <v>119</v>
      </c>
      <c r="D391" s="89">
        <v>1</v>
      </c>
      <c r="E391" s="88">
        <v>1</v>
      </c>
      <c r="F391" s="78"/>
      <c r="G391" s="75">
        <v>105.48</v>
      </c>
      <c r="H391" s="56">
        <v>23.2</v>
      </c>
      <c r="I391" s="57">
        <v>44.2</v>
      </c>
      <c r="J391" s="57">
        <v>35.156717090807682</v>
      </c>
    </row>
    <row r="392" spans="1:10" x14ac:dyDescent="0.4">
      <c r="A392" s="273" t="s">
        <v>275</v>
      </c>
      <c r="B392" s="86" t="s">
        <v>120</v>
      </c>
      <c r="C392" s="75" t="s">
        <v>276</v>
      </c>
      <c r="D392" s="76">
        <v>1</v>
      </c>
      <c r="E392" s="77">
        <v>1</v>
      </c>
      <c r="F392" s="274" t="s">
        <v>273</v>
      </c>
      <c r="G392" s="75">
        <v>105.48</v>
      </c>
      <c r="H392" s="56">
        <v>22.8</v>
      </c>
      <c r="I392" s="57">
        <v>73.8</v>
      </c>
      <c r="J392" s="57">
        <v>37.251804931220235</v>
      </c>
    </row>
    <row r="393" spans="1:10" x14ac:dyDescent="0.4">
      <c r="A393" s="273"/>
      <c r="B393" s="86" t="s">
        <v>121</v>
      </c>
      <c r="C393" s="75" t="s">
        <v>277</v>
      </c>
      <c r="D393" s="76">
        <v>1</v>
      </c>
      <c r="E393" s="77">
        <v>1</v>
      </c>
      <c r="F393" s="275"/>
      <c r="G393" s="75">
        <v>105.48</v>
      </c>
      <c r="H393" s="56">
        <v>22.8</v>
      </c>
      <c r="I393" s="57">
        <v>53.2</v>
      </c>
      <c r="J393" s="57">
        <v>37.175433774739822</v>
      </c>
    </row>
    <row r="394" spans="1:10" x14ac:dyDescent="0.4">
      <c r="A394" s="273"/>
      <c r="B394" s="86" t="s">
        <v>122</v>
      </c>
      <c r="C394" s="75" t="s">
        <v>123</v>
      </c>
      <c r="D394" s="76">
        <v>1</v>
      </c>
      <c r="E394" s="77">
        <v>1</v>
      </c>
      <c r="F394" s="275"/>
      <c r="G394" s="75">
        <v>105.48</v>
      </c>
      <c r="H394" s="56">
        <v>37.299999999999997</v>
      </c>
      <c r="I394" s="57">
        <v>66</v>
      </c>
      <c r="J394" s="57">
        <v>49.840352179488214</v>
      </c>
    </row>
    <row r="395" spans="1:10" x14ac:dyDescent="0.4">
      <c r="A395" s="273"/>
      <c r="B395" s="86" t="s">
        <v>124</v>
      </c>
      <c r="C395" s="75" t="s">
        <v>125</v>
      </c>
      <c r="D395" s="76">
        <v>1</v>
      </c>
      <c r="E395" s="77">
        <v>1</v>
      </c>
      <c r="F395" s="275"/>
      <c r="G395" s="75">
        <v>105.48</v>
      </c>
      <c r="H395" s="56">
        <v>24</v>
      </c>
      <c r="I395" s="57">
        <v>47.5</v>
      </c>
      <c r="J395" s="57">
        <v>40.07350006711988</v>
      </c>
    </row>
    <row r="396" spans="1:10" x14ac:dyDescent="0.4">
      <c r="A396" s="273" t="s">
        <v>279</v>
      </c>
      <c r="B396" s="86" t="s">
        <v>131</v>
      </c>
      <c r="C396" s="75" t="s">
        <v>280</v>
      </c>
      <c r="D396" s="76">
        <v>1</v>
      </c>
      <c r="E396" s="77">
        <v>1</v>
      </c>
      <c r="F396" s="274" t="s">
        <v>273</v>
      </c>
      <c r="G396" s="75">
        <v>105.48</v>
      </c>
      <c r="H396" s="56">
        <v>22.5</v>
      </c>
      <c r="I396" s="57">
        <v>45.8</v>
      </c>
      <c r="J396" s="57">
        <v>38.195485835971027</v>
      </c>
    </row>
    <row r="397" spans="1:10" x14ac:dyDescent="0.4">
      <c r="A397" s="273"/>
      <c r="B397" s="86" t="s">
        <v>132</v>
      </c>
      <c r="C397" s="75" t="s">
        <v>133</v>
      </c>
      <c r="D397" s="76">
        <v>1</v>
      </c>
      <c r="E397" s="77">
        <v>1</v>
      </c>
      <c r="F397" s="275"/>
      <c r="G397" s="75">
        <v>105.48</v>
      </c>
      <c r="H397" s="56">
        <v>21.9</v>
      </c>
      <c r="I397" s="57">
        <v>44.3</v>
      </c>
      <c r="J397" s="57">
        <v>37.074655494835682</v>
      </c>
    </row>
    <row r="398" spans="1:10" x14ac:dyDescent="0.4">
      <c r="A398" s="273"/>
      <c r="B398" s="86" t="s">
        <v>134</v>
      </c>
      <c r="C398" s="75" t="s">
        <v>135</v>
      </c>
      <c r="D398" s="76">
        <v>1</v>
      </c>
      <c r="E398" s="77">
        <v>1</v>
      </c>
      <c r="F398" s="275"/>
      <c r="G398" s="79">
        <v>105.48</v>
      </c>
      <c r="H398" s="56">
        <v>20.9</v>
      </c>
      <c r="I398" s="57">
        <v>39.5</v>
      </c>
      <c r="J398" s="57">
        <v>34.962139230837934</v>
      </c>
    </row>
    <row r="399" spans="1:10" x14ac:dyDescent="0.4">
      <c r="A399" s="273"/>
      <c r="B399" s="86" t="s">
        <v>136</v>
      </c>
      <c r="C399" s="75" t="s">
        <v>137</v>
      </c>
      <c r="D399" s="76">
        <v>1</v>
      </c>
      <c r="E399" s="77">
        <v>1</v>
      </c>
      <c r="F399" s="275"/>
      <c r="G399" s="79">
        <v>105.48</v>
      </c>
      <c r="H399" s="56">
        <v>21.5</v>
      </c>
      <c r="I399" s="57">
        <v>40.6</v>
      </c>
      <c r="J399" s="57">
        <v>35.881135303974233</v>
      </c>
    </row>
    <row r="400" spans="1:10" x14ac:dyDescent="0.4">
      <c r="A400" s="273"/>
      <c r="B400" s="86" t="s">
        <v>138</v>
      </c>
      <c r="C400" s="75" t="s">
        <v>281</v>
      </c>
      <c r="D400" s="75">
        <v>0</v>
      </c>
      <c r="E400" s="77">
        <v>1</v>
      </c>
      <c r="F400" s="77">
        <v>1</v>
      </c>
      <c r="G400" s="75">
        <v>32.549999999999997</v>
      </c>
      <c r="H400" s="58">
        <v>25.8</v>
      </c>
      <c r="I400" s="58">
        <v>31.6</v>
      </c>
      <c r="J400" s="58">
        <v>26.354365316483779</v>
      </c>
    </row>
    <row r="401" spans="1:10" x14ac:dyDescent="0.4">
      <c r="A401" s="273"/>
      <c r="B401" s="86" t="s">
        <v>139</v>
      </c>
      <c r="C401" s="75" t="s">
        <v>140</v>
      </c>
      <c r="D401" s="75">
        <v>0</v>
      </c>
      <c r="E401" s="77">
        <v>1</v>
      </c>
      <c r="F401" s="77">
        <v>1</v>
      </c>
      <c r="G401" s="75">
        <v>32.549999999999997</v>
      </c>
      <c r="H401" s="59">
        <v>27.8</v>
      </c>
      <c r="I401" s="59">
        <v>30.6</v>
      </c>
      <c r="J401" s="59">
        <v>28.507460941612955</v>
      </c>
    </row>
    <row r="402" spans="1:10" x14ac:dyDescent="0.4">
      <c r="A402" s="273"/>
      <c r="B402" s="86" t="s">
        <v>141</v>
      </c>
      <c r="C402" s="75" t="s">
        <v>283</v>
      </c>
      <c r="D402" s="75">
        <v>0</v>
      </c>
      <c r="E402" s="77">
        <v>1</v>
      </c>
      <c r="F402" s="77">
        <v>1</v>
      </c>
      <c r="G402" s="75">
        <v>32.549999999999997</v>
      </c>
      <c r="H402" s="59">
        <v>24.4</v>
      </c>
      <c r="I402" s="59">
        <v>31.6</v>
      </c>
      <c r="J402" s="59">
        <v>25.308625390828567</v>
      </c>
    </row>
    <row r="403" spans="1:10" x14ac:dyDescent="0.4">
      <c r="A403" s="273"/>
      <c r="B403" s="86" t="s">
        <v>142</v>
      </c>
      <c r="C403" s="75" t="s">
        <v>143</v>
      </c>
      <c r="D403" s="75">
        <v>1</v>
      </c>
      <c r="E403" s="77">
        <v>1</v>
      </c>
      <c r="F403" s="77">
        <v>1</v>
      </c>
      <c r="G403" s="75">
        <v>32.549999999999997</v>
      </c>
      <c r="H403" s="60">
        <v>29</v>
      </c>
      <c r="I403" s="60">
        <v>32.799999999999997</v>
      </c>
      <c r="J403" s="60">
        <v>30.690526910212576</v>
      </c>
    </row>
    <row r="404" spans="1:10" x14ac:dyDescent="0.4">
      <c r="A404" s="273"/>
      <c r="B404" s="86" t="s">
        <v>144</v>
      </c>
      <c r="C404" s="75" t="s">
        <v>145</v>
      </c>
      <c r="D404" s="75">
        <v>0</v>
      </c>
      <c r="E404" s="77">
        <v>1</v>
      </c>
      <c r="F404" s="77">
        <v>1</v>
      </c>
      <c r="G404" s="75">
        <v>32.549999999999997</v>
      </c>
      <c r="H404" s="59">
        <v>24.4</v>
      </c>
      <c r="I404" s="59">
        <v>32.5</v>
      </c>
      <c r="J404" s="59">
        <v>25.450364206403666</v>
      </c>
    </row>
    <row r="405" spans="1:10" x14ac:dyDescent="0.4">
      <c r="A405" s="273"/>
      <c r="B405" s="86" t="s">
        <v>146</v>
      </c>
      <c r="C405" s="75" t="s">
        <v>147</v>
      </c>
      <c r="D405" s="75">
        <v>1</v>
      </c>
      <c r="E405" s="77">
        <v>1</v>
      </c>
      <c r="F405" s="77">
        <v>1</v>
      </c>
      <c r="G405" s="75">
        <v>32.549999999999997</v>
      </c>
      <c r="H405" s="60">
        <v>28.6</v>
      </c>
      <c r="I405" s="60">
        <v>32.799999999999997</v>
      </c>
      <c r="J405" s="60">
        <v>31.681985326236472</v>
      </c>
    </row>
    <row r="406" spans="1:10" x14ac:dyDescent="0.4">
      <c r="A406" s="273"/>
      <c r="B406" s="86" t="s">
        <v>148</v>
      </c>
      <c r="C406" s="75" t="s">
        <v>149</v>
      </c>
      <c r="D406" s="75">
        <v>0</v>
      </c>
      <c r="E406" s="77">
        <v>1</v>
      </c>
      <c r="F406" s="77">
        <v>1</v>
      </c>
      <c r="G406" s="75">
        <v>32.549999999999997</v>
      </c>
      <c r="H406" s="60">
        <v>30.1</v>
      </c>
      <c r="I406" s="60">
        <v>32.5</v>
      </c>
      <c r="J406" s="60">
        <v>31.839196380938393</v>
      </c>
    </row>
    <row r="407" spans="1:10" x14ac:dyDescent="0.4">
      <c r="A407" s="273"/>
      <c r="B407" s="86" t="s">
        <v>150</v>
      </c>
      <c r="C407" s="75" t="s">
        <v>151</v>
      </c>
      <c r="D407" s="75">
        <v>1</v>
      </c>
      <c r="E407" s="77">
        <v>1</v>
      </c>
      <c r="F407" s="77">
        <v>1</v>
      </c>
      <c r="G407" s="75">
        <v>32.549999999999997</v>
      </c>
      <c r="H407" s="60">
        <v>30.7</v>
      </c>
      <c r="I407" s="60">
        <v>32.6</v>
      </c>
      <c r="J407" s="60">
        <v>31.343251116148533</v>
      </c>
    </row>
    <row r="408" spans="1:10" x14ac:dyDescent="0.4">
      <c r="A408" s="273"/>
      <c r="B408" s="86" t="s">
        <v>152</v>
      </c>
      <c r="C408" s="75" t="s">
        <v>153</v>
      </c>
      <c r="D408" s="75">
        <v>0</v>
      </c>
      <c r="E408" s="77">
        <v>1</v>
      </c>
      <c r="F408" s="77">
        <v>1</v>
      </c>
      <c r="G408" s="75">
        <v>32.549999999999997</v>
      </c>
      <c r="H408" s="59"/>
      <c r="I408" s="59"/>
      <c r="J408" s="59"/>
    </row>
    <row r="409" spans="1:10" x14ac:dyDescent="0.4">
      <c r="A409" s="273"/>
      <c r="B409" s="86" t="s">
        <v>154</v>
      </c>
      <c r="C409" s="75" t="s">
        <v>155</v>
      </c>
      <c r="D409" s="75">
        <v>0</v>
      </c>
      <c r="E409" s="77">
        <v>1</v>
      </c>
      <c r="F409" s="77">
        <v>1</v>
      </c>
      <c r="G409" s="75">
        <v>32.549999999999997</v>
      </c>
      <c r="H409" s="59">
        <v>28.4</v>
      </c>
      <c r="I409" s="59">
        <v>29.9</v>
      </c>
      <c r="J409" s="59">
        <v>29.630716247788403</v>
      </c>
    </row>
    <row r="410" spans="1:10" x14ac:dyDescent="0.4">
      <c r="A410" s="273"/>
      <c r="B410" s="86" t="s">
        <v>156</v>
      </c>
      <c r="C410" s="75" t="s">
        <v>157</v>
      </c>
      <c r="D410" s="75">
        <v>0</v>
      </c>
      <c r="E410" s="77">
        <v>1</v>
      </c>
      <c r="F410" s="77">
        <v>1</v>
      </c>
      <c r="G410" s="75">
        <v>32.549999999999997</v>
      </c>
      <c r="H410" s="59">
        <v>26.3</v>
      </c>
      <c r="I410" s="59">
        <v>30.6</v>
      </c>
      <c r="J410" s="59">
        <v>26.935364994203944</v>
      </c>
    </row>
    <row r="411" spans="1:10" x14ac:dyDescent="0.4">
      <c r="A411" s="273"/>
      <c r="B411" s="86" t="s">
        <v>158</v>
      </c>
      <c r="C411" s="75" t="s">
        <v>159</v>
      </c>
      <c r="D411" s="75">
        <v>0</v>
      </c>
      <c r="E411" s="77">
        <v>1</v>
      </c>
      <c r="F411" s="77">
        <v>1</v>
      </c>
      <c r="G411" s="75">
        <v>32.549999999999997</v>
      </c>
      <c r="H411" s="59">
        <v>25.6</v>
      </c>
      <c r="I411" s="59">
        <v>34</v>
      </c>
      <c r="J411" s="59">
        <v>30.625999679618541</v>
      </c>
    </row>
    <row r="412" spans="1:10" x14ac:dyDescent="0.4">
      <c r="A412" s="273"/>
      <c r="B412" s="86" t="s">
        <v>160</v>
      </c>
      <c r="C412" s="75" t="s">
        <v>161</v>
      </c>
      <c r="D412" s="75">
        <v>0</v>
      </c>
      <c r="E412" s="77">
        <v>1</v>
      </c>
      <c r="F412" s="77">
        <v>1</v>
      </c>
      <c r="G412" s="75">
        <v>32.549999999999997</v>
      </c>
      <c r="H412" s="59">
        <v>27.7</v>
      </c>
      <c r="I412" s="59">
        <v>30.4</v>
      </c>
      <c r="J412" s="59">
        <v>29.382356535905735</v>
      </c>
    </row>
    <row r="413" spans="1:10" x14ac:dyDescent="0.4">
      <c r="A413" s="273"/>
      <c r="B413" s="86" t="s">
        <v>162</v>
      </c>
      <c r="C413" s="75" t="s">
        <v>163</v>
      </c>
      <c r="D413" s="75">
        <v>0</v>
      </c>
      <c r="E413" s="77">
        <v>1</v>
      </c>
      <c r="F413" s="77">
        <v>1</v>
      </c>
      <c r="G413" s="75">
        <v>32.549999999999997</v>
      </c>
      <c r="H413" s="59">
        <v>27</v>
      </c>
      <c r="I413" s="59">
        <v>30.2</v>
      </c>
      <c r="J413" s="59">
        <v>28.319564185557223</v>
      </c>
    </row>
    <row r="414" spans="1:10" x14ac:dyDescent="0.4">
      <c r="A414" s="273"/>
      <c r="B414" s="86" t="s">
        <v>164</v>
      </c>
      <c r="C414" s="75" t="s">
        <v>284</v>
      </c>
      <c r="D414" s="75">
        <v>0</v>
      </c>
      <c r="E414" s="77">
        <v>1</v>
      </c>
      <c r="F414" s="77">
        <v>1</v>
      </c>
      <c r="G414" s="75">
        <v>24.4</v>
      </c>
      <c r="H414" s="59">
        <v>26</v>
      </c>
      <c r="I414" s="59">
        <v>27.5</v>
      </c>
      <c r="J414" s="59">
        <v>26.918421650104822</v>
      </c>
    </row>
    <row r="415" spans="1:10" x14ac:dyDescent="0.4">
      <c r="A415" s="273"/>
      <c r="B415" s="86" t="s">
        <v>165</v>
      </c>
      <c r="C415" s="75" t="s">
        <v>166</v>
      </c>
      <c r="D415" s="75">
        <v>0</v>
      </c>
      <c r="E415" s="77">
        <v>1</v>
      </c>
      <c r="F415" s="77">
        <v>1</v>
      </c>
      <c r="G415" s="75">
        <v>24.4</v>
      </c>
      <c r="H415" s="59">
        <v>25.5</v>
      </c>
      <c r="I415" s="59">
        <v>27.5</v>
      </c>
      <c r="J415" s="59">
        <v>26.559773141544955</v>
      </c>
    </row>
    <row r="416" spans="1:10" x14ac:dyDescent="0.4">
      <c r="A416" s="273" t="s">
        <v>285</v>
      </c>
      <c r="B416" s="86" t="s">
        <v>167</v>
      </c>
      <c r="C416" s="75" t="s">
        <v>286</v>
      </c>
      <c r="D416" s="76">
        <v>1</v>
      </c>
      <c r="E416" s="77">
        <v>1</v>
      </c>
      <c r="F416" s="274" t="s">
        <v>273</v>
      </c>
      <c r="G416" s="75">
        <v>105.48</v>
      </c>
      <c r="H416" s="56">
        <v>25.7</v>
      </c>
      <c r="I416" s="60">
        <v>39.700000000000003</v>
      </c>
      <c r="J416" s="60">
        <v>35.190372604446353</v>
      </c>
    </row>
    <row r="417" spans="1:10" x14ac:dyDescent="0.4">
      <c r="A417" s="273"/>
      <c r="B417" s="86" t="s">
        <v>168</v>
      </c>
      <c r="C417" s="75" t="s">
        <v>169</v>
      </c>
      <c r="D417" s="76">
        <v>1</v>
      </c>
      <c r="E417" s="77">
        <v>1</v>
      </c>
      <c r="F417" s="275"/>
      <c r="G417" s="75">
        <v>105.48</v>
      </c>
      <c r="H417" s="56">
        <v>28.7</v>
      </c>
      <c r="I417" s="61">
        <v>42.6</v>
      </c>
      <c r="J417" s="61">
        <v>38.274867758099141</v>
      </c>
    </row>
    <row r="418" spans="1:10" x14ac:dyDescent="0.4">
      <c r="A418" s="273"/>
      <c r="B418" s="86" t="s">
        <v>170</v>
      </c>
      <c r="C418" s="75" t="s">
        <v>171</v>
      </c>
      <c r="D418" s="76">
        <v>1</v>
      </c>
      <c r="E418" s="77">
        <v>1</v>
      </c>
      <c r="F418" s="275"/>
      <c r="G418" s="75">
        <v>105.48</v>
      </c>
      <c r="H418" s="56">
        <v>27.4</v>
      </c>
      <c r="I418" s="57">
        <v>45.8</v>
      </c>
      <c r="J418" s="57">
        <v>40.447616220029126</v>
      </c>
    </row>
    <row r="419" spans="1:10" x14ac:dyDescent="0.4">
      <c r="A419" s="273"/>
      <c r="B419" s="86" t="s">
        <v>172</v>
      </c>
      <c r="C419" s="75" t="s">
        <v>173</v>
      </c>
      <c r="D419" s="76">
        <v>1</v>
      </c>
      <c r="E419" s="77">
        <v>1</v>
      </c>
      <c r="F419" s="275"/>
      <c r="G419" s="75">
        <v>105.48</v>
      </c>
      <c r="H419" s="56">
        <v>27</v>
      </c>
      <c r="I419" s="57">
        <v>45.3</v>
      </c>
      <c r="J419" s="57">
        <v>40.088349265555607</v>
      </c>
    </row>
    <row r="420" spans="1:10" x14ac:dyDescent="0.4">
      <c r="A420" s="273"/>
      <c r="B420" s="86" t="s">
        <v>174</v>
      </c>
      <c r="C420" s="75" t="s">
        <v>287</v>
      </c>
      <c r="D420" s="76">
        <v>1</v>
      </c>
      <c r="E420" s="77">
        <v>1</v>
      </c>
      <c r="F420" s="275"/>
      <c r="G420" s="75">
        <v>65</v>
      </c>
      <c r="H420" s="62">
        <v>30.6</v>
      </c>
      <c r="I420" s="62">
        <v>40.6</v>
      </c>
      <c r="J420" s="62">
        <v>37.47478447889106</v>
      </c>
    </row>
    <row r="421" spans="1:10" x14ac:dyDescent="0.4">
      <c r="A421" s="273"/>
      <c r="B421" s="86" t="s">
        <v>175</v>
      </c>
      <c r="C421" s="75" t="s">
        <v>176</v>
      </c>
      <c r="D421" s="76">
        <v>1</v>
      </c>
      <c r="E421" s="77">
        <v>1</v>
      </c>
      <c r="F421" s="276"/>
      <c r="G421" s="75">
        <v>65</v>
      </c>
      <c r="H421" s="62">
        <v>29</v>
      </c>
      <c r="I421" s="62">
        <v>30</v>
      </c>
      <c r="J421" s="62">
        <v>29.322365104728199</v>
      </c>
    </row>
    <row r="422" spans="1:10" x14ac:dyDescent="0.4">
      <c r="A422" s="273"/>
      <c r="B422" s="86" t="s">
        <v>177</v>
      </c>
      <c r="C422" s="75" t="s">
        <v>288</v>
      </c>
      <c r="D422" s="76">
        <v>1</v>
      </c>
      <c r="E422" s="77">
        <v>1</v>
      </c>
      <c r="F422" s="274" t="s">
        <v>282</v>
      </c>
      <c r="G422" s="75">
        <v>16.3</v>
      </c>
      <c r="H422" s="62">
        <v>30.5</v>
      </c>
      <c r="I422" s="62">
        <v>34.5</v>
      </c>
      <c r="J422" s="62">
        <v>31.691676637256574</v>
      </c>
    </row>
    <row r="423" spans="1:10" x14ac:dyDescent="0.4">
      <c r="A423" s="273"/>
      <c r="B423" s="86" t="s">
        <v>178</v>
      </c>
      <c r="C423" s="75" t="s">
        <v>179</v>
      </c>
      <c r="D423" s="76">
        <v>1</v>
      </c>
      <c r="E423" s="77">
        <v>1</v>
      </c>
      <c r="F423" s="275"/>
      <c r="G423" s="75">
        <v>16.3</v>
      </c>
      <c r="H423" s="62">
        <v>31</v>
      </c>
      <c r="I423" s="62">
        <v>40.5</v>
      </c>
      <c r="J423" s="62">
        <v>34.619817345292134</v>
      </c>
    </row>
    <row r="424" spans="1:10" x14ac:dyDescent="0.4">
      <c r="A424" s="273"/>
      <c r="B424" s="86" t="s">
        <v>180</v>
      </c>
      <c r="C424" s="75" t="s">
        <v>181</v>
      </c>
      <c r="D424" s="76">
        <v>1</v>
      </c>
      <c r="E424" s="77">
        <v>1</v>
      </c>
      <c r="F424" s="275"/>
      <c r="G424" s="75">
        <v>16.3</v>
      </c>
      <c r="H424" s="62">
        <v>28</v>
      </c>
      <c r="I424" s="62">
        <v>45</v>
      </c>
      <c r="J424" s="62">
        <v>30.126522635332051</v>
      </c>
    </row>
    <row r="425" spans="1:10" x14ac:dyDescent="0.4">
      <c r="A425" s="273"/>
      <c r="B425" s="86" t="s">
        <v>289</v>
      </c>
      <c r="C425" s="75" t="s">
        <v>182</v>
      </c>
      <c r="D425" s="76">
        <v>1</v>
      </c>
      <c r="E425" s="77">
        <v>1</v>
      </c>
      <c r="F425" s="276"/>
      <c r="G425" s="75">
        <v>35</v>
      </c>
      <c r="H425" s="62">
        <v>31.5</v>
      </c>
      <c r="I425" s="62">
        <v>50.1</v>
      </c>
      <c r="J425" s="62">
        <v>44.617185412817626</v>
      </c>
    </row>
    <row r="426" spans="1:10" x14ac:dyDescent="0.4">
      <c r="A426" s="273" t="s">
        <v>275</v>
      </c>
      <c r="B426" s="86" t="s">
        <v>126</v>
      </c>
      <c r="C426" s="75" t="s">
        <v>278</v>
      </c>
      <c r="D426" s="76">
        <v>1</v>
      </c>
      <c r="E426" s="77">
        <v>1</v>
      </c>
      <c r="F426" s="90"/>
      <c r="G426" s="75">
        <v>70.319999999999993</v>
      </c>
      <c r="H426" s="62">
        <v>25.2</v>
      </c>
      <c r="I426" s="62">
        <v>56.1</v>
      </c>
      <c r="J426" s="62">
        <v>38.445655165716552</v>
      </c>
    </row>
    <row r="427" spans="1:10" x14ac:dyDescent="0.4">
      <c r="A427" s="273"/>
      <c r="B427" s="86" t="s">
        <v>127</v>
      </c>
      <c r="C427" s="75" t="s">
        <v>128</v>
      </c>
      <c r="D427" s="76">
        <v>1</v>
      </c>
      <c r="E427" s="77">
        <v>1</v>
      </c>
      <c r="F427" s="90"/>
      <c r="G427" s="75">
        <v>70.319999999999993</v>
      </c>
      <c r="H427" s="62">
        <v>25</v>
      </c>
      <c r="I427" s="62">
        <v>56.2</v>
      </c>
      <c r="J427" s="62">
        <v>37.517854848939081</v>
      </c>
    </row>
    <row r="428" spans="1:10" x14ac:dyDescent="0.4">
      <c r="A428" s="273"/>
      <c r="B428" s="86" t="s">
        <v>129</v>
      </c>
      <c r="C428" s="75" t="s">
        <v>130</v>
      </c>
      <c r="D428" s="76">
        <v>1</v>
      </c>
      <c r="E428" s="77">
        <v>1</v>
      </c>
      <c r="F428" s="90"/>
      <c r="G428" s="75">
        <v>70.319999999999993</v>
      </c>
      <c r="H428" s="62">
        <v>24.9</v>
      </c>
      <c r="I428" s="62">
        <v>55.1</v>
      </c>
      <c r="J428" s="62">
        <v>37.871109473847063</v>
      </c>
    </row>
    <row r="429" spans="1:10" x14ac:dyDescent="0.4">
      <c r="H429" s="91">
        <f>AVERAGE(H388:H399,H405:H407,H416:H428)</f>
        <v>26.610714285714288</v>
      </c>
      <c r="I429" s="91">
        <f>AVERAGE(I388:I399,I405:I407,I416:I428)</f>
        <v>45.474999999999987</v>
      </c>
      <c r="J429" s="118">
        <f>AVERAGE(J388:J399,J405:J407,J416:J428)</f>
        <v>36.679584212262412</v>
      </c>
    </row>
    <row r="430" spans="1:10" x14ac:dyDescent="0.4">
      <c r="J430" s="115" t="s">
        <v>262</v>
      </c>
    </row>
    <row r="431" spans="1:10" x14ac:dyDescent="0.4">
      <c r="A431" s="288" t="s">
        <v>290</v>
      </c>
      <c r="B431" s="288"/>
      <c r="C431" s="289" t="s">
        <v>187</v>
      </c>
      <c r="D431" s="290"/>
      <c r="E431" s="290" t="s">
        <v>188</v>
      </c>
      <c r="F431" s="290"/>
      <c r="G431" s="290" t="s">
        <v>189</v>
      </c>
      <c r="H431" s="290"/>
      <c r="I431" s="290" t="s">
        <v>190</v>
      </c>
      <c r="J431" s="290"/>
    </row>
    <row r="432" spans="1:10" ht="34.799999999999997" x14ac:dyDescent="0.4">
      <c r="A432" s="288"/>
      <c r="B432" s="288"/>
      <c r="C432" s="102" t="s">
        <v>191</v>
      </c>
      <c r="D432" s="101" t="s">
        <v>192</v>
      </c>
      <c r="E432" s="101" t="s">
        <v>191</v>
      </c>
      <c r="F432" s="101" t="s">
        <v>192</v>
      </c>
      <c r="G432" s="101" t="s">
        <v>191</v>
      </c>
      <c r="H432" s="101" t="s">
        <v>192</v>
      </c>
      <c r="I432" s="101" t="s">
        <v>191</v>
      </c>
      <c r="J432" s="101" t="s">
        <v>192</v>
      </c>
    </row>
    <row r="433" spans="1:10" x14ac:dyDescent="0.4">
      <c r="A433" s="277" t="s">
        <v>291</v>
      </c>
      <c r="B433" s="100" t="s">
        <v>292</v>
      </c>
      <c r="C433" s="93"/>
      <c r="D433" s="92"/>
      <c r="E433" s="93"/>
      <c r="F433" s="92"/>
      <c r="G433" s="93"/>
      <c r="H433" s="92"/>
      <c r="I433" s="93"/>
      <c r="J433" s="92"/>
    </row>
    <row r="434" spans="1:10" x14ac:dyDescent="0.4">
      <c r="A434" s="278"/>
      <c r="B434" s="94" t="s">
        <v>193</v>
      </c>
      <c r="C434" s="93"/>
      <c r="D434" s="92"/>
      <c r="E434" s="93"/>
      <c r="F434" s="92"/>
      <c r="G434" s="93"/>
      <c r="H434" s="92"/>
      <c r="I434" s="93"/>
      <c r="J434" s="92"/>
    </row>
    <row r="435" spans="1:10" x14ac:dyDescent="0.4">
      <c r="A435" s="278"/>
      <c r="B435" s="94" t="s">
        <v>194</v>
      </c>
      <c r="C435" s="93"/>
      <c r="D435" s="92"/>
      <c r="E435" s="93"/>
      <c r="F435" s="92"/>
      <c r="G435" s="93"/>
      <c r="H435" s="92"/>
      <c r="I435" s="93"/>
      <c r="J435" s="92"/>
    </row>
    <row r="436" spans="1:10" x14ac:dyDescent="0.4">
      <c r="A436" s="278"/>
      <c r="B436" s="94" t="s">
        <v>195</v>
      </c>
      <c r="C436" s="93"/>
      <c r="D436" s="92"/>
      <c r="E436" s="93"/>
      <c r="F436" s="92"/>
      <c r="G436" s="93"/>
      <c r="H436" s="92"/>
      <c r="I436" s="93"/>
      <c r="J436" s="92"/>
    </row>
    <row r="437" spans="1:10" x14ac:dyDescent="0.4">
      <c r="A437" s="278"/>
      <c r="B437" s="94" t="s">
        <v>196</v>
      </c>
      <c r="C437" s="93"/>
      <c r="D437" s="92"/>
      <c r="E437" s="93"/>
      <c r="F437" s="92"/>
      <c r="G437" s="93"/>
      <c r="H437" s="92"/>
      <c r="I437" s="93"/>
      <c r="J437" s="92"/>
    </row>
    <row r="438" spans="1:10" x14ac:dyDescent="0.4">
      <c r="A438" s="278"/>
      <c r="B438" s="94" t="s">
        <v>197</v>
      </c>
      <c r="C438" s="93"/>
      <c r="D438" s="92"/>
      <c r="E438" s="93"/>
      <c r="F438" s="92"/>
      <c r="G438" s="93"/>
      <c r="H438" s="92"/>
      <c r="I438" s="93"/>
      <c r="J438" s="92"/>
    </row>
    <row r="439" spans="1:10" x14ac:dyDescent="0.4">
      <c r="A439" s="278"/>
      <c r="B439" s="94" t="s">
        <v>198</v>
      </c>
      <c r="C439" s="93"/>
      <c r="D439" s="92"/>
      <c r="E439" s="93"/>
      <c r="F439" s="92"/>
      <c r="G439" s="93"/>
      <c r="H439" s="92"/>
      <c r="I439" s="93"/>
      <c r="J439" s="92"/>
    </row>
    <row r="440" spans="1:10" x14ac:dyDescent="0.4">
      <c r="A440" s="278"/>
      <c r="B440" s="94" t="s">
        <v>199</v>
      </c>
      <c r="C440" s="93"/>
      <c r="D440" s="92"/>
      <c r="E440" s="93"/>
      <c r="F440" s="92"/>
      <c r="G440" s="93"/>
      <c r="H440" s="92"/>
      <c r="I440" s="93"/>
      <c r="J440" s="92"/>
    </row>
    <row r="441" spans="1:10" x14ac:dyDescent="0.4">
      <c r="A441" s="278"/>
      <c r="B441" s="94" t="s">
        <v>200</v>
      </c>
      <c r="C441" s="93"/>
      <c r="D441" s="92"/>
      <c r="E441" s="93"/>
      <c r="F441" s="92"/>
      <c r="G441" s="93"/>
      <c r="H441" s="92"/>
      <c r="I441" s="98"/>
      <c r="J441" s="99"/>
    </row>
    <row r="442" spans="1:10" x14ac:dyDescent="0.4">
      <c r="A442" s="278"/>
      <c r="B442" s="94" t="s">
        <v>201</v>
      </c>
      <c r="C442" s="93"/>
      <c r="D442" s="92"/>
      <c r="E442" s="98"/>
      <c r="F442" s="99"/>
      <c r="G442" s="93"/>
      <c r="H442" s="92"/>
      <c r="I442" s="98"/>
      <c r="J442" s="99"/>
    </row>
    <row r="443" spans="1:10" x14ac:dyDescent="0.4">
      <c r="A443" s="278"/>
      <c r="B443" s="94" t="s">
        <v>202</v>
      </c>
      <c r="C443" s="93"/>
      <c r="D443" s="92"/>
      <c r="E443" s="98"/>
      <c r="F443" s="99"/>
      <c r="G443" s="93"/>
      <c r="H443" s="92"/>
      <c r="I443" s="98"/>
      <c r="J443" s="99"/>
    </row>
    <row r="444" spans="1:10" x14ac:dyDescent="0.4">
      <c r="A444" s="278"/>
      <c r="B444" s="94" t="s">
        <v>203</v>
      </c>
      <c r="C444" s="93"/>
      <c r="D444" s="92"/>
      <c r="E444" s="98"/>
      <c r="F444" s="99"/>
      <c r="G444" s="93"/>
      <c r="H444" s="92"/>
      <c r="I444" s="98"/>
      <c r="J444" s="99"/>
    </row>
    <row r="445" spans="1:10" x14ac:dyDescent="0.4">
      <c r="A445" s="278"/>
      <c r="B445" s="94" t="s">
        <v>204</v>
      </c>
      <c r="C445" s="93"/>
      <c r="D445" s="92"/>
      <c r="E445" s="98"/>
      <c r="F445" s="99"/>
      <c r="G445" s="93"/>
      <c r="H445" s="92"/>
      <c r="I445" s="98"/>
      <c r="J445" s="99"/>
    </row>
    <row r="446" spans="1:10" x14ac:dyDescent="0.4">
      <c r="A446" s="278"/>
      <c r="B446" s="94" t="s">
        <v>205</v>
      </c>
      <c r="C446" s="98"/>
      <c r="D446" s="99"/>
      <c r="E446" s="98"/>
      <c r="F446" s="99"/>
      <c r="G446" s="93"/>
      <c r="H446" s="92"/>
      <c r="I446" s="98"/>
      <c r="J446" s="99"/>
    </row>
    <row r="447" spans="1:10" x14ac:dyDescent="0.4">
      <c r="A447" s="278"/>
      <c r="B447" s="94" t="s">
        <v>206</v>
      </c>
      <c r="C447" s="98"/>
      <c r="D447" s="99"/>
      <c r="E447" s="98"/>
      <c r="F447" s="99"/>
      <c r="G447" s="93"/>
      <c r="H447" s="92"/>
      <c r="I447" s="98"/>
      <c r="J447" s="99"/>
    </row>
    <row r="448" spans="1:10" x14ac:dyDescent="0.4">
      <c r="A448" s="278"/>
      <c r="B448" s="94" t="s">
        <v>207</v>
      </c>
      <c r="C448" s="98"/>
      <c r="D448" s="99"/>
      <c r="E448" s="98"/>
      <c r="F448" s="99"/>
      <c r="G448" s="93"/>
      <c r="H448" s="92"/>
      <c r="I448" s="98"/>
      <c r="J448" s="99"/>
    </row>
    <row r="449" spans="1:10" x14ac:dyDescent="0.4">
      <c r="A449" s="278"/>
      <c r="B449" s="95" t="s">
        <v>293</v>
      </c>
      <c r="C449" s="93"/>
      <c r="D449" s="92"/>
      <c r="E449" s="93"/>
      <c r="F449" s="92"/>
      <c r="G449" s="93"/>
      <c r="H449" s="92"/>
      <c r="I449" s="93"/>
      <c r="J449" s="92"/>
    </row>
    <row r="450" spans="1:10" x14ac:dyDescent="0.4">
      <c r="A450" s="278"/>
      <c r="B450" s="95" t="s">
        <v>208</v>
      </c>
      <c r="C450" s="93"/>
      <c r="D450" s="92"/>
      <c r="E450" s="93"/>
      <c r="F450" s="92"/>
      <c r="G450" s="93"/>
      <c r="H450" s="92"/>
      <c r="I450" s="93"/>
      <c r="J450" s="92"/>
    </row>
    <row r="451" spans="1:10" x14ac:dyDescent="0.4">
      <c r="A451" s="278"/>
      <c r="B451" s="95" t="s">
        <v>209</v>
      </c>
      <c r="C451" s="93"/>
      <c r="D451" s="92"/>
      <c r="E451" s="93"/>
      <c r="F451" s="92"/>
      <c r="G451" s="93"/>
      <c r="H451" s="92"/>
      <c r="I451" s="93"/>
      <c r="J451" s="92"/>
    </row>
    <row r="452" spans="1:10" x14ac:dyDescent="0.4">
      <c r="A452" s="278"/>
      <c r="B452" s="95" t="s">
        <v>210</v>
      </c>
      <c r="C452" s="93"/>
      <c r="D452" s="92"/>
      <c r="E452" s="93"/>
      <c r="F452" s="92"/>
      <c r="G452" s="93"/>
      <c r="H452" s="92"/>
      <c r="I452" s="93"/>
      <c r="J452" s="92"/>
    </row>
    <row r="453" spans="1:10" x14ac:dyDescent="0.4">
      <c r="A453" s="278"/>
      <c r="B453" s="95" t="s">
        <v>211</v>
      </c>
      <c r="C453" s="93"/>
      <c r="D453" s="92"/>
      <c r="E453" s="93"/>
      <c r="F453" s="92"/>
      <c r="G453" s="93"/>
      <c r="H453" s="92"/>
      <c r="I453" s="93"/>
      <c r="J453" s="92"/>
    </row>
    <row r="454" spans="1:10" x14ac:dyDescent="0.4">
      <c r="A454" s="278"/>
      <c r="B454" s="95" t="s">
        <v>212</v>
      </c>
      <c r="C454" s="93"/>
      <c r="D454" s="92"/>
      <c r="E454" s="93"/>
      <c r="F454" s="92"/>
      <c r="G454" s="93"/>
      <c r="H454" s="92"/>
      <c r="I454" s="93"/>
      <c r="J454" s="92"/>
    </row>
    <row r="455" spans="1:10" x14ac:dyDescent="0.4">
      <c r="A455" s="278"/>
      <c r="B455" s="95" t="s">
        <v>213</v>
      </c>
      <c r="C455" s="93"/>
      <c r="D455" s="92"/>
      <c r="E455" s="93"/>
      <c r="F455" s="92"/>
      <c r="G455" s="93"/>
      <c r="H455" s="92"/>
      <c r="I455" s="93"/>
      <c r="J455" s="92"/>
    </row>
    <row r="456" spans="1:10" x14ac:dyDescent="0.4">
      <c r="A456" s="278"/>
      <c r="B456" s="95" t="s">
        <v>214</v>
      </c>
      <c r="C456" s="93"/>
      <c r="D456" s="92"/>
      <c r="E456" s="93"/>
      <c r="F456" s="92"/>
      <c r="G456" s="93"/>
      <c r="H456" s="92"/>
      <c r="I456" s="93"/>
      <c r="J456" s="92"/>
    </row>
    <row r="457" spans="1:10" x14ac:dyDescent="0.4">
      <c r="A457" s="278"/>
      <c r="B457" s="95" t="s">
        <v>215</v>
      </c>
      <c r="C457" s="93"/>
      <c r="D457" s="92"/>
      <c r="E457" s="93"/>
      <c r="F457" s="92"/>
      <c r="G457" s="93"/>
      <c r="H457" s="92"/>
      <c r="I457" s="93"/>
      <c r="J457" s="92"/>
    </row>
    <row r="458" spans="1:10" x14ac:dyDescent="0.4">
      <c r="A458" s="278"/>
      <c r="B458" s="95" t="s">
        <v>216</v>
      </c>
      <c r="C458" s="93"/>
      <c r="D458" s="92"/>
      <c r="E458" s="93"/>
      <c r="F458" s="92"/>
      <c r="G458" s="93"/>
      <c r="H458" s="92"/>
      <c r="I458" s="93"/>
      <c r="J458" s="92"/>
    </row>
    <row r="459" spans="1:10" x14ac:dyDescent="0.4">
      <c r="A459" s="278"/>
      <c r="B459" s="95" t="s">
        <v>217</v>
      </c>
      <c r="C459" s="93"/>
      <c r="D459" s="92"/>
      <c r="E459" s="93"/>
      <c r="F459" s="92"/>
      <c r="G459" s="93"/>
      <c r="H459" s="92"/>
      <c r="I459" s="98"/>
      <c r="J459" s="99"/>
    </row>
    <row r="460" spans="1:10" x14ac:dyDescent="0.4">
      <c r="A460" s="278"/>
      <c r="B460" s="95" t="s">
        <v>218</v>
      </c>
      <c r="C460" s="93"/>
      <c r="D460" s="92"/>
      <c r="E460" s="93"/>
      <c r="F460" s="92"/>
      <c r="G460" s="93"/>
      <c r="H460" s="92"/>
      <c r="I460" s="98"/>
      <c r="J460" s="99"/>
    </row>
    <row r="461" spans="1:10" x14ac:dyDescent="0.4">
      <c r="A461" s="278"/>
      <c r="B461" s="95" t="s">
        <v>219</v>
      </c>
      <c r="C461" s="93"/>
      <c r="D461" s="92"/>
      <c r="E461" s="93"/>
      <c r="F461" s="92"/>
      <c r="G461" s="93"/>
      <c r="H461" s="92"/>
      <c r="I461" s="98"/>
      <c r="J461" s="99"/>
    </row>
    <row r="462" spans="1:10" x14ac:dyDescent="0.4">
      <c r="A462" s="278"/>
      <c r="B462" s="95" t="s">
        <v>220</v>
      </c>
      <c r="C462" s="93"/>
      <c r="D462" s="92"/>
      <c r="E462" s="93"/>
      <c r="F462" s="92"/>
      <c r="G462" s="98"/>
      <c r="H462" s="99"/>
      <c r="I462" s="98"/>
      <c r="J462" s="99"/>
    </row>
    <row r="463" spans="1:10" x14ac:dyDescent="0.4">
      <c r="A463" s="278"/>
      <c r="B463" s="95" t="s">
        <v>294</v>
      </c>
      <c r="C463" s="93"/>
      <c r="D463" s="92"/>
      <c r="E463" s="98"/>
      <c r="F463" s="99"/>
      <c r="G463" s="98"/>
      <c r="H463" s="99"/>
      <c r="I463" s="98"/>
      <c r="J463" s="99"/>
    </row>
    <row r="464" spans="1:10" x14ac:dyDescent="0.4">
      <c r="A464" s="278"/>
      <c r="B464" s="95" t="s">
        <v>221</v>
      </c>
      <c r="C464" s="93"/>
      <c r="D464" s="92"/>
      <c r="E464" s="98"/>
      <c r="F464" s="99"/>
      <c r="G464" s="98"/>
      <c r="H464" s="99"/>
      <c r="I464" s="98"/>
      <c r="J464" s="99"/>
    </row>
    <row r="465" spans="1:10" x14ac:dyDescent="0.4">
      <c r="A465" s="278"/>
      <c r="B465" s="96" t="s">
        <v>295</v>
      </c>
      <c r="C465" s="93"/>
      <c r="D465" s="92"/>
      <c r="E465" s="93"/>
      <c r="F465" s="92"/>
      <c r="G465" s="93"/>
      <c r="H465" s="92"/>
      <c r="I465" s="93"/>
      <c r="J465" s="92"/>
    </row>
    <row r="466" spans="1:10" x14ac:dyDescent="0.4">
      <c r="A466" s="278"/>
      <c r="B466" s="96" t="s">
        <v>222</v>
      </c>
      <c r="C466" s="93"/>
      <c r="D466" s="92"/>
      <c r="E466" s="93"/>
      <c r="F466" s="92"/>
      <c r="G466" s="93"/>
      <c r="H466" s="92"/>
      <c r="I466" s="93"/>
      <c r="J466" s="92"/>
    </row>
    <row r="467" spans="1:10" x14ac:dyDescent="0.4">
      <c r="A467" s="278"/>
      <c r="B467" s="96" t="s">
        <v>223</v>
      </c>
      <c r="C467" s="93"/>
      <c r="D467" s="92"/>
      <c r="E467" s="93"/>
      <c r="F467" s="92"/>
      <c r="G467" s="93"/>
      <c r="H467" s="92"/>
      <c r="I467" s="93"/>
      <c r="J467" s="92"/>
    </row>
    <row r="468" spans="1:10" x14ac:dyDescent="0.4">
      <c r="A468" s="278"/>
      <c r="B468" s="96" t="s">
        <v>224</v>
      </c>
      <c r="C468" s="93"/>
      <c r="D468" s="92"/>
      <c r="E468" s="93"/>
      <c r="F468" s="92"/>
      <c r="G468" s="93"/>
      <c r="H468" s="92"/>
      <c r="I468" s="93"/>
      <c r="J468" s="92"/>
    </row>
    <row r="469" spans="1:10" x14ac:dyDescent="0.4">
      <c r="A469" s="278"/>
      <c r="B469" s="96" t="s">
        <v>225</v>
      </c>
      <c r="C469" s="93"/>
      <c r="D469" s="92"/>
      <c r="E469" s="93"/>
      <c r="F469" s="92"/>
      <c r="G469" s="93"/>
      <c r="H469" s="92"/>
      <c r="I469" s="93"/>
      <c r="J469" s="92"/>
    </row>
    <row r="470" spans="1:10" x14ac:dyDescent="0.4">
      <c r="A470" s="278"/>
      <c r="B470" s="96" t="s">
        <v>226</v>
      </c>
      <c r="C470" s="93"/>
      <c r="D470" s="92"/>
      <c r="E470" s="93"/>
      <c r="F470" s="92"/>
      <c r="G470" s="93"/>
      <c r="H470" s="92"/>
      <c r="I470" s="93"/>
      <c r="J470" s="92"/>
    </row>
    <row r="471" spans="1:10" x14ac:dyDescent="0.4">
      <c r="A471" s="278"/>
      <c r="B471" s="96" t="s">
        <v>227</v>
      </c>
      <c r="C471" s="93"/>
      <c r="D471" s="92"/>
      <c r="E471" s="93"/>
      <c r="F471" s="92"/>
      <c r="G471" s="93"/>
      <c r="H471" s="92"/>
      <c r="I471" s="93"/>
      <c r="J471" s="92"/>
    </row>
    <row r="472" spans="1:10" x14ac:dyDescent="0.4">
      <c r="A472" s="278"/>
      <c r="B472" s="96" t="s">
        <v>228</v>
      </c>
      <c r="C472" s="93"/>
      <c r="D472" s="92"/>
      <c r="E472" s="93"/>
      <c r="F472" s="92"/>
      <c r="G472" s="93"/>
      <c r="H472" s="92"/>
      <c r="I472" s="93"/>
      <c r="J472" s="92"/>
    </row>
    <row r="473" spans="1:10" x14ac:dyDescent="0.4">
      <c r="A473" s="278"/>
      <c r="B473" s="96" t="s">
        <v>229</v>
      </c>
      <c r="C473" s="93"/>
      <c r="D473" s="92"/>
      <c r="E473" s="93"/>
      <c r="F473" s="92"/>
      <c r="G473" s="98"/>
      <c r="H473" s="99"/>
      <c r="I473" s="93"/>
      <c r="J473" s="92"/>
    </row>
    <row r="474" spans="1:10" x14ac:dyDescent="0.4">
      <c r="A474" s="278"/>
      <c r="B474" s="96" t="s">
        <v>230</v>
      </c>
      <c r="C474" s="93"/>
      <c r="D474" s="92"/>
      <c r="E474" s="93"/>
      <c r="F474" s="92"/>
      <c r="G474" s="98"/>
      <c r="H474" s="99"/>
      <c r="I474" s="98"/>
      <c r="J474" s="99"/>
    </row>
    <row r="475" spans="1:10" x14ac:dyDescent="0.4">
      <c r="A475" s="278"/>
      <c r="B475" s="96" t="s">
        <v>231</v>
      </c>
      <c r="C475" s="93"/>
      <c r="D475" s="92"/>
      <c r="E475" s="93"/>
      <c r="F475" s="92"/>
      <c r="G475" s="98"/>
      <c r="H475" s="99"/>
      <c r="I475" s="98"/>
      <c r="J475" s="99"/>
    </row>
    <row r="476" spans="1:10" x14ac:dyDescent="0.4">
      <c r="A476" s="278"/>
      <c r="B476" s="96" t="s">
        <v>232</v>
      </c>
      <c r="C476" s="93"/>
      <c r="D476" s="92"/>
      <c r="E476" s="93"/>
      <c r="F476" s="92"/>
      <c r="G476" s="98"/>
      <c r="H476" s="99"/>
      <c r="I476" s="98"/>
      <c r="J476" s="99"/>
    </row>
    <row r="477" spans="1:10" x14ac:dyDescent="0.4">
      <c r="A477" s="278"/>
      <c r="B477" s="96" t="s">
        <v>233</v>
      </c>
      <c r="C477" s="93"/>
      <c r="D477" s="92"/>
      <c r="E477" s="93"/>
      <c r="F477" s="92"/>
      <c r="G477" s="98"/>
      <c r="H477" s="99"/>
      <c r="I477" s="98"/>
      <c r="J477" s="99"/>
    </row>
    <row r="478" spans="1:10" x14ac:dyDescent="0.4">
      <c r="A478" s="278"/>
      <c r="B478" s="96" t="s">
        <v>234</v>
      </c>
      <c r="C478" s="93"/>
      <c r="D478" s="92"/>
      <c r="E478" s="93"/>
      <c r="F478" s="92"/>
      <c r="G478" s="98"/>
      <c r="H478" s="99"/>
      <c r="I478" s="98"/>
      <c r="J478" s="99"/>
    </row>
    <row r="479" spans="1:10" x14ac:dyDescent="0.4">
      <c r="A479" s="278"/>
      <c r="B479" s="96" t="s">
        <v>235</v>
      </c>
      <c r="C479" s="93"/>
      <c r="D479" s="92"/>
      <c r="E479" s="98"/>
      <c r="F479" s="99"/>
      <c r="G479" s="98"/>
      <c r="H479" s="99"/>
      <c r="I479" s="98"/>
      <c r="J479" s="99"/>
    </row>
    <row r="480" spans="1:10" x14ac:dyDescent="0.4">
      <c r="A480" s="278"/>
      <c r="B480" s="96" t="s">
        <v>236</v>
      </c>
      <c r="C480" s="93"/>
      <c r="D480" s="92"/>
      <c r="E480" s="98"/>
      <c r="F480" s="99"/>
      <c r="G480" s="98"/>
      <c r="H480" s="99"/>
      <c r="I480" s="98"/>
      <c r="J480" s="99"/>
    </row>
    <row r="481" spans="1:10" x14ac:dyDescent="0.4">
      <c r="A481" s="278"/>
      <c r="B481" s="97" t="s">
        <v>296</v>
      </c>
      <c r="C481" s="93"/>
      <c r="D481" s="92"/>
      <c r="E481" s="93"/>
      <c r="F481" s="92"/>
      <c r="G481" s="93"/>
      <c r="H481" s="92"/>
      <c r="I481" s="93"/>
      <c r="J481" s="92"/>
    </row>
    <row r="482" spans="1:10" x14ac:dyDescent="0.4">
      <c r="A482" s="278"/>
      <c r="B482" s="97" t="s">
        <v>237</v>
      </c>
      <c r="C482" s="93"/>
      <c r="D482" s="92"/>
      <c r="E482" s="93"/>
      <c r="F482" s="92"/>
      <c r="G482" s="93"/>
      <c r="H482" s="92"/>
      <c r="I482" s="93"/>
      <c r="J482" s="92"/>
    </row>
    <row r="483" spans="1:10" x14ac:dyDescent="0.4">
      <c r="A483" s="278"/>
      <c r="B483" s="97" t="s">
        <v>238</v>
      </c>
      <c r="C483" s="93"/>
      <c r="D483" s="92"/>
      <c r="E483" s="93"/>
      <c r="F483" s="92"/>
      <c r="G483" s="93"/>
      <c r="H483" s="92"/>
      <c r="I483" s="93"/>
      <c r="J483" s="92"/>
    </row>
    <row r="484" spans="1:10" x14ac:dyDescent="0.4">
      <c r="A484" s="278"/>
      <c r="B484" s="97" t="s">
        <v>239</v>
      </c>
      <c r="C484" s="93"/>
      <c r="D484" s="92"/>
      <c r="E484" s="93"/>
      <c r="F484" s="92"/>
      <c r="G484" s="93"/>
      <c r="H484" s="92"/>
      <c r="I484" s="93"/>
      <c r="J484" s="92"/>
    </row>
    <row r="485" spans="1:10" x14ac:dyDescent="0.4">
      <c r="A485" s="278"/>
      <c r="B485" s="97" t="s">
        <v>240</v>
      </c>
      <c r="C485" s="93"/>
      <c r="D485" s="92"/>
      <c r="E485" s="93"/>
      <c r="F485" s="92"/>
      <c r="G485" s="93"/>
      <c r="H485" s="92"/>
      <c r="I485" s="93"/>
      <c r="J485" s="92"/>
    </row>
    <row r="486" spans="1:10" x14ac:dyDescent="0.4">
      <c r="A486" s="278"/>
      <c r="B486" s="97" t="s">
        <v>241</v>
      </c>
      <c r="C486" s="93"/>
      <c r="D486" s="92"/>
      <c r="E486" s="93"/>
      <c r="F486" s="92"/>
      <c r="G486" s="93"/>
      <c r="H486" s="92"/>
      <c r="I486" s="93"/>
      <c r="J486" s="92"/>
    </row>
    <row r="487" spans="1:10" x14ac:dyDescent="0.4">
      <c r="A487" s="278"/>
      <c r="B487" s="97" t="s">
        <v>242</v>
      </c>
      <c r="C487" s="93"/>
      <c r="D487" s="92"/>
      <c r="E487" s="93"/>
      <c r="F487" s="92"/>
      <c r="G487" s="93"/>
      <c r="H487" s="92"/>
      <c r="I487" s="93"/>
      <c r="J487" s="92"/>
    </row>
    <row r="488" spans="1:10" x14ac:dyDescent="0.4">
      <c r="A488" s="278"/>
      <c r="B488" s="97" t="s">
        <v>243</v>
      </c>
      <c r="C488" s="93"/>
      <c r="D488" s="92"/>
      <c r="E488" s="93"/>
      <c r="F488" s="92"/>
      <c r="G488" s="93"/>
      <c r="H488" s="92"/>
      <c r="I488" s="93"/>
      <c r="J488" s="92"/>
    </row>
    <row r="489" spans="1:10" x14ac:dyDescent="0.4">
      <c r="A489" s="278"/>
      <c r="B489" s="97" t="s">
        <v>244</v>
      </c>
      <c r="C489" s="93"/>
      <c r="D489" s="92"/>
      <c r="E489" s="93"/>
      <c r="F489" s="92"/>
      <c r="G489" s="93"/>
      <c r="H489" s="92"/>
      <c r="I489" s="98"/>
      <c r="J489" s="99"/>
    </row>
    <row r="490" spans="1:10" x14ac:dyDescent="0.4">
      <c r="A490" s="278"/>
      <c r="B490" s="97" t="s">
        <v>245</v>
      </c>
      <c r="C490" s="93"/>
      <c r="D490" s="92"/>
      <c r="E490" s="93"/>
      <c r="F490" s="92"/>
      <c r="G490" s="93"/>
      <c r="H490" s="92"/>
      <c r="I490" s="98"/>
      <c r="J490" s="99"/>
    </row>
    <row r="491" spans="1:10" x14ac:dyDescent="0.4">
      <c r="A491" s="278"/>
      <c r="B491" s="97" t="s">
        <v>246</v>
      </c>
      <c r="C491" s="98"/>
      <c r="D491" s="99"/>
      <c r="E491" s="93"/>
      <c r="F491" s="92"/>
      <c r="G491" s="93"/>
      <c r="H491" s="92"/>
      <c r="I491" s="98"/>
      <c r="J491" s="99"/>
    </row>
    <row r="492" spans="1:10" x14ac:dyDescent="0.4">
      <c r="A492" s="278"/>
      <c r="B492" s="97" t="s">
        <v>247</v>
      </c>
      <c r="C492" s="98"/>
      <c r="D492" s="99"/>
      <c r="E492" s="93"/>
      <c r="F492" s="92"/>
      <c r="G492" s="93"/>
      <c r="H492" s="92"/>
      <c r="I492" s="98"/>
      <c r="J492" s="99"/>
    </row>
    <row r="493" spans="1:10" x14ac:dyDescent="0.4">
      <c r="A493" s="278"/>
      <c r="B493" s="97" t="s">
        <v>248</v>
      </c>
      <c r="C493" s="98"/>
      <c r="D493" s="99"/>
      <c r="E493" s="98"/>
      <c r="F493" s="99"/>
      <c r="G493" s="93"/>
      <c r="H493" s="92"/>
      <c r="I493" s="98"/>
      <c r="J493" s="99"/>
    </row>
    <row r="494" spans="1:10" x14ac:dyDescent="0.4">
      <c r="A494" s="278"/>
      <c r="B494" s="94" t="s">
        <v>297</v>
      </c>
      <c r="C494" s="98"/>
      <c r="D494" s="99"/>
      <c r="E494" s="98"/>
      <c r="F494" s="99"/>
      <c r="G494" s="98"/>
      <c r="H494" s="99"/>
      <c r="I494" s="93"/>
      <c r="J494" s="92"/>
    </row>
    <row r="495" spans="1:10" x14ac:dyDescent="0.4">
      <c r="A495" s="278"/>
      <c r="B495" s="94" t="s">
        <v>249</v>
      </c>
      <c r="C495" s="98"/>
      <c r="D495" s="99"/>
      <c r="E495" s="98"/>
      <c r="F495" s="99"/>
      <c r="G495" s="98"/>
      <c r="H495" s="99"/>
      <c r="I495" s="93"/>
      <c r="J495" s="92"/>
    </row>
    <row r="496" spans="1:10" x14ac:dyDescent="0.4">
      <c r="A496" s="278"/>
      <c r="B496" s="94" t="s">
        <v>250</v>
      </c>
      <c r="C496" s="98"/>
      <c r="D496" s="99"/>
      <c r="E496" s="98"/>
      <c r="F496" s="99"/>
      <c r="G496" s="98"/>
      <c r="H496" s="99"/>
      <c r="I496" s="93"/>
      <c r="J496" s="92"/>
    </row>
    <row r="497" spans="1:11" x14ac:dyDescent="0.4">
      <c r="A497" s="278"/>
      <c r="B497" s="94" t="s">
        <v>251</v>
      </c>
      <c r="C497" s="98"/>
      <c r="D497" s="99"/>
      <c r="E497" s="98"/>
      <c r="F497" s="99"/>
      <c r="G497" s="98"/>
      <c r="H497" s="99"/>
      <c r="I497" s="93"/>
      <c r="J497" s="92"/>
    </row>
    <row r="498" spans="1:11" x14ac:dyDescent="0.4">
      <c r="A498" s="278"/>
      <c r="B498" s="94" t="s">
        <v>252</v>
      </c>
      <c r="C498" s="98"/>
      <c r="D498" s="99"/>
      <c r="E498" s="98"/>
      <c r="F498" s="99"/>
      <c r="G498" s="98"/>
      <c r="H498" s="99"/>
      <c r="I498" s="93"/>
      <c r="J498" s="92"/>
    </row>
    <row r="499" spans="1:11" x14ac:dyDescent="0.4">
      <c r="A499" s="278"/>
      <c r="B499" s="94" t="s">
        <v>253</v>
      </c>
      <c r="C499" s="98"/>
      <c r="D499" s="99"/>
      <c r="E499" s="98"/>
      <c r="F499" s="99"/>
      <c r="G499" s="98"/>
      <c r="H499" s="99"/>
      <c r="I499" s="93"/>
      <c r="J499" s="92"/>
    </row>
    <row r="500" spans="1:11" x14ac:dyDescent="0.4">
      <c r="A500" s="278"/>
      <c r="B500" s="94" t="s">
        <v>254</v>
      </c>
      <c r="C500" s="98"/>
      <c r="D500" s="99"/>
      <c r="E500" s="98"/>
      <c r="F500" s="99"/>
      <c r="G500" s="98"/>
      <c r="H500" s="99"/>
      <c r="I500" s="93"/>
      <c r="J500" s="92"/>
    </row>
    <row r="501" spans="1:11" x14ac:dyDescent="0.4">
      <c r="A501" s="278"/>
      <c r="B501" s="94" t="s">
        <v>255</v>
      </c>
      <c r="C501" s="98"/>
      <c r="D501" s="99"/>
      <c r="E501" s="98"/>
      <c r="F501" s="99"/>
      <c r="G501" s="98"/>
      <c r="H501" s="99"/>
      <c r="I501" s="93"/>
      <c r="J501" s="92"/>
    </row>
    <row r="502" spans="1:11" x14ac:dyDescent="0.4">
      <c r="A502" s="278"/>
      <c r="B502" s="94" t="s">
        <v>256</v>
      </c>
      <c r="C502" s="98"/>
      <c r="D502" s="99"/>
      <c r="E502" s="98"/>
      <c r="F502" s="99"/>
      <c r="G502" s="98"/>
      <c r="H502" s="99"/>
      <c r="I502" s="93"/>
      <c r="J502" s="92"/>
    </row>
    <row r="503" spans="1:11" x14ac:dyDescent="0.4">
      <c r="A503" s="278"/>
      <c r="B503" s="94" t="s">
        <v>257</v>
      </c>
      <c r="C503" s="98"/>
      <c r="D503" s="99"/>
      <c r="E503" s="98"/>
      <c r="F503" s="99"/>
      <c r="G503" s="98"/>
      <c r="H503" s="99"/>
      <c r="I503" s="93"/>
      <c r="J503" s="92"/>
    </row>
    <row r="504" spans="1:11" x14ac:dyDescent="0.4">
      <c r="A504" s="278"/>
      <c r="B504" s="94" t="s">
        <v>258</v>
      </c>
      <c r="C504" s="98"/>
      <c r="D504" s="99"/>
      <c r="E504" s="98"/>
      <c r="F504" s="99"/>
      <c r="G504" s="98"/>
      <c r="H504" s="99"/>
      <c r="I504" s="93"/>
      <c r="J504" s="92"/>
    </row>
    <row r="505" spans="1:11" x14ac:dyDescent="0.4">
      <c r="A505" s="279"/>
      <c r="B505" s="94" t="s">
        <v>259</v>
      </c>
      <c r="C505" s="98"/>
      <c r="D505" s="99"/>
      <c r="E505" s="98"/>
      <c r="F505" s="99"/>
      <c r="G505" s="98"/>
      <c r="H505" s="99"/>
      <c r="I505" s="93"/>
      <c r="J505" s="92"/>
    </row>
    <row r="506" spans="1:11" x14ac:dyDescent="0.4">
      <c r="A506" s="115" t="s">
        <v>263</v>
      </c>
      <c r="B506" s="116" t="e">
        <f>SUM(C506,E506,G506,I506)</f>
        <v>#DIV/0!</v>
      </c>
      <c r="C506" s="103" t="e">
        <f>AVERAGE(C433:C445,C449:C490)</f>
        <v>#DIV/0!</v>
      </c>
      <c r="D506" s="103" t="e">
        <f>AVERAGE(D433:D445,D449:D490)</f>
        <v>#DIV/0!</v>
      </c>
      <c r="E506" s="103" t="e">
        <f>AVERAGE(E433:E441,E449:E462,E465:E478,E481:E492)</f>
        <v>#DIV/0!</v>
      </c>
      <c r="F506" s="103" t="e">
        <f>AVERAGE(F433:F441,F449:F462,F465:F478,F481:F492)</f>
        <v>#DIV/0!</v>
      </c>
      <c r="G506" s="103" t="e">
        <f>AVERAGE(G433:G461,G465:G472,G481:G493)</f>
        <v>#DIV/0!</v>
      </c>
      <c r="H506" s="103" t="e">
        <f>AVERAGE(H433:H461,H465:H472,H481:H493)</f>
        <v>#DIV/0!</v>
      </c>
      <c r="I506" s="103" t="e">
        <f>AVERAGE(I433:I440,I449:I458,I465:I473,I481:I488,I494:I505)</f>
        <v>#DIV/0!</v>
      </c>
      <c r="J506" s="103" t="e">
        <f>AVERAGE(J433:J440,J449:J458,J465:J473,J481:J488,J494:J505)</f>
        <v>#DIV/0!</v>
      </c>
    </row>
    <row r="507" spans="1:11" x14ac:dyDescent="0.4">
      <c r="A507" s="115" t="s">
        <v>264</v>
      </c>
      <c r="B507" s="116" t="e">
        <f>SUM(D506,F506,H506,J506)</f>
        <v>#DIV/0!</v>
      </c>
      <c r="C507" s="63" t="s">
        <v>265</v>
      </c>
      <c r="D507" s="117" t="s">
        <v>266</v>
      </c>
      <c r="E507" s="63" t="s">
        <v>265</v>
      </c>
      <c r="F507" s="117" t="s">
        <v>266</v>
      </c>
      <c r="G507" s="63" t="s">
        <v>265</v>
      </c>
      <c r="H507" s="117" t="s">
        <v>266</v>
      </c>
      <c r="I507" s="63" t="s">
        <v>265</v>
      </c>
      <c r="J507" s="117" t="s">
        <v>266</v>
      </c>
    </row>
    <row r="510" spans="1:11" x14ac:dyDescent="0.4">
      <c r="A510" s="280" t="s">
        <v>107</v>
      </c>
      <c r="B510" s="280"/>
      <c r="C510" s="280"/>
      <c r="D510" s="280"/>
      <c r="E510" s="280"/>
      <c r="F510" s="280"/>
      <c r="G510" s="280"/>
      <c r="H510" s="280"/>
      <c r="I510" s="280"/>
      <c r="J510" s="281"/>
      <c r="K510" s="108">
        <v>4</v>
      </c>
    </row>
    <row r="511" spans="1:11" ht="34.799999999999997" x14ac:dyDescent="0.4">
      <c r="A511" s="73" t="s">
        <v>267</v>
      </c>
      <c r="B511" s="73" t="s">
        <v>268</v>
      </c>
      <c r="C511" s="73" t="s">
        <v>269</v>
      </c>
      <c r="D511" s="73" t="s">
        <v>108</v>
      </c>
      <c r="E511" s="73" t="s">
        <v>109</v>
      </c>
      <c r="F511" s="74" t="s">
        <v>270</v>
      </c>
      <c r="G511" s="73" t="s">
        <v>110</v>
      </c>
      <c r="H511" s="73" t="s">
        <v>111</v>
      </c>
      <c r="I511" s="73" t="s">
        <v>112</v>
      </c>
      <c r="J511" s="73" t="s">
        <v>113</v>
      </c>
    </row>
    <row r="512" spans="1:11" x14ac:dyDescent="0.4">
      <c r="A512" s="282" t="s">
        <v>271</v>
      </c>
      <c r="B512" s="86" t="s">
        <v>114</v>
      </c>
      <c r="C512" s="75" t="s">
        <v>272</v>
      </c>
      <c r="D512" s="76">
        <v>1</v>
      </c>
      <c r="E512" s="77">
        <v>1</v>
      </c>
      <c r="F512" s="274" t="s">
        <v>273</v>
      </c>
      <c r="G512" s="75">
        <v>105.48</v>
      </c>
      <c r="H512" s="66"/>
      <c r="I512" s="67"/>
      <c r="J512" s="67"/>
    </row>
    <row r="513" spans="1:10" x14ac:dyDescent="0.4">
      <c r="A513" s="283"/>
      <c r="B513" s="86" t="s">
        <v>115</v>
      </c>
      <c r="C513" s="75" t="s">
        <v>274</v>
      </c>
      <c r="D513" s="76">
        <v>1</v>
      </c>
      <c r="E513" s="77">
        <v>1</v>
      </c>
      <c r="F513" s="275"/>
      <c r="G513" s="75">
        <v>105.48</v>
      </c>
      <c r="H513" s="66"/>
      <c r="I513" s="67"/>
      <c r="J513" s="67"/>
    </row>
    <row r="514" spans="1:10" x14ac:dyDescent="0.4">
      <c r="A514" s="283"/>
      <c r="B514" s="86" t="s">
        <v>116</v>
      </c>
      <c r="C514" s="75" t="s">
        <v>117</v>
      </c>
      <c r="D514" s="76">
        <v>1</v>
      </c>
      <c r="E514" s="77">
        <v>1</v>
      </c>
      <c r="F514" s="78"/>
      <c r="G514" s="75">
        <v>105.48</v>
      </c>
      <c r="H514" s="66"/>
      <c r="I514" s="67"/>
      <c r="J514" s="67"/>
    </row>
    <row r="515" spans="1:10" x14ac:dyDescent="0.4">
      <c r="A515" s="284"/>
      <c r="B515" s="86" t="s">
        <v>118</v>
      </c>
      <c r="C515" s="75" t="s">
        <v>119</v>
      </c>
      <c r="D515" s="76">
        <v>1</v>
      </c>
      <c r="E515" s="77">
        <v>1</v>
      </c>
      <c r="F515" s="78"/>
      <c r="G515" s="75">
        <v>105.48</v>
      </c>
      <c r="H515" s="66"/>
      <c r="I515" s="67"/>
      <c r="J515" s="67"/>
    </row>
    <row r="516" spans="1:10" x14ac:dyDescent="0.4">
      <c r="A516" s="282" t="s">
        <v>275</v>
      </c>
      <c r="B516" s="86" t="s">
        <v>120</v>
      </c>
      <c r="C516" s="75" t="s">
        <v>276</v>
      </c>
      <c r="D516" s="76">
        <v>1</v>
      </c>
      <c r="E516" s="77">
        <v>1</v>
      </c>
      <c r="F516" s="274" t="s">
        <v>273</v>
      </c>
      <c r="G516" s="75">
        <v>105.48</v>
      </c>
      <c r="H516" s="66"/>
      <c r="I516" s="67"/>
      <c r="J516" s="67"/>
    </row>
    <row r="517" spans="1:10" x14ac:dyDescent="0.4">
      <c r="A517" s="283"/>
      <c r="B517" s="86" t="s">
        <v>121</v>
      </c>
      <c r="C517" s="75" t="s">
        <v>277</v>
      </c>
      <c r="D517" s="76">
        <v>1</v>
      </c>
      <c r="E517" s="77">
        <v>1</v>
      </c>
      <c r="F517" s="275"/>
      <c r="G517" s="75">
        <v>105.48</v>
      </c>
      <c r="H517" s="66"/>
      <c r="I517" s="67"/>
      <c r="J517" s="67"/>
    </row>
    <row r="518" spans="1:10" x14ac:dyDescent="0.4">
      <c r="A518" s="283"/>
      <c r="B518" s="86" t="s">
        <v>122</v>
      </c>
      <c r="C518" s="75" t="s">
        <v>123</v>
      </c>
      <c r="D518" s="76">
        <v>1</v>
      </c>
      <c r="E518" s="77">
        <v>1</v>
      </c>
      <c r="F518" s="275"/>
      <c r="G518" s="75">
        <v>105.48</v>
      </c>
      <c r="H518" s="66"/>
      <c r="I518" s="67"/>
      <c r="J518" s="67"/>
    </row>
    <row r="519" spans="1:10" x14ac:dyDescent="0.4">
      <c r="A519" s="283"/>
      <c r="B519" s="86" t="s">
        <v>124</v>
      </c>
      <c r="C519" s="75" t="s">
        <v>125</v>
      </c>
      <c r="D519" s="76">
        <v>1</v>
      </c>
      <c r="E519" s="77">
        <v>1</v>
      </c>
      <c r="F519" s="275"/>
      <c r="G519" s="75">
        <v>105.48</v>
      </c>
      <c r="H519" s="66"/>
      <c r="I519" s="67"/>
      <c r="J519" s="67"/>
    </row>
    <row r="520" spans="1:10" x14ac:dyDescent="0.4">
      <c r="A520" s="283"/>
      <c r="B520" s="86" t="s">
        <v>126</v>
      </c>
      <c r="C520" s="75" t="s">
        <v>278</v>
      </c>
      <c r="D520" s="76">
        <v>1</v>
      </c>
      <c r="E520" s="77">
        <v>1</v>
      </c>
      <c r="F520" s="78"/>
      <c r="G520" s="75">
        <v>70.319999999999993</v>
      </c>
      <c r="H520" s="66"/>
      <c r="I520" s="67"/>
      <c r="J520" s="67"/>
    </row>
    <row r="521" spans="1:10" x14ac:dyDescent="0.4">
      <c r="A521" s="283"/>
      <c r="B521" s="86" t="s">
        <v>127</v>
      </c>
      <c r="C521" s="75" t="s">
        <v>128</v>
      </c>
      <c r="D521" s="76">
        <v>1</v>
      </c>
      <c r="E521" s="77">
        <v>1</v>
      </c>
      <c r="F521" s="78"/>
      <c r="G521" s="75">
        <v>70.319999999999993</v>
      </c>
      <c r="H521" s="66"/>
      <c r="I521" s="67"/>
      <c r="J521" s="67"/>
    </row>
    <row r="522" spans="1:10" x14ac:dyDescent="0.4">
      <c r="A522" s="284"/>
      <c r="B522" s="86" t="s">
        <v>129</v>
      </c>
      <c r="C522" s="75" t="s">
        <v>130</v>
      </c>
      <c r="D522" s="76">
        <v>1</v>
      </c>
      <c r="E522" s="77">
        <v>1</v>
      </c>
      <c r="F522" s="78"/>
      <c r="G522" s="75">
        <v>70.319999999999993</v>
      </c>
      <c r="H522" s="66"/>
      <c r="I522" s="67"/>
      <c r="J522" s="67"/>
    </row>
    <row r="523" spans="1:10" x14ac:dyDescent="0.4">
      <c r="A523" s="273" t="s">
        <v>279</v>
      </c>
      <c r="B523" s="86" t="s">
        <v>131</v>
      </c>
      <c r="C523" s="75" t="s">
        <v>280</v>
      </c>
      <c r="D523" s="76">
        <v>1</v>
      </c>
      <c r="E523" s="77">
        <v>1</v>
      </c>
      <c r="F523" s="274" t="s">
        <v>273</v>
      </c>
      <c r="G523" s="75">
        <v>105.48</v>
      </c>
      <c r="H523" s="66"/>
      <c r="I523" s="67"/>
      <c r="J523" s="67"/>
    </row>
    <row r="524" spans="1:10" x14ac:dyDescent="0.4">
      <c r="A524" s="273"/>
      <c r="B524" s="86" t="s">
        <v>132</v>
      </c>
      <c r="C524" s="75" t="s">
        <v>133</v>
      </c>
      <c r="D524" s="76">
        <v>1</v>
      </c>
      <c r="E524" s="77">
        <v>1</v>
      </c>
      <c r="F524" s="275"/>
      <c r="G524" s="75">
        <v>105.48</v>
      </c>
      <c r="H524" s="66"/>
      <c r="I524" s="67"/>
      <c r="J524" s="67"/>
    </row>
    <row r="525" spans="1:10" x14ac:dyDescent="0.4">
      <c r="A525" s="273"/>
      <c r="B525" s="86" t="s">
        <v>134</v>
      </c>
      <c r="C525" s="75" t="s">
        <v>135</v>
      </c>
      <c r="D525" s="76">
        <v>1</v>
      </c>
      <c r="E525" s="77">
        <v>1</v>
      </c>
      <c r="F525" s="275"/>
      <c r="G525" s="79">
        <v>105.48</v>
      </c>
      <c r="H525" s="66"/>
      <c r="I525" s="67"/>
      <c r="J525" s="67"/>
    </row>
    <row r="526" spans="1:10" x14ac:dyDescent="0.4">
      <c r="A526" s="273"/>
      <c r="B526" s="86" t="s">
        <v>136</v>
      </c>
      <c r="C526" s="75" t="s">
        <v>137</v>
      </c>
      <c r="D526" s="76">
        <v>1</v>
      </c>
      <c r="E526" s="77">
        <v>1</v>
      </c>
      <c r="F526" s="275"/>
      <c r="G526" s="79">
        <v>105.48</v>
      </c>
      <c r="H526" s="66"/>
      <c r="I526" s="67"/>
      <c r="J526" s="67"/>
    </row>
    <row r="527" spans="1:10" x14ac:dyDescent="0.4">
      <c r="A527" s="273"/>
      <c r="B527" s="86" t="s">
        <v>138</v>
      </c>
      <c r="C527" s="75" t="s">
        <v>281</v>
      </c>
      <c r="D527" s="76">
        <v>0</v>
      </c>
      <c r="E527" s="77">
        <v>1</v>
      </c>
      <c r="F527" s="274" t="s">
        <v>282</v>
      </c>
      <c r="G527" s="75">
        <v>32.549999999999997</v>
      </c>
      <c r="H527" s="68"/>
      <c r="I527" s="68"/>
      <c r="J527" s="68"/>
    </row>
    <row r="528" spans="1:10" x14ac:dyDescent="0.4">
      <c r="A528" s="273"/>
      <c r="B528" s="86" t="s">
        <v>139</v>
      </c>
      <c r="C528" s="75" t="s">
        <v>140</v>
      </c>
      <c r="D528" s="76">
        <v>0</v>
      </c>
      <c r="E528" s="77">
        <v>1</v>
      </c>
      <c r="F528" s="276"/>
      <c r="G528" s="75">
        <v>32.549999999999997</v>
      </c>
      <c r="H528" s="69"/>
      <c r="I528" s="69"/>
      <c r="J528" s="69"/>
    </row>
    <row r="529" spans="1:10" x14ac:dyDescent="0.4">
      <c r="A529" s="273"/>
      <c r="B529" s="86" t="s">
        <v>141</v>
      </c>
      <c r="C529" s="75" t="s">
        <v>283</v>
      </c>
      <c r="D529" s="76">
        <v>0</v>
      </c>
      <c r="E529" s="77">
        <v>1</v>
      </c>
      <c r="F529" s="274" t="s">
        <v>282</v>
      </c>
      <c r="G529" s="75">
        <v>32.549999999999997</v>
      </c>
      <c r="H529" s="69"/>
      <c r="I529" s="69"/>
      <c r="J529" s="69"/>
    </row>
    <row r="530" spans="1:10" x14ac:dyDescent="0.4">
      <c r="A530" s="273"/>
      <c r="B530" s="86" t="s">
        <v>142</v>
      </c>
      <c r="C530" s="75" t="s">
        <v>143</v>
      </c>
      <c r="D530" s="76">
        <v>1</v>
      </c>
      <c r="E530" s="77">
        <v>1</v>
      </c>
      <c r="F530" s="275"/>
      <c r="G530" s="75">
        <v>32.549999999999997</v>
      </c>
      <c r="H530" s="70"/>
      <c r="I530" s="70"/>
      <c r="J530" s="70"/>
    </row>
    <row r="531" spans="1:10" x14ac:dyDescent="0.4">
      <c r="A531" s="273"/>
      <c r="B531" s="86" t="s">
        <v>144</v>
      </c>
      <c r="C531" s="75" t="s">
        <v>145</v>
      </c>
      <c r="D531" s="76">
        <v>0</v>
      </c>
      <c r="E531" s="77">
        <v>1</v>
      </c>
      <c r="F531" s="275"/>
      <c r="G531" s="75">
        <v>32.549999999999997</v>
      </c>
      <c r="H531" s="69"/>
      <c r="I531" s="69"/>
      <c r="J531" s="69"/>
    </row>
    <row r="532" spans="1:10" x14ac:dyDescent="0.4">
      <c r="A532" s="273"/>
      <c r="B532" s="86" t="s">
        <v>146</v>
      </c>
      <c r="C532" s="75" t="s">
        <v>147</v>
      </c>
      <c r="D532" s="76">
        <v>1</v>
      </c>
      <c r="E532" s="77">
        <v>1</v>
      </c>
      <c r="F532" s="275"/>
      <c r="G532" s="75">
        <v>32.549999999999997</v>
      </c>
      <c r="H532" s="70"/>
      <c r="I532" s="70"/>
      <c r="J532" s="70"/>
    </row>
    <row r="533" spans="1:10" x14ac:dyDescent="0.4">
      <c r="A533" s="273"/>
      <c r="B533" s="86" t="s">
        <v>148</v>
      </c>
      <c r="C533" s="75" t="s">
        <v>149</v>
      </c>
      <c r="D533" s="76">
        <v>0</v>
      </c>
      <c r="E533" s="77">
        <v>1</v>
      </c>
      <c r="F533" s="275"/>
      <c r="G533" s="75">
        <v>32.549999999999997</v>
      </c>
      <c r="H533" s="70"/>
      <c r="I533" s="70"/>
      <c r="J533" s="70"/>
    </row>
    <row r="534" spans="1:10" x14ac:dyDescent="0.4">
      <c r="A534" s="273"/>
      <c r="B534" s="86" t="s">
        <v>150</v>
      </c>
      <c r="C534" s="75" t="s">
        <v>151</v>
      </c>
      <c r="D534" s="76">
        <v>1</v>
      </c>
      <c r="E534" s="77">
        <v>1</v>
      </c>
      <c r="F534" s="275"/>
      <c r="G534" s="75">
        <v>32.549999999999997</v>
      </c>
      <c r="H534" s="70"/>
      <c r="I534" s="70"/>
      <c r="J534" s="70"/>
    </row>
    <row r="535" spans="1:10" x14ac:dyDescent="0.4">
      <c r="A535" s="273"/>
      <c r="B535" s="86" t="s">
        <v>152</v>
      </c>
      <c r="C535" s="75" t="s">
        <v>153</v>
      </c>
      <c r="D535" s="76">
        <v>0</v>
      </c>
      <c r="E535" s="77">
        <v>1</v>
      </c>
      <c r="F535" s="275"/>
      <c r="G535" s="75">
        <v>32.549999999999997</v>
      </c>
      <c r="H535" s="69"/>
      <c r="I535" s="69"/>
      <c r="J535" s="69"/>
    </row>
    <row r="536" spans="1:10" x14ac:dyDescent="0.4">
      <c r="A536" s="273"/>
      <c r="B536" s="86" t="s">
        <v>154</v>
      </c>
      <c r="C536" s="75" t="s">
        <v>155</v>
      </c>
      <c r="D536" s="76">
        <v>0</v>
      </c>
      <c r="E536" s="77">
        <v>1</v>
      </c>
      <c r="F536" s="275"/>
      <c r="G536" s="75">
        <v>32.549999999999997</v>
      </c>
      <c r="H536" s="69"/>
      <c r="I536" s="69"/>
      <c r="J536" s="69"/>
    </row>
    <row r="537" spans="1:10" x14ac:dyDescent="0.4">
      <c r="A537" s="273"/>
      <c r="B537" s="86" t="s">
        <v>156</v>
      </c>
      <c r="C537" s="75" t="s">
        <v>157</v>
      </c>
      <c r="D537" s="76">
        <v>0</v>
      </c>
      <c r="E537" s="77">
        <v>1</v>
      </c>
      <c r="F537" s="275"/>
      <c r="G537" s="75">
        <v>32.549999999999997</v>
      </c>
      <c r="H537" s="69"/>
      <c r="I537" s="69"/>
      <c r="J537" s="69"/>
    </row>
    <row r="538" spans="1:10" x14ac:dyDescent="0.4">
      <c r="A538" s="273"/>
      <c r="B538" s="86" t="s">
        <v>158</v>
      </c>
      <c r="C538" s="75" t="s">
        <v>159</v>
      </c>
      <c r="D538" s="76">
        <v>0</v>
      </c>
      <c r="E538" s="77">
        <v>1</v>
      </c>
      <c r="F538" s="275"/>
      <c r="G538" s="75">
        <v>32.549999999999997</v>
      </c>
      <c r="H538" s="69"/>
      <c r="I538" s="69"/>
      <c r="J538" s="69"/>
    </row>
    <row r="539" spans="1:10" x14ac:dyDescent="0.4">
      <c r="A539" s="273"/>
      <c r="B539" s="86" t="s">
        <v>160</v>
      </c>
      <c r="C539" s="75" t="s">
        <v>161</v>
      </c>
      <c r="D539" s="76">
        <v>0</v>
      </c>
      <c r="E539" s="77">
        <v>1</v>
      </c>
      <c r="F539" s="275"/>
      <c r="G539" s="75">
        <v>32.549999999999997</v>
      </c>
      <c r="H539" s="69"/>
      <c r="I539" s="69"/>
      <c r="J539" s="69"/>
    </row>
    <row r="540" spans="1:10" x14ac:dyDescent="0.4">
      <c r="A540" s="273"/>
      <c r="B540" s="86" t="s">
        <v>162</v>
      </c>
      <c r="C540" s="75" t="s">
        <v>163</v>
      </c>
      <c r="D540" s="76">
        <v>0</v>
      </c>
      <c r="E540" s="77">
        <v>1</v>
      </c>
      <c r="F540" s="276"/>
      <c r="G540" s="75">
        <v>32.549999999999997</v>
      </c>
      <c r="H540" s="69"/>
      <c r="I540" s="69"/>
      <c r="J540" s="69"/>
    </row>
    <row r="541" spans="1:10" x14ac:dyDescent="0.4">
      <c r="A541" s="273"/>
      <c r="B541" s="86" t="s">
        <v>164</v>
      </c>
      <c r="C541" s="75" t="s">
        <v>284</v>
      </c>
      <c r="D541" s="76">
        <v>0</v>
      </c>
      <c r="E541" s="77">
        <v>1</v>
      </c>
      <c r="F541" s="274" t="s">
        <v>282</v>
      </c>
      <c r="G541" s="75">
        <v>24.4</v>
      </c>
      <c r="H541" s="69"/>
      <c r="I541" s="69"/>
      <c r="J541" s="69"/>
    </row>
    <row r="542" spans="1:10" x14ac:dyDescent="0.4">
      <c r="A542" s="273"/>
      <c r="B542" s="86" t="s">
        <v>165</v>
      </c>
      <c r="C542" s="75" t="s">
        <v>166</v>
      </c>
      <c r="D542" s="76">
        <v>0</v>
      </c>
      <c r="E542" s="77">
        <v>1</v>
      </c>
      <c r="F542" s="276"/>
      <c r="G542" s="75">
        <v>24.4</v>
      </c>
      <c r="H542" s="69"/>
      <c r="I542" s="69"/>
      <c r="J542" s="69"/>
    </row>
    <row r="543" spans="1:10" x14ac:dyDescent="0.4">
      <c r="A543" s="273" t="s">
        <v>285</v>
      </c>
      <c r="B543" s="86" t="s">
        <v>167</v>
      </c>
      <c r="C543" s="75" t="s">
        <v>286</v>
      </c>
      <c r="D543" s="76">
        <v>1</v>
      </c>
      <c r="E543" s="77">
        <v>1</v>
      </c>
      <c r="F543" s="274" t="s">
        <v>273</v>
      </c>
      <c r="G543" s="75">
        <v>105.48</v>
      </c>
      <c r="H543" s="66"/>
      <c r="I543" s="70"/>
      <c r="J543" s="70"/>
    </row>
    <row r="544" spans="1:10" x14ac:dyDescent="0.4">
      <c r="A544" s="273"/>
      <c r="B544" s="86" t="s">
        <v>168</v>
      </c>
      <c r="C544" s="75" t="s">
        <v>169</v>
      </c>
      <c r="D544" s="76">
        <v>1</v>
      </c>
      <c r="E544" s="77">
        <v>1</v>
      </c>
      <c r="F544" s="275"/>
      <c r="G544" s="75">
        <v>105.48</v>
      </c>
      <c r="H544" s="66"/>
      <c r="I544" s="71"/>
      <c r="J544" s="71"/>
    </row>
    <row r="545" spans="1:10" x14ac:dyDescent="0.4">
      <c r="A545" s="273"/>
      <c r="B545" s="86" t="s">
        <v>170</v>
      </c>
      <c r="C545" s="75" t="s">
        <v>171</v>
      </c>
      <c r="D545" s="76">
        <v>1</v>
      </c>
      <c r="E545" s="77">
        <v>1</v>
      </c>
      <c r="F545" s="275"/>
      <c r="G545" s="75">
        <v>105.48</v>
      </c>
      <c r="H545" s="66"/>
      <c r="I545" s="67"/>
      <c r="J545" s="67"/>
    </row>
    <row r="546" spans="1:10" x14ac:dyDescent="0.4">
      <c r="A546" s="273"/>
      <c r="B546" s="86" t="s">
        <v>172</v>
      </c>
      <c r="C546" s="75" t="s">
        <v>173</v>
      </c>
      <c r="D546" s="76">
        <v>1</v>
      </c>
      <c r="E546" s="77">
        <v>1</v>
      </c>
      <c r="F546" s="275"/>
      <c r="G546" s="75">
        <v>105.48</v>
      </c>
      <c r="H546" s="66"/>
      <c r="I546" s="67"/>
      <c r="J546" s="67"/>
    </row>
    <row r="547" spans="1:10" x14ac:dyDescent="0.4">
      <c r="A547" s="273"/>
      <c r="B547" s="86" t="s">
        <v>174</v>
      </c>
      <c r="C547" s="75" t="s">
        <v>287</v>
      </c>
      <c r="D547" s="76">
        <v>1</v>
      </c>
      <c r="E547" s="77">
        <v>1</v>
      </c>
      <c r="F547" s="275"/>
      <c r="G547" s="75">
        <v>65</v>
      </c>
      <c r="H547" s="72"/>
      <c r="I547" s="72"/>
      <c r="J547" s="72"/>
    </row>
    <row r="548" spans="1:10" x14ac:dyDescent="0.4">
      <c r="A548" s="273"/>
      <c r="B548" s="86" t="s">
        <v>175</v>
      </c>
      <c r="C548" s="75" t="s">
        <v>176</v>
      </c>
      <c r="D548" s="76">
        <v>1</v>
      </c>
      <c r="E548" s="77">
        <v>1</v>
      </c>
      <c r="F548" s="276"/>
      <c r="G548" s="75">
        <v>65</v>
      </c>
      <c r="H548" s="72"/>
      <c r="I548" s="72"/>
      <c r="J548" s="72"/>
    </row>
    <row r="549" spans="1:10" x14ac:dyDescent="0.4">
      <c r="A549" s="273"/>
      <c r="B549" s="86" t="s">
        <v>177</v>
      </c>
      <c r="C549" s="75" t="s">
        <v>288</v>
      </c>
      <c r="D549" s="76">
        <v>1</v>
      </c>
      <c r="E549" s="77">
        <v>1</v>
      </c>
      <c r="F549" s="274" t="s">
        <v>282</v>
      </c>
      <c r="G549" s="75">
        <v>16.3</v>
      </c>
      <c r="H549" s="72"/>
      <c r="I549" s="72"/>
      <c r="J549" s="72"/>
    </row>
    <row r="550" spans="1:10" x14ac:dyDescent="0.4">
      <c r="A550" s="273"/>
      <c r="B550" s="86" t="s">
        <v>178</v>
      </c>
      <c r="C550" s="75" t="s">
        <v>179</v>
      </c>
      <c r="D550" s="76">
        <v>1</v>
      </c>
      <c r="E550" s="77">
        <v>1</v>
      </c>
      <c r="F550" s="275"/>
      <c r="G550" s="75">
        <v>16.3</v>
      </c>
      <c r="H550" s="72"/>
      <c r="I550" s="72"/>
      <c r="J550" s="72"/>
    </row>
    <row r="551" spans="1:10" x14ac:dyDescent="0.4">
      <c r="A551" s="273"/>
      <c r="B551" s="86" t="s">
        <v>180</v>
      </c>
      <c r="C551" s="75" t="s">
        <v>181</v>
      </c>
      <c r="D551" s="76">
        <v>1</v>
      </c>
      <c r="E551" s="77">
        <v>1</v>
      </c>
      <c r="F551" s="275"/>
      <c r="G551" s="75">
        <v>16.3</v>
      </c>
      <c r="H551" s="72"/>
      <c r="I551" s="72"/>
      <c r="J551" s="72"/>
    </row>
    <row r="552" spans="1:10" x14ac:dyDescent="0.4">
      <c r="A552" s="273"/>
      <c r="B552" s="86" t="s">
        <v>289</v>
      </c>
      <c r="C552" s="75" t="s">
        <v>182</v>
      </c>
      <c r="D552" s="76">
        <v>1</v>
      </c>
      <c r="E552" s="77">
        <v>1</v>
      </c>
      <c r="F552" s="276"/>
      <c r="G552" s="75">
        <v>35</v>
      </c>
      <c r="H552" s="72"/>
      <c r="I552" s="72"/>
      <c r="J552" s="72"/>
    </row>
    <row r="553" spans="1:10" x14ac:dyDescent="0.4">
      <c r="H553" s="65" t="e">
        <f>AVERAGE(H512:H526,H532:H534,H543:H552)</f>
        <v>#DIV/0!</v>
      </c>
      <c r="I553" s="65" t="e">
        <f t="shared" ref="I553:J553" si="3">AVERAGE(I512:I526,I532:I534,I543:I552)</f>
        <v>#DIV/0!</v>
      </c>
      <c r="J553" s="113" t="e">
        <f t="shared" si="3"/>
        <v>#DIV/0!</v>
      </c>
    </row>
    <row r="554" spans="1:10" x14ac:dyDescent="0.4">
      <c r="J554" s="64" t="s">
        <v>261</v>
      </c>
    </row>
    <row r="555" spans="1:10" x14ac:dyDescent="0.4">
      <c r="A555" s="280" t="s">
        <v>183</v>
      </c>
      <c r="B555" s="280"/>
      <c r="C555" s="280"/>
      <c r="D555" s="280"/>
      <c r="E555" s="280"/>
      <c r="F555" s="280"/>
      <c r="G555" s="280"/>
      <c r="H555" s="280"/>
      <c r="I555" s="280"/>
      <c r="J555" s="281"/>
    </row>
    <row r="556" spans="1:10" ht="34.799999999999997" x14ac:dyDescent="0.4">
      <c r="A556" s="73" t="s">
        <v>267</v>
      </c>
      <c r="B556" s="73" t="s">
        <v>268</v>
      </c>
      <c r="C556" s="73" t="s">
        <v>269</v>
      </c>
      <c r="D556" s="73" t="s">
        <v>108</v>
      </c>
      <c r="E556" s="73" t="s">
        <v>109</v>
      </c>
      <c r="F556" s="74" t="s">
        <v>270</v>
      </c>
      <c r="G556" s="73" t="s">
        <v>110</v>
      </c>
      <c r="H556" s="73" t="s">
        <v>184</v>
      </c>
      <c r="I556" s="73" t="s">
        <v>185</v>
      </c>
      <c r="J556" s="73" t="s">
        <v>186</v>
      </c>
    </row>
    <row r="557" spans="1:10" x14ac:dyDescent="0.4">
      <c r="A557" s="285" t="s">
        <v>271</v>
      </c>
      <c r="B557" s="87" t="s">
        <v>114</v>
      </c>
      <c r="C557" s="88" t="s">
        <v>272</v>
      </c>
      <c r="D557" s="89">
        <v>1</v>
      </c>
      <c r="E557" s="88">
        <v>1</v>
      </c>
      <c r="F557" s="274" t="s">
        <v>273</v>
      </c>
      <c r="G557" s="75">
        <v>105.48</v>
      </c>
      <c r="H557" s="80"/>
      <c r="I557" s="81"/>
      <c r="J557" s="81"/>
    </row>
    <row r="558" spans="1:10" x14ac:dyDescent="0.4">
      <c r="A558" s="286"/>
      <c r="B558" s="87" t="s">
        <v>115</v>
      </c>
      <c r="C558" s="88" t="s">
        <v>274</v>
      </c>
      <c r="D558" s="89">
        <v>1</v>
      </c>
      <c r="E558" s="88">
        <v>1</v>
      </c>
      <c r="F558" s="275"/>
      <c r="G558" s="75">
        <v>105.48</v>
      </c>
      <c r="H558" s="80"/>
      <c r="I558" s="81"/>
      <c r="J558" s="81"/>
    </row>
    <row r="559" spans="1:10" x14ac:dyDescent="0.4">
      <c r="A559" s="286"/>
      <c r="B559" s="87" t="s">
        <v>116</v>
      </c>
      <c r="C559" s="88" t="s">
        <v>117</v>
      </c>
      <c r="D559" s="89">
        <v>1</v>
      </c>
      <c r="E559" s="88">
        <v>1</v>
      </c>
      <c r="F559" s="78"/>
      <c r="G559" s="75">
        <v>105.48</v>
      </c>
      <c r="H559" s="80"/>
      <c r="I559" s="81"/>
      <c r="J559" s="81"/>
    </row>
    <row r="560" spans="1:10" x14ac:dyDescent="0.4">
      <c r="A560" s="287"/>
      <c r="B560" s="87" t="s">
        <v>118</v>
      </c>
      <c r="C560" s="88" t="s">
        <v>119</v>
      </c>
      <c r="D560" s="89">
        <v>1</v>
      </c>
      <c r="E560" s="88">
        <v>1</v>
      </c>
      <c r="F560" s="78"/>
      <c r="G560" s="75">
        <v>105.48</v>
      </c>
      <c r="H560" s="80"/>
      <c r="I560" s="81"/>
      <c r="J560" s="81"/>
    </row>
    <row r="561" spans="1:10" x14ac:dyDescent="0.4">
      <c r="A561" s="273" t="s">
        <v>275</v>
      </c>
      <c r="B561" s="86" t="s">
        <v>120</v>
      </c>
      <c r="C561" s="75" t="s">
        <v>276</v>
      </c>
      <c r="D561" s="76">
        <v>1</v>
      </c>
      <c r="E561" s="77">
        <v>1</v>
      </c>
      <c r="F561" s="274" t="s">
        <v>273</v>
      </c>
      <c r="G561" s="75">
        <v>105.48</v>
      </c>
      <c r="H561" s="80"/>
      <c r="I561" s="81"/>
      <c r="J561" s="81"/>
    </row>
    <row r="562" spans="1:10" x14ac:dyDescent="0.4">
      <c r="A562" s="273"/>
      <c r="B562" s="86" t="s">
        <v>121</v>
      </c>
      <c r="C562" s="75" t="s">
        <v>277</v>
      </c>
      <c r="D562" s="76">
        <v>1</v>
      </c>
      <c r="E562" s="77">
        <v>1</v>
      </c>
      <c r="F562" s="275"/>
      <c r="G562" s="75">
        <v>105.48</v>
      </c>
      <c r="H562" s="80"/>
      <c r="I562" s="81"/>
      <c r="J562" s="81"/>
    </row>
    <row r="563" spans="1:10" x14ac:dyDescent="0.4">
      <c r="A563" s="273"/>
      <c r="B563" s="86" t="s">
        <v>122</v>
      </c>
      <c r="C563" s="75" t="s">
        <v>123</v>
      </c>
      <c r="D563" s="76">
        <v>1</v>
      </c>
      <c r="E563" s="77">
        <v>1</v>
      </c>
      <c r="F563" s="275"/>
      <c r="G563" s="75">
        <v>105.48</v>
      </c>
      <c r="H563" s="80"/>
      <c r="I563" s="81"/>
      <c r="J563" s="81"/>
    </row>
    <row r="564" spans="1:10" x14ac:dyDescent="0.4">
      <c r="A564" s="273"/>
      <c r="B564" s="86" t="s">
        <v>124</v>
      </c>
      <c r="C564" s="75" t="s">
        <v>125</v>
      </c>
      <c r="D564" s="76">
        <v>1</v>
      </c>
      <c r="E564" s="77">
        <v>1</v>
      </c>
      <c r="F564" s="275"/>
      <c r="G564" s="75">
        <v>105.48</v>
      </c>
      <c r="H564" s="80"/>
      <c r="I564" s="81"/>
      <c r="J564" s="81"/>
    </row>
    <row r="565" spans="1:10" x14ac:dyDescent="0.4">
      <c r="A565" s="273" t="s">
        <v>279</v>
      </c>
      <c r="B565" s="86" t="s">
        <v>131</v>
      </c>
      <c r="C565" s="75" t="s">
        <v>280</v>
      </c>
      <c r="D565" s="76">
        <v>1</v>
      </c>
      <c r="E565" s="77">
        <v>1</v>
      </c>
      <c r="F565" s="274" t="s">
        <v>273</v>
      </c>
      <c r="G565" s="75">
        <v>105.48</v>
      </c>
      <c r="H565" s="80"/>
      <c r="I565" s="81"/>
      <c r="J565" s="81"/>
    </row>
    <row r="566" spans="1:10" x14ac:dyDescent="0.4">
      <c r="A566" s="273"/>
      <c r="B566" s="86" t="s">
        <v>132</v>
      </c>
      <c r="C566" s="75" t="s">
        <v>133</v>
      </c>
      <c r="D566" s="76">
        <v>1</v>
      </c>
      <c r="E566" s="77">
        <v>1</v>
      </c>
      <c r="F566" s="275"/>
      <c r="G566" s="75">
        <v>105.48</v>
      </c>
      <c r="H566" s="80"/>
      <c r="I566" s="81"/>
      <c r="J566" s="81"/>
    </row>
    <row r="567" spans="1:10" x14ac:dyDescent="0.4">
      <c r="A567" s="273"/>
      <c r="B567" s="86" t="s">
        <v>134</v>
      </c>
      <c r="C567" s="75" t="s">
        <v>135</v>
      </c>
      <c r="D567" s="76">
        <v>1</v>
      </c>
      <c r="E567" s="77">
        <v>1</v>
      </c>
      <c r="F567" s="275"/>
      <c r="G567" s="79">
        <v>105.48</v>
      </c>
      <c r="H567" s="80"/>
      <c r="I567" s="81"/>
      <c r="J567" s="81"/>
    </row>
    <row r="568" spans="1:10" x14ac:dyDescent="0.4">
      <c r="A568" s="273"/>
      <c r="B568" s="86" t="s">
        <v>136</v>
      </c>
      <c r="C568" s="75" t="s">
        <v>137</v>
      </c>
      <c r="D568" s="76">
        <v>1</v>
      </c>
      <c r="E568" s="77">
        <v>1</v>
      </c>
      <c r="F568" s="275"/>
      <c r="G568" s="79">
        <v>105.48</v>
      </c>
      <c r="H568" s="80"/>
      <c r="I568" s="81"/>
      <c r="J568" s="81"/>
    </row>
    <row r="569" spans="1:10" x14ac:dyDescent="0.4">
      <c r="A569" s="273"/>
      <c r="B569" s="86" t="s">
        <v>138</v>
      </c>
      <c r="C569" s="75" t="s">
        <v>281</v>
      </c>
      <c r="D569" s="75">
        <v>0</v>
      </c>
      <c r="E569" s="77">
        <v>1</v>
      </c>
      <c r="F569" s="77">
        <v>1</v>
      </c>
      <c r="G569" s="75">
        <v>32.549999999999997</v>
      </c>
      <c r="H569" s="82"/>
      <c r="I569" s="82"/>
      <c r="J569" s="82"/>
    </row>
    <row r="570" spans="1:10" x14ac:dyDescent="0.4">
      <c r="A570" s="273"/>
      <c r="B570" s="86" t="s">
        <v>139</v>
      </c>
      <c r="C570" s="75" t="s">
        <v>140</v>
      </c>
      <c r="D570" s="75">
        <v>0</v>
      </c>
      <c r="E570" s="77">
        <v>1</v>
      </c>
      <c r="F570" s="77">
        <v>1</v>
      </c>
      <c r="G570" s="75">
        <v>32.549999999999997</v>
      </c>
      <c r="H570" s="83"/>
      <c r="I570" s="83"/>
      <c r="J570" s="83"/>
    </row>
    <row r="571" spans="1:10" x14ac:dyDescent="0.4">
      <c r="A571" s="273"/>
      <c r="B571" s="86" t="s">
        <v>141</v>
      </c>
      <c r="C571" s="75" t="s">
        <v>283</v>
      </c>
      <c r="D571" s="75">
        <v>0</v>
      </c>
      <c r="E571" s="77">
        <v>1</v>
      </c>
      <c r="F571" s="77">
        <v>1</v>
      </c>
      <c r="G571" s="75">
        <v>32.549999999999997</v>
      </c>
      <c r="H571" s="83"/>
      <c r="I571" s="83"/>
      <c r="J571" s="83"/>
    </row>
    <row r="572" spans="1:10" x14ac:dyDescent="0.4">
      <c r="A572" s="273"/>
      <c r="B572" s="86" t="s">
        <v>142</v>
      </c>
      <c r="C572" s="75" t="s">
        <v>143</v>
      </c>
      <c r="D572" s="75">
        <v>1</v>
      </c>
      <c r="E572" s="77">
        <v>1</v>
      </c>
      <c r="F572" s="77">
        <v>1</v>
      </c>
      <c r="G572" s="75">
        <v>32.549999999999997</v>
      </c>
      <c r="H572" s="84"/>
      <c r="I572" s="84"/>
      <c r="J572" s="84"/>
    </row>
    <row r="573" spans="1:10" x14ac:dyDescent="0.4">
      <c r="A573" s="273"/>
      <c r="B573" s="86" t="s">
        <v>144</v>
      </c>
      <c r="C573" s="75" t="s">
        <v>145</v>
      </c>
      <c r="D573" s="75">
        <v>0</v>
      </c>
      <c r="E573" s="77">
        <v>1</v>
      </c>
      <c r="F573" s="77">
        <v>1</v>
      </c>
      <c r="G573" s="75">
        <v>32.549999999999997</v>
      </c>
      <c r="H573" s="83"/>
      <c r="I573" s="83"/>
      <c r="J573" s="83"/>
    </row>
    <row r="574" spans="1:10" x14ac:dyDescent="0.4">
      <c r="A574" s="273"/>
      <c r="B574" s="86" t="s">
        <v>146</v>
      </c>
      <c r="C574" s="75" t="s">
        <v>147</v>
      </c>
      <c r="D574" s="75">
        <v>1</v>
      </c>
      <c r="E574" s="77">
        <v>1</v>
      </c>
      <c r="F574" s="77">
        <v>1</v>
      </c>
      <c r="G574" s="75">
        <v>32.549999999999997</v>
      </c>
      <c r="H574" s="84"/>
      <c r="I574" s="84"/>
      <c r="J574" s="84"/>
    </row>
    <row r="575" spans="1:10" x14ac:dyDescent="0.4">
      <c r="A575" s="273"/>
      <c r="B575" s="86" t="s">
        <v>148</v>
      </c>
      <c r="C575" s="75" t="s">
        <v>149</v>
      </c>
      <c r="D575" s="75">
        <v>0</v>
      </c>
      <c r="E575" s="77">
        <v>1</v>
      </c>
      <c r="F575" s="77">
        <v>1</v>
      </c>
      <c r="G575" s="75">
        <v>32.549999999999997</v>
      </c>
      <c r="H575" s="84"/>
      <c r="I575" s="84"/>
      <c r="J575" s="84"/>
    </row>
    <row r="576" spans="1:10" x14ac:dyDescent="0.4">
      <c r="A576" s="273"/>
      <c r="B576" s="86" t="s">
        <v>150</v>
      </c>
      <c r="C576" s="75" t="s">
        <v>151</v>
      </c>
      <c r="D576" s="75">
        <v>1</v>
      </c>
      <c r="E576" s="77">
        <v>1</v>
      </c>
      <c r="F576" s="77">
        <v>1</v>
      </c>
      <c r="G576" s="75">
        <v>32.549999999999997</v>
      </c>
      <c r="H576" s="84"/>
      <c r="I576" s="84"/>
      <c r="J576" s="84"/>
    </row>
    <row r="577" spans="1:10" x14ac:dyDescent="0.4">
      <c r="A577" s="273"/>
      <c r="B577" s="86" t="s">
        <v>152</v>
      </c>
      <c r="C577" s="75" t="s">
        <v>153</v>
      </c>
      <c r="D577" s="75">
        <v>0</v>
      </c>
      <c r="E577" s="77">
        <v>1</v>
      </c>
      <c r="F577" s="77">
        <v>1</v>
      </c>
      <c r="G577" s="75">
        <v>32.549999999999997</v>
      </c>
      <c r="H577" s="83"/>
      <c r="I577" s="83"/>
      <c r="J577" s="83"/>
    </row>
    <row r="578" spans="1:10" x14ac:dyDescent="0.4">
      <c r="A578" s="273"/>
      <c r="B578" s="86" t="s">
        <v>154</v>
      </c>
      <c r="C578" s="75" t="s">
        <v>155</v>
      </c>
      <c r="D578" s="75">
        <v>0</v>
      </c>
      <c r="E578" s="77">
        <v>1</v>
      </c>
      <c r="F578" s="77">
        <v>1</v>
      </c>
      <c r="G578" s="75">
        <v>32.549999999999997</v>
      </c>
      <c r="H578" s="83"/>
      <c r="I578" s="83"/>
      <c r="J578" s="83"/>
    </row>
    <row r="579" spans="1:10" x14ac:dyDescent="0.4">
      <c r="A579" s="273"/>
      <c r="B579" s="86" t="s">
        <v>156</v>
      </c>
      <c r="C579" s="75" t="s">
        <v>157</v>
      </c>
      <c r="D579" s="75">
        <v>0</v>
      </c>
      <c r="E579" s="77">
        <v>1</v>
      </c>
      <c r="F579" s="77">
        <v>1</v>
      </c>
      <c r="G579" s="75">
        <v>32.549999999999997</v>
      </c>
      <c r="H579" s="83"/>
      <c r="I579" s="83"/>
      <c r="J579" s="83"/>
    </row>
    <row r="580" spans="1:10" x14ac:dyDescent="0.4">
      <c r="A580" s="273"/>
      <c r="B580" s="86" t="s">
        <v>158</v>
      </c>
      <c r="C580" s="75" t="s">
        <v>159</v>
      </c>
      <c r="D580" s="75">
        <v>0</v>
      </c>
      <c r="E580" s="77">
        <v>1</v>
      </c>
      <c r="F580" s="77">
        <v>1</v>
      </c>
      <c r="G580" s="75">
        <v>32.549999999999997</v>
      </c>
      <c r="H580" s="83"/>
      <c r="I580" s="83"/>
      <c r="J580" s="83"/>
    </row>
    <row r="581" spans="1:10" x14ac:dyDescent="0.4">
      <c r="A581" s="273"/>
      <c r="B581" s="86" t="s">
        <v>160</v>
      </c>
      <c r="C581" s="75" t="s">
        <v>161</v>
      </c>
      <c r="D581" s="75">
        <v>0</v>
      </c>
      <c r="E581" s="77">
        <v>1</v>
      </c>
      <c r="F581" s="77">
        <v>1</v>
      </c>
      <c r="G581" s="75">
        <v>32.549999999999997</v>
      </c>
      <c r="H581" s="83"/>
      <c r="I581" s="83"/>
      <c r="J581" s="83"/>
    </row>
    <row r="582" spans="1:10" x14ac:dyDescent="0.4">
      <c r="A582" s="273"/>
      <c r="B582" s="86" t="s">
        <v>162</v>
      </c>
      <c r="C582" s="75" t="s">
        <v>163</v>
      </c>
      <c r="D582" s="75">
        <v>0</v>
      </c>
      <c r="E582" s="77">
        <v>1</v>
      </c>
      <c r="F582" s="77">
        <v>1</v>
      </c>
      <c r="G582" s="75">
        <v>32.549999999999997</v>
      </c>
      <c r="H582" s="83"/>
      <c r="I582" s="83"/>
      <c r="J582" s="83"/>
    </row>
    <row r="583" spans="1:10" x14ac:dyDescent="0.4">
      <c r="A583" s="273"/>
      <c r="B583" s="86" t="s">
        <v>164</v>
      </c>
      <c r="C583" s="75" t="s">
        <v>284</v>
      </c>
      <c r="D583" s="75">
        <v>0</v>
      </c>
      <c r="E583" s="77">
        <v>1</v>
      </c>
      <c r="F583" s="77">
        <v>1</v>
      </c>
      <c r="G583" s="75">
        <v>24.4</v>
      </c>
      <c r="H583" s="83"/>
      <c r="I583" s="83"/>
      <c r="J583" s="83"/>
    </row>
    <row r="584" spans="1:10" x14ac:dyDescent="0.4">
      <c r="A584" s="273"/>
      <c r="B584" s="86" t="s">
        <v>165</v>
      </c>
      <c r="C584" s="75" t="s">
        <v>166</v>
      </c>
      <c r="D584" s="75">
        <v>0</v>
      </c>
      <c r="E584" s="77">
        <v>1</v>
      </c>
      <c r="F584" s="77">
        <v>1</v>
      </c>
      <c r="G584" s="75">
        <v>24.4</v>
      </c>
      <c r="H584" s="83"/>
      <c r="I584" s="83"/>
      <c r="J584" s="83"/>
    </row>
    <row r="585" spans="1:10" x14ac:dyDescent="0.4">
      <c r="A585" s="273" t="s">
        <v>285</v>
      </c>
      <c r="B585" s="86" t="s">
        <v>167</v>
      </c>
      <c r="C585" s="75" t="s">
        <v>286</v>
      </c>
      <c r="D585" s="76">
        <v>1</v>
      </c>
      <c r="E585" s="77">
        <v>1</v>
      </c>
      <c r="F585" s="274" t="s">
        <v>273</v>
      </c>
      <c r="G585" s="75">
        <v>105.48</v>
      </c>
      <c r="H585" s="80"/>
      <c r="I585" s="84"/>
      <c r="J585" s="84"/>
    </row>
    <row r="586" spans="1:10" x14ac:dyDescent="0.4">
      <c r="A586" s="273"/>
      <c r="B586" s="86" t="s">
        <v>168</v>
      </c>
      <c r="C586" s="75" t="s">
        <v>169</v>
      </c>
      <c r="D586" s="76">
        <v>1</v>
      </c>
      <c r="E586" s="77">
        <v>1</v>
      </c>
      <c r="F586" s="275"/>
      <c r="G586" s="75">
        <v>105.48</v>
      </c>
      <c r="H586" s="80"/>
      <c r="I586" s="85"/>
      <c r="J586" s="85"/>
    </row>
    <row r="587" spans="1:10" x14ac:dyDescent="0.4">
      <c r="A587" s="273"/>
      <c r="B587" s="86" t="s">
        <v>170</v>
      </c>
      <c r="C587" s="75" t="s">
        <v>171</v>
      </c>
      <c r="D587" s="76">
        <v>1</v>
      </c>
      <c r="E587" s="77">
        <v>1</v>
      </c>
      <c r="F587" s="275"/>
      <c r="G587" s="75">
        <v>105.48</v>
      </c>
      <c r="H587" s="80"/>
      <c r="I587" s="81"/>
      <c r="J587" s="81"/>
    </row>
    <row r="588" spans="1:10" x14ac:dyDescent="0.4">
      <c r="A588" s="273"/>
      <c r="B588" s="86" t="s">
        <v>172</v>
      </c>
      <c r="C588" s="75" t="s">
        <v>173</v>
      </c>
      <c r="D588" s="76">
        <v>1</v>
      </c>
      <c r="E588" s="77">
        <v>1</v>
      </c>
      <c r="F588" s="275"/>
      <c r="G588" s="75">
        <v>105.48</v>
      </c>
      <c r="H588" s="80"/>
      <c r="I588" s="81"/>
      <c r="J588" s="81"/>
    </row>
    <row r="589" spans="1:10" x14ac:dyDescent="0.4">
      <c r="A589" s="273"/>
      <c r="B589" s="86" t="s">
        <v>174</v>
      </c>
      <c r="C589" s="75" t="s">
        <v>287</v>
      </c>
      <c r="D589" s="76">
        <v>1</v>
      </c>
      <c r="E589" s="77">
        <v>1</v>
      </c>
      <c r="F589" s="275"/>
      <c r="G589" s="75">
        <v>65</v>
      </c>
      <c r="H589" s="93"/>
      <c r="I589" s="93"/>
      <c r="J589" s="93"/>
    </row>
    <row r="590" spans="1:10" x14ac:dyDescent="0.4">
      <c r="A590" s="273"/>
      <c r="B590" s="86" t="s">
        <v>175</v>
      </c>
      <c r="C590" s="75" t="s">
        <v>176</v>
      </c>
      <c r="D590" s="76">
        <v>1</v>
      </c>
      <c r="E590" s="77">
        <v>1</v>
      </c>
      <c r="F590" s="276"/>
      <c r="G590" s="75">
        <v>65</v>
      </c>
      <c r="H590" s="93"/>
      <c r="I590" s="93"/>
      <c r="J590" s="93"/>
    </row>
    <row r="591" spans="1:10" x14ac:dyDescent="0.4">
      <c r="A591" s="273"/>
      <c r="B591" s="86" t="s">
        <v>177</v>
      </c>
      <c r="C591" s="75" t="s">
        <v>288</v>
      </c>
      <c r="D591" s="76">
        <v>1</v>
      </c>
      <c r="E591" s="77">
        <v>1</v>
      </c>
      <c r="F591" s="274" t="s">
        <v>282</v>
      </c>
      <c r="G591" s="75">
        <v>16.3</v>
      </c>
      <c r="H591" s="93"/>
      <c r="I591" s="93"/>
      <c r="J591" s="93"/>
    </row>
    <row r="592" spans="1:10" x14ac:dyDescent="0.4">
      <c r="A592" s="273"/>
      <c r="B592" s="86" t="s">
        <v>178</v>
      </c>
      <c r="C592" s="75" t="s">
        <v>179</v>
      </c>
      <c r="D592" s="76">
        <v>1</v>
      </c>
      <c r="E592" s="77">
        <v>1</v>
      </c>
      <c r="F592" s="275"/>
      <c r="G592" s="75">
        <v>16.3</v>
      </c>
      <c r="H592" s="93"/>
      <c r="I592" s="93"/>
      <c r="J592" s="93"/>
    </row>
    <row r="593" spans="1:10" x14ac:dyDescent="0.4">
      <c r="A593" s="273"/>
      <c r="B593" s="86" t="s">
        <v>180</v>
      </c>
      <c r="C593" s="75" t="s">
        <v>181</v>
      </c>
      <c r="D593" s="76">
        <v>1</v>
      </c>
      <c r="E593" s="77">
        <v>1</v>
      </c>
      <c r="F593" s="275"/>
      <c r="G593" s="75">
        <v>16.3</v>
      </c>
      <c r="H593" s="93"/>
      <c r="I593" s="93"/>
      <c r="J593" s="93"/>
    </row>
    <row r="594" spans="1:10" x14ac:dyDescent="0.4">
      <c r="A594" s="273"/>
      <c r="B594" s="86" t="s">
        <v>289</v>
      </c>
      <c r="C594" s="75" t="s">
        <v>182</v>
      </c>
      <c r="D594" s="76">
        <v>1</v>
      </c>
      <c r="E594" s="77">
        <v>1</v>
      </c>
      <c r="F594" s="276"/>
      <c r="G594" s="75">
        <v>35</v>
      </c>
      <c r="H594" s="93"/>
      <c r="I594" s="93"/>
      <c r="J594" s="93"/>
    </row>
    <row r="595" spans="1:10" x14ac:dyDescent="0.4">
      <c r="A595" s="273" t="s">
        <v>275</v>
      </c>
      <c r="B595" s="86" t="s">
        <v>126</v>
      </c>
      <c r="C595" s="75" t="s">
        <v>278</v>
      </c>
      <c r="D595" s="76">
        <v>1</v>
      </c>
      <c r="E595" s="77">
        <v>1</v>
      </c>
      <c r="F595" s="90"/>
      <c r="G595" s="75">
        <v>70.319999999999993</v>
      </c>
      <c r="H595" s="93"/>
      <c r="I595" s="93"/>
      <c r="J595" s="93"/>
    </row>
    <row r="596" spans="1:10" x14ac:dyDescent="0.4">
      <c r="A596" s="273"/>
      <c r="B596" s="86" t="s">
        <v>127</v>
      </c>
      <c r="C596" s="75" t="s">
        <v>128</v>
      </c>
      <c r="D596" s="76">
        <v>1</v>
      </c>
      <c r="E596" s="77">
        <v>1</v>
      </c>
      <c r="F596" s="90"/>
      <c r="G596" s="75">
        <v>70.319999999999993</v>
      </c>
      <c r="H596" s="93"/>
      <c r="I596" s="93"/>
      <c r="J596" s="93"/>
    </row>
    <row r="597" spans="1:10" x14ac:dyDescent="0.4">
      <c r="A597" s="273"/>
      <c r="B597" s="86" t="s">
        <v>129</v>
      </c>
      <c r="C597" s="75" t="s">
        <v>130</v>
      </c>
      <c r="D597" s="76">
        <v>1</v>
      </c>
      <c r="E597" s="77">
        <v>1</v>
      </c>
      <c r="F597" s="90"/>
      <c r="G597" s="75">
        <v>70.319999999999993</v>
      </c>
      <c r="H597" s="93"/>
      <c r="I597" s="93"/>
      <c r="J597" s="93"/>
    </row>
    <row r="598" spans="1:10" x14ac:dyDescent="0.4">
      <c r="H598" s="91" t="e">
        <f>AVERAGE(H557:H568,H574:H576,H585:H597)</f>
        <v>#DIV/0!</v>
      </c>
      <c r="I598" s="91" t="e">
        <f>AVERAGE(I557:I568,I574:I576,I585:I597)</f>
        <v>#DIV/0!</v>
      </c>
      <c r="J598" s="114" t="e">
        <f>AVERAGE(J557:J568,J574:J576,J585:J597)</f>
        <v>#DIV/0!</v>
      </c>
    </row>
    <row r="599" spans="1:10" x14ac:dyDescent="0.4">
      <c r="J599" s="115" t="s">
        <v>262</v>
      </c>
    </row>
    <row r="600" spans="1:10" x14ac:dyDescent="0.4">
      <c r="A600" s="288" t="s">
        <v>290</v>
      </c>
      <c r="B600" s="288"/>
      <c r="C600" s="289" t="s">
        <v>187</v>
      </c>
      <c r="D600" s="290"/>
      <c r="E600" s="290" t="s">
        <v>188</v>
      </c>
      <c r="F600" s="290"/>
      <c r="G600" s="290" t="s">
        <v>189</v>
      </c>
      <c r="H600" s="290"/>
      <c r="I600" s="290" t="s">
        <v>190</v>
      </c>
      <c r="J600" s="290"/>
    </row>
    <row r="601" spans="1:10" ht="34.799999999999997" x14ac:dyDescent="0.4">
      <c r="A601" s="288"/>
      <c r="B601" s="288"/>
      <c r="C601" s="102" t="s">
        <v>191</v>
      </c>
      <c r="D601" s="101" t="s">
        <v>192</v>
      </c>
      <c r="E601" s="101" t="s">
        <v>191</v>
      </c>
      <c r="F601" s="101" t="s">
        <v>192</v>
      </c>
      <c r="G601" s="101" t="s">
        <v>191</v>
      </c>
      <c r="H601" s="101" t="s">
        <v>192</v>
      </c>
      <c r="I601" s="101" t="s">
        <v>191</v>
      </c>
      <c r="J601" s="101" t="s">
        <v>192</v>
      </c>
    </row>
    <row r="602" spans="1:10" x14ac:dyDescent="0.4">
      <c r="A602" s="277" t="s">
        <v>291</v>
      </c>
      <c r="B602" s="100" t="s">
        <v>292</v>
      </c>
      <c r="C602" s="93"/>
      <c r="D602" s="92"/>
      <c r="E602" s="93"/>
      <c r="F602" s="92"/>
      <c r="G602" s="93"/>
      <c r="H602" s="92"/>
      <c r="I602" s="93"/>
      <c r="J602" s="92"/>
    </row>
    <row r="603" spans="1:10" x14ac:dyDescent="0.4">
      <c r="A603" s="278"/>
      <c r="B603" s="94" t="s">
        <v>193</v>
      </c>
      <c r="C603" s="93"/>
      <c r="D603" s="92"/>
      <c r="E603" s="93"/>
      <c r="F603" s="92"/>
      <c r="G603" s="93"/>
      <c r="H603" s="92"/>
      <c r="I603" s="93"/>
      <c r="J603" s="92"/>
    </row>
    <row r="604" spans="1:10" x14ac:dyDescent="0.4">
      <c r="A604" s="278"/>
      <c r="B604" s="94" t="s">
        <v>194</v>
      </c>
      <c r="C604" s="93"/>
      <c r="D604" s="92"/>
      <c r="E604" s="93"/>
      <c r="F604" s="92"/>
      <c r="G604" s="93"/>
      <c r="H604" s="92"/>
      <c r="I604" s="93"/>
      <c r="J604" s="92"/>
    </row>
    <row r="605" spans="1:10" x14ac:dyDescent="0.4">
      <c r="A605" s="278"/>
      <c r="B605" s="94" t="s">
        <v>195</v>
      </c>
      <c r="C605" s="93"/>
      <c r="D605" s="92"/>
      <c r="E605" s="93"/>
      <c r="F605" s="92"/>
      <c r="G605" s="93"/>
      <c r="H605" s="92"/>
      <c r="I605" s="93"/>
      <c r="J605" s="92"/>
    </row>
    <row r="606" spans="1:10" x14ac:dyDescent="0.4">
      <c r="A606" s="278"/>
      <c r="B606" s="94" t="s">
        <v>196</v>
      </c>
      <c r="C606" s="93"/>
      <c r="D606" s="92"/>
      <c r="E606" s="93"/>
      <c r="F606" s="92"/>
      <c r="G606" s="93"/>
      <c r="H606" s="92"/>
      <c r="I606" s="93"/>
      <c r="J606" s="92"/>
    </row>
    <row r="607" spans="1:10" x14ac:dyDescent="0.4">
      <c r="A607" s="278"/>
      <c r="B607" s="94" t="s">
        <v>197</v>
      </c>
      <c r="C607" s="93"/>
      <c r="D607" s="92"/>
      <c r="E607" s="93"/>
      <c r="F607" s="92"/>
      <c r="G607" s="93"/>
      <c r="H607" s="92"/>
      <c r="I607" s="93"/>
      <c r="J607" s="92"/>
    </row>
    <row r="608" spans="1:10" x14ac:dyDescent="0.4">
      <c r="A608" s="278"/>
      <c r="B608" s="94" t="s">
        <v>198</v>
      </c>
      <c r="C608" s="93"/>
      <c r="D608" s="92"/>
      <c r="E608" s="93"/>
      <c r="F608" s="92"/>
      <c r="G608" s="93"/>
      <c r="H608" s="92"/>
      <c r="I608" s="93"/>
      <c r="J608" s="92"/>
    </row>
    <row r="609" spans="1:10" x14ac:dyDescent="0.4">
      <c r="A609" s="278"/>
      <c r="B609" s="94" t="s">
        <v>199</v>
      </c>
      <c r="C609" s="93"/>
      <c r="D609" s="92"/>
      <c r="E609" s="93"/>
      <c r="F609" s="92"/>
      <c r="G609" s="93"/>
      <c r="H609" s="92"/>
      <c r="I609" s="93"/>
      <c r="J609" s="92"/>
    </row>
    <row r="610" spans="1:10" x14ac:dyDescent="0.4">
      <c r="A610" s="278"/>
      <c r="B610" s="94" t="s">
        <v>200</v>
      </c>
      <c r="C610" s="93"/>
      <c r="D610" s="92"/>
      <c r="E610" s="93"/>
      <c r="F610" s="92"/>
      <c r="G610" s="93"/>
      <c r="H610" s="92"/>
      <c r="I610" s="98"/>
      <c r="J610" s="99"/>
    </row>
    <row r="611" spans="1:10" x14ac:dyDescent="0.4">
      <c r="A611" s="278"/>
      <c r="B611" s="94" t="s">
        <v>201</v>
      </c>
      <c r="C611" s="93"/>
      <c r="D611" s="92"/>
      <c r="E611" s="98"/>
      <c r="F611" s="99"/>
      <c r="G611" s="93"/>
      <c r="H611" s="92"/>
      <c r="I611" s="98"/>
      <c r="J611" s="99"/>
    </row>
    <row r="612" spans="1:10" x14ac:dyDescent="0.4">
      <c r="A612" s="278"/>
      <c r="B612" s="94" t="s">
        <v>202</v>
      </c>
      <c r="C612" s="93"/>
      <c r="D612" s="92"/>
      <c r="E612" s="98"/>
      <c r="F612" s="99"/>
      <c r="G612" s="93"/>
      <c r="H612" s="92"/>
      <c r="I612" s="98"/>
      <c r="J612" s="99"/>
    </row>
    <row r="613" spans="1:10" x14ac:dyDescent="0.4">
      <c r="A613" s="278"/>
      <c r="B613" s="94" t="s">
        <v>203</v>
      </c>
      <c r="C613" s="93"/>
      <c r="D613" s="92"/>
      <c r="E613" s="98"/>
      <c r="F613" s="99"/>
      <c r="G613" s="93"/>
      <c r="H613" s="92"/>
      <c r="I613" s="98"/>
      <c r="J613" s="99"/>
    </row>
    <row r="614" spans="1:10" x14ac:dyDescent="0.4">
      <c r="A614" s="278"/>
      <c r="B614" s="94" t="s">
        <v>204</v>
      </c>
      <c r="C614" s="93"/>
      <c r="D614" s="92"/>
      <c r="E614" s="98"/>
      <c r="F614" s="99"/>
      <c r="G614" s="93"/>
      <c r="H614" s="92"/>
      <c r="I614" s="98"/>
      <c r="J614" s="99"/>
    </row>
    <row r="615" spans="1:10" x14ac:dyDescent="0.4">
      <c r="A615" s="278"/>
      <c r="B615" s="94" t="s">
        <v>205</v>
      </c>
      <c r="C615" s="98"/>
      <c r="D615" s="99"/>
      <c r="E615" s="98"/>
      <c r="F615" s="99"/>
      <c r="G615" s="93"/>
      <c r="H615" s="92"/>
      <c r="I615" s="98"/>
      <c r="J615" s="99"/>
    </row>
    <row r="616" spans="1:10" x14ac:dyDescent="0.4">
      <c r="A616" s="278"/>
      <c r="B616" s="94" t="s">
        <v>206</v>
      </c>
      <c r="C616" s="98"/>
      <c r="D616" s="99"/>
      <c r="E616" s="98"/>
      <c r="F616" s="99"/>
      <c r="G616" s="93"/>
      <c r="H616" s="92"/>
      <c r="I616" s="98"/>
      <c r="J616" s="99"/>
    </row>
    <row r="617" spans="1:10" x14ac:dyDescent="0.4">
      <c r="A617" s="278"/>
      <c r="B617" s="94" t="s">
        <v>207</v>
      </c>
      <c r="C617" s="98"/>
      <c r="D617" s="99"/>
      <c r="E617" s="98"/>
      <c r="F617" s="99"/>
      <c r="G617" s="93"/>
      <c r="H617" s="92"/>
      <c r="I617" s="98"/>
      <c r="J617" s="99"/>
    </row>
    <row r="618" spans="1:10" x14ac:dyDescent="0.4">
      <c r="A618" s="278"/>
      <c r="B618" s="95" t="s">
        <v>293</v>
      </c>
      <c r="C618" s="93"/>
      <c r="D618" s="92"/>
      <c r="E618" s="93"/>
      <c r="F618" s="92"/>
      <c r="G618" s="93"/>
      <c r="H618" s="92"/>
      <c r="I618" s="93"/>
      <c r="J618" s="92"/>
    </row>
    <row r="619" spans="1:10" x14ac:dyDescent="0.4">
      <c r="A619" s="278"/>
      <c r="B619" s="95" t="s">
        <v>208</v>
      </c>
      <c r="C619" s="93"/>
      <c r="D619" s="92"/>
      <c r="E619" s="93"/>
      <c r="F619" s="92"/>
      <c r="G619" s="93"/>
      <c r="H619" s="92"/>
      <c r="I619" s="93"/>
      <c r="J619" s="92"/>
    </row>
    <row r="620" spans="1:10" x14ac:dyDescent="0.4">
      <c r="A620" s="278"/>
      <c r="B620" s="95" t="s">
        <v>209</v>
      </c>
      <c r="C620" s="93"/>
      <c r="D620" s="92"/>
      <c r="E620" s="93"/>
      <c r="F620" s="92"/>
      <c r="G620" s="93"/>
      <c r="H620" s="92"/>
      <c r="I620" s="93"/>
      <c r="J620" s="92"/>
    </row>
    <row r="621" spans="1:10" x14ac:dyDescent="0.4">
      <c r="A621" s="278"/>
      <c r="B621" s="95" t="s">
        <v>210</v>
      </c>
      <c r="C621" s="93"/>
      <c r="D621" s="92"/>
      <c r="E621" s="93"/>
      <c r="F621" s="92"/>
      <c r="G621" s="93"/>
      <c r="H621" s="92"/>
      <c r="I621" s="93"/>
      <c r="J621" s="92"/>
    </row>
    <row r="622" spans="1:10" x14ac:dyDescent="0.4">
      <c r="A622" s="278"/>
      <c r="B622" s="95" t="s">
        <v>211</v>
      </c>
      <c r="C622" s="93"/>
      <c r="D622" s="92"/>
      <c r="E622" s="93"/>
      <c r="F622" s="92"/>
      <c r="G622" s="93"/>
      <c r="H622" s="92"/>
      <c r="I622" s="93"/>
      <c r="J622" s="92"/>
    </row>
    <row r="623" spans="1:10" x14ac:dyDescent="0.4">
      <c r="A623" s="278"/>
      <c r="B623" s="95" t="s">
        <v>212</v>
      </c>
      <c r="C623" s="93"/>
      <c r="D623" s="92"/>
      <c r="E623" s="93"/>
      <c r="F623" s="92"/>
      <c r="G623" s="93"/>
      <c r="H623" s="92"/>
      <c r="I623" s="93"/>
      <c r="J623" s="92"/>
    </row>
    <row r="624" spans="1:10" x14ac:dyDescent="0.4">
      <c r="A624" s="278"/>
      <c r="B624" s="95" t="s">
        <v>213</v>
      </c>
      <c r="C624" s="93"/>
      <c r="D624" s="92"/>
      <c r="E624" s="93"/>
      <c r="F624" s="92"/>
      <c r="G624" s="93"/>
      <c r="H624" s="92"/>
      <c r="I624" s="93"/>
      <c r="J624" s="92"/>
    </row>
    <row r="625" spans="1:10" x14ac:dyDescent="0.4">
      <c r="A625" s="278"/>
      <c r="B625" s="95" t="s">
        <v>214</v>
      </c>
      <c r="C625" s="93"/>
      <c r="D625" s="92"/>
      <c r="E625" s="93"/>
      <c r="F625" s="92"/>
      <c r="G625" s="93"/>
      <c r="H625" s="92"/>
      <c r="I625" s="93"/>
      <c r="J625" s="92"/>
    </row>
    <row r="626" spans="1:10" x14ac:dyDescent="0.4">
      <c r="A626" s="278"/>
      <c r="B626" s="95" t="s">
        <v>215</v>
      </c>
      <c r="C626" s="93"/>
      <c r="D626" s="92"/>
      <c r="E626" s="93"/>
      <c r="F626" s="92"/>
      <c r="G626" s="93"/>
      <c r="H626" s="92"/>
      <c r="I626" s="93"/>
      <c r="J626" s="92"/>
    </row>
    <row r="627" spans="1:10" x14ac:dyDescent="0.4">
      <c r="A627" s="278"/>
      <c r="B627" s="95" t="s">
        <v>216</v>
      </c>
      <c r="C627" s="93"/>
      <c r="D627" s="92"/>
      <c r="E627" s="93"/>
      <c r="F627" s="92"/>
      <c r="G627" s="93"/>
      <c r="H627" s="92"/>
      <c r="I627" s="93"/>
      <c r="J627" s="92"/>
    </row>
    <row r="628" spans="1:10" x14ac:dyDescent="0.4">
      <c r="A628" s="278"/>
      <c r="B628" s="95" t="s">
        <v>217</v>
      </c>
      <c r="C628" s="93"/>
      <c r="D628" s="92"/>
      <c r="E628" s="93"/>
      <c r="F628" s="92"/>
      <c r="G628" s="93"/>
      <c r="H628" s="92"/>
      <c r="I628" s="98"/>
      <c r="J628" s="99"/>
    </row>
    <row r="629" spans="1:10" x14ac:dyDescent="0.4">
      <c r="A629" s="278"/>
      <c r="B629" s="95" t="s">
        <v>218</v>
      </c>
      <c r="C629" s="93"/>
      <c r="D629" s="92"/>
      <c r="E629" s="93"/>
      <c r="F629" s="92"/>
      <c r="G629" s="93"/>
      <c r="H629" s="92"/>
      <c r="I629" s="98"/>
      <c r="J629" s="99"/>
    </row>
    <row r="630" spans="1:10" x14ac:dyDescent="0.4">
      <c r="A630" s="278"/>
      <c r="B630" s="95" t="s">
        <v>219</v>
      </c>
      <c r="C630" s="93"/>
      <c r="D630" s="92"/>
      <c r="E630" s="93"/>
      <c r="F630" s="92"/>
      <c r="G630" s="93"/>
      <c r="H630" s="92"/>
      <c r="I630" s="98"/>
      <c r="J630" s="99"/>
    </row>
    <row r="631" spans="1:10" x14ac:dyDescent="0.4">
      <c r="A631" s="278"/>
      <c r="B631" s="95" t="s">
        <v>220</v>
      </c>
      <c r="C631" s="93"/>
      <c r="D631" s="92"/>
      <c r="E631" s="93"/>
      <c r="F631" s="92"/>
      <c r="G631" s="98"/>
      <c r="H631" s="99"/>
      <c r="I631" s="98"/>
      <c r="J631" s="99"/>
    </row>
    <row r="632" spans="1:10" x14ac:dyDescent="0.4">
      <c r="A632" s="278"/>
      <c r="B632" s="95" t="s">
        <v>294</v>
      </c>
      <c r="C632" s="93"/>
      <c r="D632" s="92"/>
      <c r="E632" s="98"/>
      <c r="F632" s="99"/>
      <c r="G632" s="98"/>
      <c r="H632" s="99"/>
      <c r="I632" s="98"/>
      <c r="J632" s="99"/>
    </row>
    <row r="633" spans="1:10" x14ac:dyDescent="0.4">
      <c r="A633" s="278"/>
      <c r="B633" s="95" t="s">
        <v>221</v>
      </c>
      <c r="C633" s="93"/>
      <c r="D633" s="92"/>
      <c r="E633" s="98"/>
      <c r="F633" s="99"/>
      <c r="G633" s="98"/>
      <c r="H633" s="99"/>
      <c r="I633" s="98"/>
      <c r="J633" s="99"/>
    </row>
    <row r="634" spans="1:10" x14ac:dyDescent="0.4">
      <c r="A634" s="278"/>
      <c r="B634" s="96" t="s">
        <v>295</v>
      </c>
      <c r="C634" s="93"/>
      <c r="D634" s="92"/>
      <c r="E634" s="93"/>
      <c r="F634" s="92"/>
      <c r="G634" s="93"/>
      <c r="H634" s="92"/>
      <c r="I634" s="93"/>
      <c r="J634" s="92"/>
    </row>
    <row r="635" spans="1:10" x14ac:dyDescent="0.4">
      <c r="A635" s="278"/>
      <c r="B635" s="96" t="s">
        <v>222</v>
      </c>
      <c r="C635" s="93"/>
      <c r="D635" s="92"/>
      <c r="E635" s="93"/>
      <c r="F635" s="92"/>
      <c r="G635" s="93"/>
      <c r="H635" s="92"/>
      <c r="I635" s="93"/>
      <c r="J635" s="92"/>
    </row>
    <row r="636" spans="1:10" x14ac:dyDescent="0.4">
      <c r="A636" s="278"/>
      <c r="B636" s="96" t="s">
        <v>223</v>
      </c>
      <c r="C636" s="93"/>
      <c r="D636" s="92"/>
      <c r="E636" s="93"/>
      <c r="F636" s="92"/>
      <c r="G636" s="93"/>
      <c r="H636" s="92"/>
      <c r="I636" s="93"/>
      <c r="J636" s="92"/>
    </row>
    <row r="637" spans="1:10" x14ac:dyDescent="0.4">
      <c r="A637" s="278"/>
      <c r="B637" s="96" t="s">
        <v>224</v>
      </c>
      <c r="C637" s="93"/>
      <c r="D637" s="92"/>
      <c r="E637" s="93"/>
      <c r="F637" s="92"/>
      <c r="G637" s="93"/>
      <c r="H637" s="92"/>
      <c r="I637" s="93"/>
      <c r="J637" s="92"/>
    </row>
    <row r="638" spans="1:10" x14ac:dyDescent="0.4">
      <c r="A638" s="278"/>
      <c r="B638" s="96" t="s">
        <v>225</v>
      </c>
      <c r="C638" s="93"/>
      <c r="D638" s="92"/>
      <c r="E638" s="93"/>
      <c r="F638" s="92"/>
      <c r="G638" s="93"/>
      <c r="H638" s="92"/>
      <c r="I638" s="93"/>
      <c r="J638" s="92"/>
    </row>
    <row r="639" spans="1:10" x14ac:dyDescent="0.4">
      <c r="A639" s="278"/>
      <c r="B639" s="96" t="s">
        <v>226</v>
      </c>
      <c r="C639" s="93"/>
      <c r="D639" s="92"/>
      <c r="E639" s="93"/>
      <c r="F639" s="92"/>
      <c r="G639" s="93"/>
      <c r="H639" s="92"/>
      <c r="I639" s="93"/>
      <c r="J639" s="92"/>
    </row>
    <row r="640" spans="1:10" x14ac:dyDescent="0.4">
      <c r="A640" s="278"/>
      <c r="B640" s="96" t="s">
        <v>227</v>
      </c>
      <c r="C640" s="93"/>
      <c r="D640" s="92"/>
      <c r="E640" s="93"/>
      <c r="F640" s="92"/>
      <c r="G640" s="93"/>
      <c r="H640" s="92"/>
      <c r="I640" s="93"/>
      <c r="J640" s="92"/>
    </row>
    <row r="641" spans="1:10" x14ac:dyDescent="0.4">
      <c r="A641" s="278"/>
      <c r="B641" s="96" t="s">
        <v>228</v>
      </c>
      <c r="C641" s="93"/>
      <c r="D641" s="92"/>
      <c r="E641" s="93"/>
      <c r="F641" s="92"/>
      <c r="G641" s="93"/>
      <c r="H641" s="92"/>
      <c r="I641" s="93"/>
      <c r="J641" s="92"/>
    </row>
    <row r="642" spans="1:10" x14ac:dyDescent="0.4">
      <c r="A642" s="278"/>
      <c r="B642" s="96" t="s">
        <v>229</v>
      </c>
      <c r="C642" s="93"/>
      <c r="D642" s="92"/>
      <c r="E642" s="93"/>
      <c r="F642" s="92"/>
      <c r="G642" s="98"/>
      <c r="H642" s="99"/>
      <c r="I642" s="93"/>
      <c r="J642" s="92"/>
    </row>
    <row r="643" spans="1:10" x14ac:dyDescent="0.4">
      <c r="A643" s="278"/>
      <c r="B643" s="96" t="s">
        <v>230</v>
      </c>
      <c r="C643" s="93"/>
      <c r="D643" s="92"/>
      <c r="E643" s="93"/>
      <c r="F643" s="92"/>
      <c r="G643" s="98"/>
      <c r="H643" s="99"/>
      <c r="I643" s="98"/>
      <c r="J643" s="99"/>
    </row>
    <row r="644" spans="1:10" x14ac:dyDescent="0.4">
      <c r="A644" s="278"/>
      <c r="B644" s="96" t="s">
        <v>231</v>
      </c>
      <c r="C644" s="93"/>
      <c r="D644" s="92"/>
      <c r="E644" s="93"/>
      <c r="F644" s="92"/>
      <c r="G644" s="98"/>
      <c r="H644" s="99"/>
      <c r="I644" s="98"/>
      <c r="J644" s="99"/>
    </row>
    <row r="645" spans="1:10" x14ac:dyDescent="0.4">
      <c r="A645" s="278"/>
      <c r="B645" s="96" t="s">
        <v>232</v>
      </c>
      <c r="C645" s="93"/>
      <c r="D645" s="92"/>
      <c r="E645" s="93"/>
      <c r="F645" s="92"/>
      <c r="G645" s="98"/>
      <c r="H645" s="99"/>
      <c r="I645" s="98"/>
      <c r="J645" s="99"/>
    </row>
    <row r="646" spans="1:10" x14ac:dyDescent="0.4">
      <c r="A646" s="278"/>
      <c r="B646" s="96" t="s">
        <v>233</v>
      </c>
      <c r="C646" s="93"/>
      <c r="D646" s="92"/>
      <c r="E646" s="93"/>
      <c r="F646" s="92"/>
      <c r="G646" s="98"/>
      <c r="H646" s="99"/>
      <c r="I646" s="98"/>
      <c r="J646" s="99"/>
    </row>
    <row r="647" spans="1:10" x14ac:dyDescent="0.4">
      <c r="A647" s="278"/>
      <c r="B647" s="96" t="s">
        <v>234</v>
      </c>
      <c r="C647" s="93"/>
      <c r="D647" s="92"/>
      <c r="E647" s="93"/>
      <c r="F647" s="92"/>
      <c r="G647" s="98"/>
      <c r="H647" s="99"/>
      <c r="I647" s="98"/>
      <c r="J647" s="99"/>
    </row>
    <row r="648" spans="1:10" x14ac:dyDescent="0.4">
      <c r="A648" s="278"/>
      <c r="B648" s="96" t="s">
        <v>235</v>
      </c>
      <c r="C648" s="93"/>
      <c r="D648" s="92"/>
      <c r="E648" s="98"/>
      <c r="F648" s="99"/>
      <c r="G648" s="98"/>
      <c r="H648" s="99"/>
      <c r="I648" s="98"/>
      <c r="J648" s="99"/>
    </row>
    <row r="649" spans="1:10" x14ac:dyDescent="0.4">
      <c r="A649" s="278"/>
      <c r="B649" s="96" t="s">
        <v>236</v>
      </c>
      <c r="C649" s="93"/>
      <c r="D649" s="92"/>
      <c r="E649" s="98"/>
      <c r="F649" s="99"/>
      <c r="G649" s="98"/>
      <c r="H649" s="99"/>
      <c r="I649" s="98"/>
      <c r="J649" s="99"/>
    </row>
    <row r="650" spans="1:10" x14ac:dyDescent="0.4">
      <c r="A650" s="278"/>
      <c r="B650" s="97" t="s">
        <v>296</v>
      </c>
      <c r="C650" s="93"/>
      <c r="D650" s="92"/>
      <c r="E650" s="93"/>
      <c r="F650" s="92"/>
      <c r="G650" s="93"/>
      <c r="H650" s="92"/>
      <c r="I650" s="93"/>
      <c r="J650" s="92"/>
    </row>
    <row r="651" spans="1:10" x14ac:dyDescent="0.4">
      <c r="A651" s="278"/>
      <c r="B651" s="97" t="s">
        <v>237</v>
      </c>
      <c r="C651" s="93"/>
      <c r="D651" s="92"/>
      <c r="E651" s="93"/>
      <c r="F651" s="92"/>
      <c r="G651" s="93"/>
      <c r="H651" s="92"/>
      <c r="I651" s="93"/>
      <c r="J651" s="92"/>
    </row>
    <row r="652" spans="1:10" x14ac:dyDescent="0.4">
      <c r="A652" s="278"/>
      <c r="B652" s="97" t="s">
        <v>238</v>
      </c>
      <c r="C652" s="93"/>
      <c r="D652" s="92"/>
      <c r="E652" s="93"/>
      <c r="F652" s="92"/>
      <c r="G652" s="93"/>
      <c r="H652" s="92"/>
      <c r="I652" s="93"/>
      <c r="J652" s="92"/>
    </row>
    <row r="653" spans="1:10" x14ac:dyDescent="0.4">
      <c r="A653" s="278"/>
      <c r="B653" s="97" t="s">
        <v>239</v>
      </c>
      <c r="C653" s="93"/>
      <c r="D653" s="92"/>
      <c r="E653" s="93"/>
      <c r="F653" s="92"/>
      <c r="G653" s="93"/>
      <c r="H653" s="92"/>
      <c r="I653" s="93"/>
      <c r="J653" s="92"/>
    </row>
    <row r="654" spans="1:10" x14ac:dyDescent="0.4">
      <c r="A654" s="278"/>
      <c r="B654" s="97" t="s">
        <v>240</v>
      </c>
      <c r="C654" s="93"/>
      <c r="D654" s="92"/>
      <c r="E654" s="93"/>
      <c r="F654" s="92"/>
      <c r="G654" s="93"/>
      <c r="H654" s="92"/>
      <c r="I654" s="93"/>
      <c r="J654" s="92"/>
    </row>
    <row r="655" spans="1:10" x14ac:dyDescent="0.4">
      <c r="A655" s="278"/>
      <c r="B655" s="97" t="s">
        <v>241</v>
      </c>
      <c r="C655" s="93"/>
      <c r="D655" s="92"/>
      <c r="E655" s="93"/>
      <c r="F655" s="92"/>
      <c r="G655" s="93"/>
      <c r="H655" s="92"/>
      <c r="I655" s="93"/>
      <c r="J655" s="92"/>
    </row>
    <row r="656" spans="1:10" x14ac:dyDescent="0.4">
      <c r="A656" s="278"/>
      <c r="B656" s="97" t="s">
        <v>242</v>
      </c>
      <c r="C656" s="93"/>
      <c r="D656" s="92"/>
      <c r="E656" s="93"/>
      <c r="F656" s="92"/>
      <c r="G656" s="93"/>
      <c r="H656" s="92"/>
      <c r="I656" s="93"/>
      <c r="J656" s="92"/>
    </row>
    <row r="657" spans="1:10" x14ac:dyDescent="0.4">
      <c r="A657" s="278"/>
      <c r="B657" s="97" t="s">
        <v>243</v>
      </c>
      <c r="C657" s="93"/>
      <c r="D657" s="92"/>
      <c r="E657" s="93"/>
      <c r="F657" s="92"/>
      <c r="G657" s="93"/>
      <c r="H657" s="92"/>
      <c r="I657" s="93"/>
      <c r="J657" s="92"/>
    </row>
    <row r="658" spans="1:10" x14ac:dyDescent="0.4">
      <c r="A658" s="278"/>
      <c r="B658" s="97" t="s">
        <v>244</v>
      </c>
      <c r="C658" s="93"/>
      <c r="D658" s="92"/>
      <c r="E658" s="93"/>
      <c r="F658" s="92"/>
      <c r="G658" s="93"/>
      <c r="H658" s="92"/>
      <c r="I658" s="98"/>
      <c r="J658" s="99"/>
    </row>
    <row r="659" spans="1:10" x14ac:dyDescent="0.4">
      <c r="A659" s="278"/>
      <c r="B659" s="97" t="s">
        <v>245</v>
      </c>
      <c r="C659" s="93"/>
      <c r="D659" s="92"/>
      <c r="E659" s="93"/>
      <c r="F659" s="92"/>
      <c r="G659" s="93"/>
      <c r="H659" s="92"/>
      <c r="I659" s="98"/>
      <c r="J659" s="99"/>
    </row>
    <row r="660" spans="1:10" x14ac:dyDescent="0.4">
      <c r="A660" s="278"/>
      <c r="B660" s="97" t="s">
        <v>246</v>
      </c>
      <c r="C660" s="98"/>
      <c r="D660" s="99"/>
      <c r="E660" s="93"/>
      <c r="F660" s="92"/>
      <c r="G660" s="93"/>
      <c r="H660" s="92"/>
      <c r="I660" s="98"/>
      <c r="J660" s="99"/>
    </row>
    <row r="661" spans="1:10" x14ac:dyDescent="0.4">
      <c r="A661" s="278"/>
      <c r="B661" s="97" t="s">
        <v>247</v>
      </c>
      <c r="C661" s="98"/>
      <c r="D661" s="99"/>
      <c r="E661" s="93"/>
      <c r="F661" s="92"/>
      <c r="G661" s="93"/>
      <c r="H661" s="92"/>
      <c r="I661" s="98"/>
      <c r="J661" s="99"/>
    </row>
    <row r="662" spans="1:10" x14ac:dyDescent="0.4">
      <c r="A662" s="278"/>
      <c r="B662" s="97" t="s">
        <v>248</v>
      </c>
      <c r="C662" s="98"/>
      <c r="D662" s="99"/>
      <c r="E662" s="98"/>
      <c r="F662" s="99"/>
      <c r="G662" s="93"/>
      <c r="H662" s="92"/>
      <c r="I662" s="98"/>
      <c r="J662" s="99"/>
    </row>
    <row r="663" spans="1:10" x14ac:dyDescent="0.4">
      <c r="A663" s="278"/>
      <c r="B663" s="94" t="s">
        <v>297</v>
      </c>
      <c r="C663" s="98"/>
      <c r="D663" s="99"/>
      <c r="E663" s="98"/>
      <c r="F663" s="99"/>
      <c r="G663" s="98"/>
      <c r="H663" s="99"/>
      <c r="I663" s="93"/>
      <c r="J663" s="92"/>
    </row>
    <row r="664" spans="1:10" x14ac:dyDescent="0.4">
      <c r="A664" s="278"/>
      <c r="B664" s="94" t="s">
        <v>249</v>
      </c>
      <c r="C664" s="98"/>
      <c r="D664" s="99"/>
      <c r="E664" s="98"/>
      <c r="F664" s="99"/>
      <c r="G664" s="98"/>
      <c r="H664" s="99"/>
      <c r="I664" s="93"/>
      <c r="J664" s="92"/>
    </row>
    <row r="665" spans="1:10" x14ac:dyDescent="0.4">
      <c r="A665" s="278"/>
      <c r="B665" s="94" t="s">
        <v>250</v>
      </c>
      <c r="C665" s="98"/>
      <c r="D665" s="99"/>
      <c r="E665" s="98"/>
      <c r="F665" s="99"/>
      <c r="G665" s="98"/>
      <c r="H665" s="99"/>
      <c r="I665" s="93"/>
      <c r="J665" s="92"/>
    </row>
    <row r="666" spans="1:10" x14ac:dyDescent="0.4">
      <c r="A666" s="278"/>
      <c r="B666" s="94" t="s">
        <v>251</v>
      </c>
      <c r="C666" s="98"/>
      <c r="D666" s="99"/>
      <c r="E666" s="98"/>
      <c r="F666" s="99"/>
      <c r="G666" s="98"/>
      <c r="H666" s="99"/>
      <c r="I666" s="93"/>
      <c r="J666" s="92"/>
    </row>
    <row r="667" spans="1:10" x14ac:dyDescent="0.4">
      <c r="A667" s="278"/>
      <c r="B667" s="94" t="s">
        <v>252</v>
      </c>
      <c r="C667" s="98"/>
      <c r="D667" s="99"/>
      <c r="E667" s="98"/>
      <c r="F667" s="99"/>
      <c r="G667" s="98"/>
      <c r="H667" s="99"/>
      <c r="I667" s="93"/>
      <c r="J667" s="92"/>
    </row>
    <row r="668" spans="1:10" x14ac:dyDescent="0.4">
      <c r="A668" s="278"/>
      <c r="B668" s="94" t="s">
        <v>253</v>
      </c>
      <c r="C668" s="98"/>
      <c r="D668" s="99"/>
      <c r="E668" s="98"/>
      <c r="F668" s="99"/>
      <c r="G668" s="98"/>
      <c r="H668" s="99"/>
      <c r="I668" s="93"/>
      <c r="J668" s="92"/>
    </row>
    <row r="669" spans="1:10" x14ac:dyDescent="0.4">
      <c r="A669" s="278"/>
      <c r="B669" s="94" t="s">
        <v>254</v>
      </c>
      <c r="C669" s="98"/>
      <c r="D669" s="99"/>
      <c r="E669" s="98"/>
      <c r="F669" s="99"/>
      <c r="G669" s="98"/>
      <c r="H669" s="99"/>
      <c r="I669" s="93"/>
      <c r="J669" s="92"/>
    </row>
    <row r="670" spans="1:10" x14ac:dyDescent="0.4">
      <c r="A670" s="278"/>
      <c r="B670" s="94" t="s">
        <v>255</v>
      </c>
      <c r="C670" s="98"/>
      <c r="D670" s="99"/>
      <c r="E670" s="98"/>
      <c r="F670" s="99"/>
      <c r="G670" s="98"/>
      <c r="H670" s="99"/>
      <c r="I670" s="93"/>
      <c r="J670" s="92"/>
    </row>
    <row r="671" spans="1:10" x14ac:dyDescent="0.4">
      <c r="A671" s="278"/>
      <c r="B671" s="94" t="s">
        <v>256</v>
      </c>
      <c r="C671" s="98"/>
      <c r="D671" s="99"/>
      <c r="E671" s="98"/>
      <c r="F671" s="99"/>
      <c r="G671" s="98"/>
      <c r="H671" s="99"/>
      <c r="I671" s="93"/>
      <c r="J671" s="92"/>
    </row>
    <row r="672" spans="1:10" x14ac:dyDescent="0.4">
      <c r="A672" s="278"/>
      <c r="B672" s="94" t="s">
        <v>257</v>
      </c>
      <c r="C672" s="98"/>
      <c r="D672" s="99"/>
      <c r="E672" s="98"/>
      <c r="F672" s="99"/>
      <c r="G672" s="98"/>
      <c r="H672" s="99"/>
      <c r="I672" s="93"/>
      <c r="J672" s="92"/>
    </row>
    <row r="673" spans="1:11" x14ac:dyDescent="0.4">
      <c r="A673" s="278"/>
      <c r="B673" s="94" t="s">
        <v>258</v>
      </c>
      <c r="C673" s="98"/>
      <c r="D673" s="99"/>
      <c r="E673" s="98"/>
      <c r="F673" s="99"/>
      <c r="G673" s="98"/>
      <c r="H673" s="99"/>
      <c r="I673" s="93"/>
      <c r="J673" s="92"/>
    </row>
    <row r="674" spans="1:11" x14ac:dyDescent="0.4">
      <c r="A674" s="279"/>
      <c r="B674" s="94" t="s">
        <v>259</v>
      </c>
      <c r="C674" s="98"/>
      <c r="D674" s="99"/>
      <c r="E674" s="98"/>
      <c r="F674" s="99"/>
      <c r="G674" s="98"/>
      <c r="H674" s="99"/>
      <c r="I674" s="93"/>
      <c r="J674" s="92"/>
    </row>
    <row r="675" spans="1:11" x14ac:dyDescent="0.4">
      <c r="A675" s="115" t="s">
        <v>263</v>
      </c>
      <c r="B675" s="116" t="e">
        <f>SUM(C675,E675,G675,I675)</f>
        <v>#DIV/0!</v>
      </c>
      <c r="C675" s="103" t="e">
        <f>AVERAGE(C602:C614,C618:C659)</f>
        <v>#DIV/0!</v>
      </c>
      <c r="D675" s="103" t="e">
        <f>AVERAGE(D602:D614,D618:D659)</f>
        <v>#DIV/0!</v>
      </c>
      <c r="E675" s="103" t="e">
        <f>AVERAGE(E602:E610,E618:E631,E634:E647,E650:E661)</f>
        <v>#DIV/0!</v>
      </c>
      <c r="F675" s="103" t="e">
        <f>AVERAGE(F602:F610,F618:F631,F634:F647,F650:F661)</f>
        <v>#DIV/0!</v>
      </c>
      <c r="G675" s="103" t="e">
        <f>AVERAGE(G602:G630,G634:G641,G650:G662)</f>
        <v>#DIV/0!</v>
      </c>
      <c r="H675" s="103" t="e">
        <f>AVERAGE(H602:H630,H634:H641,H650:H662)</f>
        <v>#DIV/0!</v>
      </c>
      <c r="I675" s="103" t="e">
        <f>AVERAGE(I602:I609,I618:I627,I634:I642,I650:I657,I663:I674)</f>
        <v>#DIV/0!</v>
      </c>
      <c r="J675" s="103" t="e">
        <f>AVERAGE(J602:J609,J618:J627,J634:J642,J650:J657,J663:J674)</f>
        <v>#DIV/0!</v>
      </c>
    </row>
    <row r="676" spans="1:11" x14ac:dyDescent="0.4">
      <c r="A676" s="115" t="s">
        <v>264</v>
      </c>
      <c r="B676" s="116" t="e">
        <f>SUM(D675,F675,H675,J675)</f>
        <v>#DIV/0!</v>
      </c>
      <c r="C676" s="63" t="s">
        <v>265</v>
      </c>
      <c r="D676" s="117" t="s">
        <v>266</v>
      </c>
      <c r="E676" s="63" t="s">
        <v>265</v>
      </c>
      <c r="F676" s="117" t="s">
        <v>266</v>
      </c>
      <c r="G676" s="63" t="s">
        <v>265</v>
      </c>
      <c r="H676" s="117" t="s">
        <v>266</v>
      </c>
      <c r="I676" s="63" t="s">
        <v>265</v>
      </c>
      <c r="J676" s="117" t="s">
        <v>266</v>
      </c>
    </row>
    <row r="679" spans="1:11" x14ac:dyDescent="0.4">
      <c r="A679" s="280" t="s">
        <v>107</v>
      </c>
      <c r="B679" s="280"/>
      <c r="C679" s="280"/>
      <c r="D679" s="280"/>
      <c r="E679" s="280"/>
      <c r="F679" s="280"/>
      <c r="G679" s="280"/>
      <c r="H679" s="280"/>
      <c r="I679" s="280"/>
      <c r="J679" s="281"/>
      <c r="K679" s="108">
        <v>5</v>
      </c>
    </row>
    <row r="680" spans="1:11" ht="34.799999999999997" x14ac:dyDescent="0.4">
      <c r="A680" s="73" t="s">
        <v>267</v>
      </c>
      <c r="B680" s="73" t="s">
        <v>268</v>
      </c>
      <c r="C680" s="73" t="s">
        <v>269</v>
      </c>
      <c r="D680" s="73" t="s">
        <v>108</v>
      </c>
      <c r="E680" s="73" t="s">
        <v>109</v>
      </c>
      <c r="F680" s="74" t="s">
        <v>270</v>
      </c>
      <c r="G680" s="73" t="s">
        <v>110</v>
      </c>
      <c r="H680" s="73" t="s">
        <v>111</v>
      </c>
      <c r="I680" s="73" t="s">
        <v>112</v>
      </c>
      <c r="J680" s="73" t="s">
        <v>113</v>
      </c>
    </row>
    <row r="681" spans="1:11" x14ac:dyDescent="0.4">
      <c r="A681" s="282" t="s">
        <v>271</v>
      </c>
      <c r="B681" s="86" t="s">
        <v>114</v>
      </c>
      <c r="C681" s="75" t="s">
        <v>272</v>
      </c>
      <c r="D681" s="76">
        <v>1</v>
      </c>
      <c r="E681" s="77">
        <v>1</v>
      </c>
      <c r="F681" s="274" t="s">
        <v>273</v>
      </c>
      <c r="G681" s="75">
        <v>105.48</v>
      </c>
      <c r="H681" s="51">
        <v>25.5</v>
      </c>
      <c r="I681" s="52">
        <v>26.6</v>
      </c>
      <c r="J681" s="52">
        <v>25.947168858331978</v>
      </c>
    </row>
    <row r="682" spans="1:11" x14ac:dyDescent="0.4">
      <c r="A682" s="283"/>
      <c r="B682" s="86" t="s">
        <v>115</v>
      </c>
      <c r="C682" s="75" t="s">
        <v>274</v>
      </c>
      <c r="D682" s="76">
        <v>1</v>
      </c>
      <c r="E682" s="77">
        <v>1</v>
      </c>
      <c r="F682" s="275"/>
      <c r="G682" s="75">
        <v>105.48</v>
      </c>
      <c r="H682" s="51">
        <v>26</v>
      </c>
      <c r="I682" s="52">
        <v>27.1</v>
      </c>
      <c r="J682" s="52">
        <v>26.534160006693167</v>
      </c>
    </row>
    <row r="683" spans="1:11" x14ac:dyDescent="0.4">
      <c r="A683" s="283"/>
      <c r="B683" s="86" t="s">
        <v>116</v>
      </c>
      <c r="C683" s="75" t="s">
        <v>117</v>
      </c>
      <c r="D683" s="76">
        <v>1</v>
      </c>
      <c r="E683" s="77">
        <v>1</v>
      </c>
      <c r="F683" s="78"/>
      <c r="G683" s="75">
        <v>105.48</v>
      </c>
      <c r="H683" s="51">
        <v>26</v>
      </c>
      <c r="I683" s="52">
        <v>27.1</v>
      </c>
      <c r="J683" s="52">
        <v>26.612712003992765</v>
      </c>
    </row>
    <row r="684" spans="1:11" x14ac:dyDescent="0.4">
      <c r="A684" s="284"/>
      <c r="B684" s="86" t="s">
        <v>118</v>
      </c>
      <c r="C684" s="75" t="s">
        <v>119</v>
      </c>
      <c r="D684" s="76">
        <v>1</v>
      </c>
      <c r="E684" s="77">
        <v>1</v>
      </c>
      <c r="F684" s="78"/>
      <c r="G684" s="75">
        <v>105.48</v>
      </c>
      <c r="H684" s="51">
        <v>25.9</v>
      </c>
      <c r="I684" s="52">
        <v>27</v>
      </c>
      <c r="J684" s="52">
        <v>26.551582992080178</v>
      </c>
    </row>
    <row r="685" spans="1:11" x14ac:dyDescent="0.4">
      <c r="A685" s="282" t="s">
        <v>275</v>
      </c>
      <c r="B685" s="86" t="s">
        <v>120</v>
      </c>
      <c r="C685" s="75" t="s">
        <v>276</v>
      </c>
      <c r="D685" s="76">
        <v>1</v>
      </c>
      <c r="E685" s="77">
        <v>1</v>
      </c>
      <c r="F685" s="274" t="s">
        <v>273</v>
      </c>
      <c r="G685" s="75">
        <v>105.48</v>
      </c>
      <c r="H685" s="51">
        <v>19.5</v>
      </c>
      <c r="I685" s="52">
        <v>28</v>
      </c>
      <c r="J685" s="52">
        <v>26.562861558467784</v>
      </c>
    </row>
    <row r="686" spans="1:11" x14ac:dyDescent="0.4">
      <c r="A686" s="283"/>
      <c r="B686" s="86" t="s">
        <v>121</v>
      </c>
      <c r="C686" s="75" t="s">
        <v>277</v>
      </c>
      <c r="D686" s="76">
        <v>1</v>
      </c>
      <c r="E686" s="77">
        <v>1</v>
      </c>
      <c r="F686" s="275"/>
      <c r="G686" s="75">
        <v>105.48</v>
      </c>
      <c r="H686" s="51">
        <v>24.3</v>
      </c>
      <c r="I686" s="52">
        <v>27.7</v>
      </c>
      <c r="J686" s="52">
        <v>26.468817329979629</v>
      </c>
    </row>
    <row r="687" spans="1:11" x14ac:dyDescent="0.4">
      <c r="A687" s="283"/>
      <c r="B687" s="86" t="s">
        <v>122</v>
      </c>
      <c r="C687" s="75" t="s">
        <v>123</v>
      </c>
      <c r="D687" s="76">
        <v>1</v>
      </c>
      <c r="E687" s="77">
        <v>1</v>
      </c>
      <c r="F687" s="275"/>
      <c r="G687" s="75">
        <v>105.48</v>
      </c>
      <c r="H687" s="51">
        <v>17</v>
      </c>
      <c r="I687" s="52">
        <v>27</v>
      </c>
      <c r="J687" s="52">
        <v>21.191033060811872</v>
      </c>
    </row>
    <row r="688" spans="1:11" x14ac:dyDescent="0.4">
      <c r="A688" s="283"/>
      <c r="B688" s="86" t="s">
        <v>124</v>
      </c>
      <c r="C688" s="75" t="s">
        <v>125</v>
      </c>
      <c r="D688" s="76">
        <v>1</v>
      </c>
      <c r="E688" s="77">
        <v>1</v>
      </c>
      <c r="F688" s="275"/>
      <c r="G688" s="75">
        <v>105.48</v>
      </c>
      <c r="H688" s="51">
        <v>24.9</v>
      </c>
      <c r="I688" s="52">
        <v>27.5</v>
      </c>
      <c r="J688" s="52">
        <v>26.191250294344051</v>
      </c>
    </row>
    <row r="689" spans="1:10" x14ac:dyDescent="0.4">
      <c r="A689" s="283"/>
      <c r="B689" s="86" t="s">
        <v>126</v>
      </c>
      <c r="C689" s="75" t="s">
        <v>278</v>
      </c>
      <c r="D689" s="76">
        <v>1</v>
      </c>
      <c r="E689" s="77">
        <v>1</v>
      </c>
      <c r="F689" s="78"/>
      <c r="G689" s="75">
        <v>70.319999999999993</v>
      </c>
      <c r="H689" s="51">
        <v>13.9</v>
      </c>
      <c r="I689" s="52">
        <v>26.3</v>
      </c>
      <c r="J689" s="52">
        <v>24.473978140810075</v>
      </c>
    </row>
    <row r="690" spans="1:10" x14ac:dyDescent="0.4">
      <c r="A690" s="283"/>
      <c r="B690" s="86" t="s">
        <v>127</v>
      </c>
      <c r="C690" s="75" t="s">
        <v>128</v>
      </c>
      <c r="D690" s="76">
        <v>1</v>
      </c>
      <c r="E690" s="77">
        <v>1</v>
      </c>
      <c r="F690" s="78"/>
      <c r="G690" s="75">
        <v>70.319999999999993</v>
      </c>
      <c r="H690" s="51">
        <v>14.1</v>
      </c>
      <c r="I690" s="52">
        <v>26.1</v>
      </c>
      <c r="J690" s="52">
        <v>24.513090894548593</v>
      </c>
    </row>
    <row r="691" spans="1:10" x14ac:dyDescent="0.4">
      <c r="A691" s="284"/>
      <c r="B691" s="86" t="s">
        <v>129</v>
      </c>
      <c r="C691" s="75" t="s">
        <v>130</v>
      </c>
      <c r="D691" s="76">
        <v>1</v>
      </c>
      <c r="E691" s="77">
        <v>1</v>
      </c>
      <c r="F691" s="78"/>
      <c r="G691" s="75">
        <v>70.319999999999993</v>
      </c>
      <c r="H691" s="51">
        <v>14.8</v>
      </c>
      <c r="I691" s="52">
        <v>26</v>
      </c>
      <c r="J691" s="52">
        <v>24.625210701474238</v>
      </c>
    </row>
    <row r="692" spans="1:10" x14ac:dyDescent="0.4">
      <c r="A692" s="273" t="s">
        <v>279</v>
      </c>
      <c r="B692" s="86" t="s">
        <v>131</v>
      </c>
      <c r="C692" s="75" t="s">
        <v>280</v>
      </c>
      <c r="D692" s="76">
        <v>1</v>
      </c>
      <c r="E692" s="77">
        <v>1</v>
      </c>
      <c r="F692" s="274" t="s">
        <v>273</v>
      </c>
      <c r="G692" s="75">
        <v>105.48</v>
      </c>
      <c r="H692" s="51">
        <v>24</v>
      </c>
      <c r="I692" s="52">
        <v>25.5</v>
      </c>
      <c r="J692" s="52">
        <v>24.86613436981952</v>
      </c>
    </row>
    <row r="693" spans="1:10" x14ac:dyDescent="0.4">
      <c r="A693" s="273"/>
      <c r="B693" s="86" t="s">
        <v>132</v>
      </c>
      <c r="C693" s="75" t="s">
        <v>133</v>
      </c>
      <c r="D693" s="76">
        <v>1</v>
      </c>
      <c r="E693" s="77">
        <v>1</v>
      </c>
      <c r="F693" s="275"/>
      <c r="G693" s="75">
        <v>105.48</v>
      </c>
      <c r="H693" s="51">
        <v>24.4</v>
      </c>
      <c r="I693" s="52">
        <v>25.9</v>
      </c>
      <c r="J693" s="52">
        <v>25.221151651472233</v>
      </c>
    </row>
    <row r="694" spans="1:10" x14ac:dyDescent="0.4">
      <c r="A694" s="273"/>
      <c r="B694" s="86" t="s">
        <v>134</v>
      </c>
      <c r="C694" s="75" t="s">
        <v>135</v>
      </c>
      <c r="D694" s="76">
        <v>1</v>
      </c>
      <c r="E694" s="77">
        <v>1</v>
      </c>
      <c r="F694" s="275"/>
      <c r="G694" s="79">
        <v>105.48</v>
      </c>
      <c r="H694" s="51">
        <v>24.5</v>
      </c>
      <c r="I694" s="52">
        <v>26.4</v>
      </c>
      <c r="J694" s="52">
        <v>25.252246982879878</v>
      </c>
    </row>
    <row r="695" spans="1:10" x14ac:dyDescent="0.4">
      <c r="A695" s="273"/>
      <c r="B695" s="86" t="s">
        <v>136</v>
      </c>
      <c r="C695" s="75" t="s">
        <v>137</v>
      </c>
      <c r="D695" s="76">
        <v>1</v>
      </c>
      <c r="E695" s="77">
        <v>1</v>
      </c>
      <c r="F695" s="275"/>
      <c r="G695" s="79">
        <v>105.48</v>
      </c>
      <c r="H695" s="51">
        <v>24.1</v>
      </c>
      <c r="I695" s="52">
        <v>26</v>
      </c>
      <c r="J695" s="52">
        <v>24.844128275320063</v>
      </c>
    </row>
    <row r="696" spans="1:10" x14ac:dyDescent="0.4">
      <c r="A696" s="273"/>
      <c r="B696" s="86" t="s">
        <v>138</v>
      </c>
      <c r="C696" s="75" t="s">
        <v>281</v>
      </c>
      <c r="D696" s="76">
        <v>0</v>
      </c>
      <c r="E696" s="77">
        <v>1</v>
      </c>
      <c r="F696" s="274" t="s">
        <v>282</v>
      </c>
      <c r="G696" s="75">
        <v>32.549999999999997</v>
      </c>
      <c r="H696" s="111">
        <v>25.3</v>
      </c>
      <c r="I696" s="111">
        <v>33.5</v>
      </c>
      <c r="J696" s="111">
        <v>32.598777177207168</v>
      </c>
    </row>
    <row r="697" spans="1:10" x14ac:dyDescent="0.4">
      <c r="A697" s="273"/>
      <c r="B697" s="86" t="s">
        <v>139</v>
      </c>
      <c r="C697" s="75" t="s">
        <v>140</v>
      </c>
      <c r="D697" s="76">
        <v>0</v>
      </c>
      <c r="E697" s="77">
        <v>1</v>
      </c>
      <c r="F697" s="276"/>
      <c r="G697" s="75">
        <v>32.549999999999997</v>
      </c>
      <c r="H697" s="112">
        <v>23.4</v>
      </c>
      <c r="I697" s="112">
        <v>27.2</v>
      </c>
      <c r="J697" s="112">
        <v>26.023714421315294</v>
      </c>
    </row>
    <row r="698" spans="1:10" x14ac:dyDescent="0.4">
      <c r="A698" s="273"/>
      <c r="B698" s="86" t="s">
        <v>141</v>
      </c>
      <c r="C698" s="75" t="s">
        <v>283</v>
      </c>
      <c r="D698" s="76">
        <v>0</v>
      </c>
      <c r="E698" s="77">
        <v>1</v>
      </c>
      <c r="F698" s="274" t="s">
        <v>282</v>
      </c>
      <c r="G698" s="75">
        <v>32.549999999999997</v>
      </c>
      <c r="H698" s="112">
        <v>21.8</v>
      </c>
      <c r="I698" s="112">
        <v>32.700000000000003</v>
      </c>
      <c r="J698" s="112">
        <v>31.101890811719603</v>
      </c>
    </row>
    <row r="699" spans="1:10" x14ac:dyDescent="0.4">
      <c r="A699" s="273"/>
      <c r="B699" s="86" t="s">
        <v>142</v>
      </c>
      <c r="C699" s="75" t="s">
        <v>143</v>
      </c>
      <c r="D699" s="76">
        <v>1</v>
      </c>
      <c r="E699" s="77">
        <v>1</v>
      </c>
      <c r="F699" s="275"/>
      <c r="G699" s="75">
        <v>32.549999999999997</v>
      </c>
      <c r="H699" s="53">
        <v>22.5</v>
      </c>
      <c r="I699" s="53">
        <v>27.8</v>
      </c>
      <c r="J699" s="53">
        <v>26.137480201432698</v>
      </c>
    </row>
    <row r="700" spans="1:10" x14ac:dyDescent="0.4">
      <c r="A700" s="273"/>
      <c r="B700" s="86" t="s">
        <v>144</v>
      </c>
      <c r="C700" s="75" t="s">
        <v>145</v>
      </c>
      <c r="D700" s="76">
        <v>0</v>
      </c>
      <c r="E700" s="77">
        <v>1</v>
      </c>
      <c r="F700" s="275"/>
      <c r="G700" s="75">
        <v>32.549999999999997</v>
      </c>
      <c r="H700" s="112">
        <v>17.8</v>
      </c>
      <c r="I700" s="112">
        <v>29.5</v>
      </c>
      <c r="J700" s="112">
        <v>27.936542597126117</v>
      </c>
    </row>
    <row r="701" spans="1:10" x14ac:dyDescent="0.4">
      <c r="A701" s="273"/>
      <c r="B701" s="86" t="s">
        <v>146</v>
      </c>
      <c r="C701" s="75" t="s">
        <v>147</v>
      </c>
      <c r="D701" s="76">
        <v>1</v>
      </c>
      <c r="E701" s="77">
        <v>1</v>
      </c>
      <c r="F701" s="275"/>
      <c r="G701" s="75">
        <v>32.549999999999997</v>
      </c>
      <c r="H701" s="53">
        <v>21.4</v>
      </c>
      <c r="I701" s="53">
        <v>26.9</v>
      </c>
      <c r="J701" s="53">
        <v>24.703474713280034</v>
      </c>
    </row>
    <row r="702" spans="1:10" x14ac:dyDescent="0.4">
      <c r="A702" s="273"/>
      <c r="B702" s="86" t="s">
        <v>148</v>
      </c>
      <c r="C702" s="75" t="s">
        <v>149</v>
      </c>
      <c r="D702" s="76">
        <v>0</v>
      </c>
      <c r="E702" s="77">
        <v>1</v>
      </c>
      <c r="F702" s="275"/>
      <c r="G702" s="75">
        <v>32.549999999999997</v>
      </c>
      <c r="H702" s="53">
        <v>20.3</v>
      </c>
      <c r="I702" s="53">
        <v>24.4</v>
      </c>
      <c r="J702" s="53">
        <v>21.562160054259266</v>
      </c>
    </row>
    <row r="703" spans="1:10" x14ac:dyDescent="0.4">
      <c r="A703" s="273"/>
      <c r="B703" s="86" t="s">
        <v>150</v>
      </c>
      <c r="C703" s="75" t="s">
        <v>151</v>
      </c>
      <c r="D703" s="76">
        <v>1</v>
      </c>
      <c r="E703" s="77">
        <v>1</v>
      </c>
      <c r="F703" s="275"/>
      <c r="G703" s="75">
        <v>32.549999999999997</v>
      </c>
      <c r="H703" s="53">
        <v>21.2</v>
      </c>
      <c r="I703" s="53">
        <v>24.2</v>
      </c>
      <c r="J703" s="53">
        <v>23.427404201133758</v>
      </c>
    </row>
    <row r="704" spans="1:10" x14ac:dyDescent="0.4">
      <c r="A704" s="273"/>
      <c r="B704" s="86" t="s">
        <v>152</v>
      </c>
      <c r="C704" s="75" t="s">
        <v>153</v>
      </c>
      <c r="D704" s="76">
        <v>0</v>
      </c>
      <c r="E704" s="77">
        <v>1</v>
      </c>
      <c r="F704" s="275"/>
      <c r="G704" s="75">
        <v>32.549999999999997</v>
      </c>
      <c r="H704" s="112"/>
      <c r="I704" s="112"/>
      <c r="J704" s="112"/>
    </row>
    <row r="705" spans="1:10" x14ac:dyDescent="0.4">
      <c r="A705" s="273"/>
      <c r="B705" s="86" t="s">
        <v>154</v>
      </c>
      <c r="C705" s="75" t="s">
        <v>155</v>
      </c>
      <c r="D705" s="76">
        <v>0</v>
      </c>
      <c r="E705" s="77">
        <v>1</v>
      </c>
      <c r="F705" s="275"/>
      <c r="G705" s="75">
        <v>32.549999999999997</v>
      </c>
      <c r="H705" s="112">
        <v>18.399999999999999</v>
      </c>
      <c r="I705" s="112">
        <v>99.5</v>
      </c>
      <c r="J705" s="112">
        <v>22.382754481136075</v>
      </c>
    </row>
    <row r="706" spans="1:10" x14ac:dyDescent="0.4">
      <c r="A706" s="273"/>
      <c r="B706" s="86" t="s">
        <v>156</v>
      </c>
      <c r="C706" s="75" t="s">
        <v>157</v>
      </c>
      <c r="D706" s="76">
        <v>0</v>
      </c>
      <c r="E706" s="77">
        <v>1</v>
      </c>
      <c r="F706" s="275"/>
      <c r="G706" s="75">
        <v>32.549999999999997</v>
      </c>
      <c r="H706" s="112">
        <v>18.399999999999999</v>
      </c>
      <c r="I706" s="112">
        <v>25.1</v>
      </c>
      <c r="J706" s="112">
        <v>23.977183057851555</v>
      </c>
    </row>
    <row r="707" spans="1:10" x14ac:dyDescent="0.4">
      <c r="A707" s="273"/>
      <c r="B707" s="86" t="s">
        <v>158</v>
      </c>
      <c r="C707" s="75" t="s">
        <v>159</v>
      </c>
      <c r="D707" s="76">
        <v>0</v>
      </c>
      <c r="E707" s="77">
        <v>1</v>
      </c>
      <c r="F707" s="275"/>
      <c r="G707" s="75">
        <v>32.549999999999997</v>
      </c>
      <c r="H707" s="112">
        <v>17.7</v>
      </c>
      <c r="I707" s="112">
        <v>29.2</v>
      </c>
      <c r="J707" s="112">
        <v>21.609415322508042</v>
      </c>
    </row>
    <row r="708" spans="1:10" x14ac:dyDescent="0.4">
      <c r="A708" s="273"/>
      <c r="B708" s="86" t="s">
        <v>160</v>
      </c>
      <c r="C708" s="75" t="s">
        <v>161</v>
      </c>
      <c r="D708" s="76">
        <v>0</v>
      </c>
      <c r="E708" s="77">
        <v>1</v>
      </c>
      <c r="F708" s="275"/>
      <c r="G708" s="75">
        <v>32.549999999999997</v>
      </c>
      <c r="H708" s="112">
        <v>21.2</v>
      </c>
      <c r="I708" s="112">
        <v>25.6</v>
      </c>
      <c r="J708" s="112">
        <v>22.483006882817978</v>
      </c>
    </row>
    <row r="709" spans="1:10" x14ac:dyDescent="0.4">
      <c r="A709" s="273"/>
      <c r="B709" s="86" t="s">
        <v>162</v>
      </c>
      <c r="C709" s="75" t="s">
        <v>163</v>
      </c>
      <c r="D709" s="76">
        <v>0</v>
      </c>
      <c r="E709" s="77">
        <v>1</v>
      </c>
      <c r="F709" s="276"/>
      <c r="G709" s="75">
        <v>32.549999999999997</v>
      </c>
      <c r="H709" s="112">
        <v>19</v>
      </c>
      <c r="I709" s="112">
        <v>23.8</v>
      </c>
      <c r="J709" s="112">
        <v>21.875528539539498</v>
      </c>
    </row>
    <row r="710" spans="1:10" x14ac:dyDescent="0.4">
      <c r="A710" s="273"/>
      <c r="B710" s="86" t="s">
        <v>164</v>
      </c>
      <c r="C710" s="75" t="s">
        <v>284</v>
      </c>
      <c r="D710" s="76">
        <v>0</v>
      </c>
      <c r="E710" s="77">
        <v>1</v>
      </c>
      <c r="F710" s="274" t="s">
        <v>282</v>
      </c>
      <c r="G710" s="75">
        <v>24.4</v>
      </c>
      <c r="H710" s="112">
        <v>27.5</v>
      </c>
      <c r="I710" s="112">
        <v>30</v>
      </c>
      <c r="J710" s="112">
        <v>28.669886471256667</v>
      </c>
    </row>
    <row r="711" spans="1:10" x14ac:dyDescent="0.4">
      <c r="A711" s="273"/>
      <c r="B711" s="86" t="s">
        <v>165</v>
      </c>
      <c r="C711" s="75" t="s">
        <v>166</v>
      </c>
      <c r="D711" s="76">
        <v>0</v>
      </c>
      <c r="E711" s="77">
        <v>1</v>
      </c>
      <c r="F711" s="276"/>
      <c r="G711" s="75">
        <v>24.4</v>
      </c>
      <c r="H711" s="112">
        <v>26</v>
      </c>
      <c r="I711" s="112">
        <v>28.5</v>
      </c>
      <c r="J711" s="112">
        <v>27.101774468195114</v>
      </c>
    </row>
    <row r="712" spans="1:10" x14ac:dyDescent="0.4">
      <c r="A712" s="273" t="s">
        <v>285</v>
      </c>
      <c r="B712" s="86" t="s">
        <v>167</v>
      </c>
      <c r="C712" s="75" t="s">
        <v>286</v>
      </c>
      <c r="D712" s="76">
        <v>1</v>
      </c>
      <c r="E712" s="77">
        <v>1</v>
      </c>
      <c r="F712" s="274" t="s">
        <v>273</v>
      </c>
      <c r="G712" s="75">
        <v>105.48</v>
      </c>
      <c r="H712" s="51">
        <v>24.8</v>
      </c>
      <c r="I712" s="53">
        <v>26</v>
      </c>
      <c r="J712" s="53">
        <v>25.5657765485998</v>
      </c>
    </row>
    <row r="713" spans="1:10" x14ac:dyDescent="0.4">
      <c r="A713" s="273"/>
      <c r="B713" s="86" t="s">
        <v>168</v>
      </c>
      <c r="C713" s="75" t="s">
        <v>169</v>
      </c>
      <c r="D713" s="76">
        <v>1</v>
      </c>
      <c r="E713" s="77">
        <v>1</v>
      </c>
      <c r="F713" s="275"/>
      <c r="G713" s="75">
        <v>105.48</v>
      </c>
      <c r="H713" s="51">
        <v>24.6</v>
      </c>
      <c r="I713" s="54">
        <v>25.8</v>
      </c>
      <c r="J713" s="54">
        <v>25.342871866513704</v>
      </c>
    </row>
    <row r="714" spans="1:10" x14ac:dyDescent="0.4">
      <c r="A714" s="273"/>
      <c r="B714" s="86" t="s">
        <v>170</v>
      </c>
      <c r="C714" s="75" t="s">
        <v>171</v>
      </c>
      <c r="D714" s="76">
        <v>1</v>
      </c>
      <c r="E714" s="77">
        <v>1</v>
      </c>
      <c r="F714" s="275"/>
      <c r="G714" s="75">
        <v>105.48</v>
      </c>
      <c r="H714" s="51">
        <v>23.9</v>
      </c>
      <c r="I714" s="52">
        <v>25.8</v>
      </c>
      <c r="J714" s="52">
        <v>24.947314233142599</v>
      </c>
    </row>
    <row r="715" spans="1:10" x14ac:dyDescent="0.4">
      <c r="A715" s="273"/>
      <c r="B715" s="86" t="s">
        <v>172</v>
      </c>
      <c r="C715" s="75" t="s">
        <v>173</v>
      </c>
      <c r="D715" s="76">
        <v>1</v>
      </c>
      <c r="E715" s="77">
        <v>1</v>
      </c>
      <c r="F715" s="275"/>
      <c r="G715" s="75">
        <v>105.48</v>
      </c>
      <c r="H715" s="51">
        <v>24</v>
      </c>
      <c r="I715" s="52">
        <v>25.7</v>
      </c>
      <c r="J715" s="52">
        <v>24.962164505328346</v>
      </c>
    </row>
    <row r="716" spans="1:10" x14ac:dyDescent="0.4">
      <c r="A716" s="273"/>
      <c r="B716" s="86" t="s">
        <v>174</v>
      </c>
      <c r="C716" s="75" t="s">
        <v>287</v>
      </c>
      <c r="D716" s="76">
        <v>1</v>
      </c>
      <c r="E716" s="77">
        <v>1</v>
      </c>
      <c r="F716" s="275"/>
      <c r="G716" s="75">
        <v>65</v>
      </c>
      <c r="H716" s="55">
        <v>26.1</v>
      </c>
      <c r="I716" s="55">
        <v>28.3</v>
      </c>
      <c r="J716" s="55">
        <v>27.236223419018422</v>
      </c>
    </row>
    <row r="717" spans="1:10" x14ac:dyDescent="0.4">
      <c r="A717" s="273"/>
      <c r="B717" s="86" t="s">
        <v>175</v>
      </c>
      <c r="C717" s="75" t="s">
        <v>176</v>
      </c>
      <c r="D717" s="76">
        <v>1</v>
      </c>
      <c r="E717" s="77">
        <v>1</v>
      </c>
      <c r="F717" s="276"/>
      <c r="G717" s="75">
        <v>65</v>
      </c>
      <c r="H717" s="55">
        <v>24</v>
      </c>
      <c r="I717" s="55">
        <v>26</v>
      </c>
      <c r="J717" s="55">
        <v>24.516666666666666</v>
      </c>
    </row>
    <row r="718" spans="1:10" x14ac:dyDescent="0.4">
      <c r="A718" s="273"/>
      <c r="B718" s="86" t="s">
        <v>177</v>
      </c>
      <c r="C718" s="75" t="s">
        <v>288</v>
      </c>
      <c r="D718" s="76">
        <v>1</v>
      </c>
      <c r="E718" s="77">
        <v>1</v>
      </c>
      <c r="F718" s="274" t="s">
        <v>282</v>
      </c>
      <c r="G718" s="75">
        <v>16.3</v>
      </c>
      <c r="H718" s="55">
        <v>23.5</v>
      </c>
      <c r="I718" s="55">
        <v>26</v>
      </c>
      <c r="J718" s="55">
        <v>24.533991418670009</v>
      </c>
    </row>
    <row r="719" spans="1:10" x14ac:dyDescent="0.4">
      <c r="A719" s="273"/>
      <c r="B719" s="86" t="s">
        <v>178</v>
      </c>
      <c r="C719" s="75" t="s">
        <v>179</v>
      </c>
      <c r="D719" s="76">
        <v>1</v>
      </c>
      <c r="E719" s="77">
        <v>1</v>
      </c>
      <c r="F719" s="275"/>
      <c r="G719" s="75">
        <v>16.3</v>
      </c>
      <c r="H719" s="55">
        <v>21</v>
      </c>
      <c r="I719" s="55">
        <v>24.5</v>
      </c>
      <c r="J719" s="55">
        <v>22.917691723309261</v>
      </c>
    </row>
    <row r="720" spans="1:10" x14ac:dyDescent="0.4">
      <c r="A720" s="273"/>
      <c r="B720" s="86" t="s">
        <v>180</v>
      </c>
      <c r="C720" s="75" t="s">
        <v>181</v>
      </c>
      <c r="D720" s="76">
        <v>1</v>
      </c>
      <c r="E720" s="77">
        <v>1</v>
      </c>
      <c r="F720" s="275"/>
      <c r="G720" s="75">
        <v>16.3</v>
      </c>
      <c r="H720" s="55">
        <v>18</v>
      </c>
      <c r="I720" s="55">
        <v>29.5</v>
      </c>
      <c r="J720" s="55">
        <v>26.953550372958549</v>
      </c>
    </row>
    <row r="721" spans="1:10" x14ac:dyDescent="0.4">
      <c r="A721" s="273"/>
      <c r="B721" s="86" t="s">
        <v>289</v>
      </c>
      <c r="C721" s="75" t="s">
        <v>182</v>
      </c>
      <c r="D721" s="76">
        <v>1</v>
      </c>
      <c r="E721" s="77">
        <v>1</v>
      </c>
      <c r="F721" s="276"/>
      <c r="G721" s="75">
        <v>35</v>
      </c>
      <c r="H721" s="55">
        <v>24</v>
      </c>
      <c r="I721" s="55">
        <v>26</v>
      </c>
      <c r="J721" s="55">
        <v>24.855475787683329</v>
      </c>
    </row>
    <row r="722" spans="1:10" x14ac:dyDescent="0.4">
      <c r="H722" s="65">
        <f>AVERAGE(H681:H695,H701:H703,H712:H721)</f>
        <v>22.346428571428572</v>
      </c>
      <c r="I722" s="65">
        <f t="shared" ref="I722" si="4">AVERAGE(I681:I695,I701:I703,I712:I721)</f>
        <v>26.403571428571421</v>
      </c>
      <c r="J722" s="113">
        <f>AVERAGE(J681:J695,J701:J703,J712:J721,J699)</f>
        <v>25.086819752862844</v>
      </c>
    </row>
    <row r="723" spans="1:10" x14ac:dyDescent="0.4">
      <c r="J723" s="64" t="s">
        <v>261</v>
      </c>
    </row>
    <row r="724" spans="1:10" x14ac:dyDescent="0.4">
      <c r="A724" s="280" t="s">
        <v>183</v>
      </c>
      <c r="B724" s="280"/>
      <c r="C724" s="280"/>
      <c r="D724" s="280"/>
      <c r="E724" s="280"/>
      <c r="F724" s="280"/>
      <c r="G724" s="280"/>
      <c r="H724" s="280"/>
      <c r="I724" s="280"/>
      <c r="J724" s="281"/>
    </row>
    <row r="725" spans="1:10" ht="34.799999999999997" x14ac:dyDescent="0.4">
      <c r="A725" s="73" t="s">
        <v>267</v>
      </c>
      <c r="B725" s="73" t="s">
        <v>268</v>
      </c>
      <c r="C725" s="73" t="s">
        <v>269</v>
      </c>
      <c r="D725" s="73" t="s">
        <v>108</v>
      </c>
      <c r="E725" s="73" t="s">
        <v>109</v>
      </c>
      <c r="F725" s="74" t="s">
        <v>270</v>
      </c>
      <c r="G725" s="73" t="s">
        <v>110</v>
      </c>
      <c r="H725" s="73" t="s">
        <v>184</v>
      </c>
      <c r="I725" s="73" t="s">
        <v>185</v>
      </c>
      <c r="J725" s="73" t="s">
        <v>186</v>
      </c>
    </row>
    <row r="726" spans="1:10" x14ac:dyDescent="0.4">
      <c r="A726" s="285" t="s">
        <v>271</v>
      </c>
      <c r="B726" s="87" t="s">
        <v>114</v>
      </c>
      <c r="C726" s="88" t="s">
        <v>272</v>
      </c>
      <c r="D726" s="89">
        <v>1</v>
      </c>
      <c r="E726" s="88">
        <v>1</v>
      </c>
      <c r="F726" s="274" t="s">
        <v>273</v>
      </c>
      <c r="G726" s="75">
        <v>105.48</v>
      </c>
      <c r="H726" s="56">
        <v>24.1</v>
      </c>
      <c r="I726" s="57">
        <v>46.6</v>
      </c>
      <c r="J726" s="57">
        <v>36.875899645011756</v>
      </c>
    </row>
    <row r="727" spans="1:10" x14ac:dyDescent="0.4">
      <c r="A727" s="286"/>
      <c r="B727" s="87" t="s">
        <v>115</v>
      </c>
      <c r="C727" s="88" t="s">
        <v>274</v>
      </c>
      <c r="D727" s="89">
        <v>1</v>
      </c>
      <c r="E727" s="88">
        <v>1</v>
      </c>
      <c r="F727" s="275"/>
      <c r="G727" s="75">
        <v>105.48</v>
      </c>
      <c r="H727" s="56">
        <v>24.5</v>
      </c>
      <c r="I727" s="57">
        <v>46.8</v>
      </c>
      <c r="J727" s="57">
        <v>37.004108173574643</v>
      </c>
    </row>
    <row r="728" spans="1:10" x14ac:dyDescent="0.4">
      <c r="A728" s="286"/>
      <c r="B728" s="87" t="s">
        <v>116</v>
      </c>
      <c r="C728" s="88" t="s">
        <v>117</v>
      </c>
      <c r="D728" s="89">
        <v>1</v>
      </c>
      <c r="E728" s="88">
        <v>1</v>
      </c>
      <c r="F728" s="78"/>
      <c r="G728" s="75">
        <v>105.48</v>
      </c>
      <c r="H728" s="56">
        <v>25.7</v>
      </c>
      <c r="I728" s="57">
        <v>45.6</v>
      </c>
      <c r="J728" s="57">
        <v>36.984516441492424</v>
      </c>
    </row>
    <row r="729" spans="1:10" x14ac:dyDescent="0.4">
      <c r="A729" s="287"/>
      <c r="B729" s="87" t="s">
        <v>118</v>
      </c>
      <c r="C729" s="88" t="s">
        <v>119</v>
      </c>
      <c r="D729" s="89">
        <v>1</v>
      </c>
      <c r="E729" s="88">
        <v>1</v>
      </c>
      <c r="F729" s="78"/>
      <c r="G729" s="75">
        <v>105.48</v>
      </c>
      <c r="H729" s="56">
        <v>23.2</v>
      </c>
      <c r="I729" s="57">
        <v>44.2</v>
      </c>
      <c r="J729" s="57">
        <v>35.156717090807682</v>
      </c>
    </row>
    <row r="730" spans="1:10" x14ac:dyDescent="0.4">
      <c r="A730" s="273" t="s">
        <v>275</v>
      </c>
      <c r="B730" s="86" t="s">
        <v>120</v>
      </c>
      <c r="C730" s="75" t="s">
        <v>276</v>
      </c>
      <c r="D730" s="76">
        <v>1</v>
      </c>
      <c r="E730" s="77">
        <v>1</v>
      </c>
      <c r="F730" s="274" t="s">
        <v>273</v>
      </c>
      <c r="G730" s="75">
        <v>105.48</v>
      </c>
      <c r="H730" s="56">
        <v>22.8</v>
      </c>
      <c r="I730" s="57">
        <v>73.8</v>
      </c>
      <c r="J730" s="57">
        <v>37.251804931220235</v>
      </c>
    </row>
    <row r="731" spans="1:10" x14ac:dyDescent="0.4">
      <c r="A731" s="273"/>
      <c r="B731" s="86" t="s">
        <v>121</v>
      </c>
      <c r="C731" s="75" t="s">
        <v>277</v>
      </c>
      <c r="D731" s="76">
        <v>1</v>
      </c>
      <c r="E731" s="77">
        <v>1</v>
      </c>
      <c r="F731" s="275"/>
      <c r="G731" s="75">
        <v>105.48</v>
      </c>
      <c r="H731" s="56">
        <v>22.8</v>
      </c>
      <c r="I731" s="57">
        <v>53.2</v>
      </c>
      <c r="J731" s="57">
        <v>37.175433774739822</v>
      </c>
    </row>
    <row r="732" spans="1:10" x14ac:dyDescent="0.4">
      <c r="A732" s="273"/>
      <c r="B732" s="86" t="s">
        <v>122</v>
      </c>
      <c r="C732" s="75" t="s">
        <v>123</v>
      </c>
      <c r="D732" s="76">
        <v>1</v>
      </c>
      <c r="E732" s="77">
        <v>1</v>
      </c>
      <c r="F732" s="275"/>
      <c r="G732" s="75">
        <v>105.48</v>
      </c>
      <c r="H732" s="56">
        <v>37.299999999999997</v>
      </c>
      <c r="I732" s="57">
        <v>66</v>
      </c>
      <c r="J732" s="57">
        <v>49.840352179488214</v>
      </c>
    </row>
    <row r="733" spans="1:10" x14ac:dyDescent="0.4">
      <c r="A733" s="273"/>
      <c r="B733" s="86" t="s">
        <v>124</v>
      </c>
      <c r="C733" s="75" t="s">
        <v>125</v>
      </c>
      <c r="D733" s="76">
        <v>1</v>
      </c>
      <c r="E733" s="77">
        <v>1</v>
      </c>
      <c r="F733" s="275"/>
      <c r="G733" s="75">
        <v>105.48</v>
      </c>
      <c r="H733" s="56">
        <v>24</v>
      </c>
      <c r="I733" s="57">
        <v>47.5</v>
      </c>
      <c r="J733" s="57">
        <v>40.07350006711988</v>
      </c>
    </row>
    <row r="734" spans="1:10" x14ac:dyDescent="0.4">
      <c r="A734" s="273" t="s">
        <v>279</v>
      </c>
      <c r="B734" s="86" t="s">
        <v>131</v>
      </c>
      <c r="C734" s="75" t="s">
        <v>280</v>
      </c>
      <c r="D734" s="76">
        <v>1</v>
      </c>
      <c r="E734" s="77">
        <v>1</v>
      </c>
      <c r="F734" s="274" t="s">
        <v>273</v>
      </c>
      <c r="G734" s="75">
        <v>105.48</v>
      </c>
      <c r="H734" s="56">
        <v>22.5</v>
      </c>
      <c r="I734" s="57">
        <v>45.8</v>
      </c>
      <c r="J734" s="57">
        <v>38.195485835971027</v>
      </c>
    </row>
    <row r="735" spans="1:10" x14ac:dyDescent="0.4">
      <c r="A735" s="273"/>
      <c r="B735" s="86" t="s">
        <v>132</v>
      </c>
      <c r="C735" s="75" t="s">
        <v>133</v>
      </c>
      <c r="D735" s="76">
        <v>1</v>
      </c>
      <c r="E735" s="77">
        <v>1</v>
      </c>
      <c r="F735" s="275"/>
      <c r="G735" s="75">
        <v>105.48</v>
      </c>
      <c r="H735" s="56">
        <v>21.9</v>
      </c>
      <c r="I735" s="57">
        <v>44.3</v>
      </c>
      <c r="J735" s="57">
        <v>37.074655494835682</v>
      </c>
    </row>
    <row r="736" spans="1:10" x14ac:dyDescent="0.4">
      <c r="A736" s="273"/>
      <c r="B736" s="86" t="s">
        <v>134</v>
      </c>
      <c r="C736" s="75" t="s">
        <v>135</v>
      </c>
      <c r="D736" s="76">
        <v>1</v>
      </c>
      <c r="E736" s="77">
        <v>1</v>
      </c>
      <c r="F736" s="275"/>
      <c r="G736" s="79">
        <v>105.48</v>
      </c>
      <c r="H736" s="56">
        <v>20.9</v>
      </c>
      <c r="I736" s="57">
        <v>39.5</v>
      </c>
      <c r="J736" s="57">
        <v>34.962139230837934</v>
      </c>
    </row>
    <row r="737" spans="1:10" x14ac:dyDescent="0.4">
      <c r="A737" s="273"/>
      <c r="B737" s="86" t="s">
        <v>136</v>
      </c>
      <c r="C737" s="75" t="s">
        <v>137</v>
      </c>
      <c r="D737" s="76">
        <v>1</v>
      </c>
      <c r="E737" s="77">
        <v>1</v>
      </c>
      <c r="F737" s="275"/>
      <c r="G737" s="79">
        <v>105.48</v>
      </c>
      <c r="H737" s="56">
        <v>21.5</v>
      </c>
      <c r="I737" s="57">
        <v>40.6</v>
      </c>
      <c r="J737" s="57">
        <v>35.881135303974233</v>
      </c>
    </row>
    <row r="738" spans="1:10" x14ac:dyDescent="0.4">
      <c r="A738" s="273"/>
      <c r="B738" s="86" t="s">
        <v>138</v>
      </c>
      <c r="C738" s="75" t="s">
        <v>281</v>
      </c>
      <c r="D738" s="75">
        <v>0</v>
      </c>
      <c r="E738" s="77">
        <v>1</v>
      </c>
      <c r="F738" s="77">
        <v>1</v>
      </c>
      <c r="G738" s="75">
        <v>32.549999999999997</v>
      </c>
      <c r="H738" s="58">
        <v>25.8</v>
      </c>
      <c r="I738" s="58">
        <v>31.6</v>
      </c>
      <c r="J738" s="58">
        <v>26.354365316483779</v>
      </c>
    </row>
    <row r="739" spans="1:10" x14ac:dyDescent="0.4">
      <c r="A739" s="273"/>
      <c r="B739" s="86" t="s">
        <v>139</v>
      </c>
      <c r="C739" s="75" t="s">
        <v>140</v>
      </c>
      <c r="D739" s="75">
        <v>0</v>
      </c>
      <c r="E739" s="77">
        <v>1</v>
      </c>
      <c r="F739" s="77">
        <v>1</v>
      </c>
      <c r="G739" s="75">
        <v>32.549999999999997</v>
      </c>
      <c r="H739" s="59">
        <v>27.8</v>
      </c>
      <c r="I739" s="59">
        <v>30.6</v>
      </c>
      <c r="J739" s="59">
        <v>28.507460941612955</v>
      </c>
    </row>
    <row r="740" spans="1:10" x14ac:dyDescent="0.4">
      <c r="A740" s="273"/>
      <c r="B740" s="86" t="s">
        <v>141</v>
      </c>
      <c r="C740" s="75" t="s">
        <v>283</v>
      </c>
      <c r="D740" s="75">
        <v>0</v>
      </c>
      <c r="E740" s="77">
        <v>1</v>
      </c>
      <c r="F740" s="77">
        <v>1</v>
      </c>
      <c r="G740" s="75">
        <v>32.549999999999997</v>
      </c>
      <c r="H740" s="59">
        <v>24.4</v>
      </c>
      <c r="I740" s="59">
        <v>31.6</v>
      </c>
      <c r="J740" s="59">
        <v>25.308625390828567</v>
      </c>
    </row>
    <row r="741" spans="1:10" x14ac:dyDescent="0.4">
      <c r="A741" s="273"/>
      <c r="B741" s="86" t="s">
        <v>142</v>
      </c>
      <c r="C741" s="75" t="s">
        <v>143</v>
      </c>
      <c r="D741" s="75">
        <v>1</v>
      </c>
      <c r="E741" s="77">
        <v>1</v>
      </c>
      <c r="F741" s="77">
        <v>1</v>
      </c>
      <c r="G741" s="75">
        <v>32.549999999999997</v>
      </c>
      <c r="H741" s="60">
        <v>29</v>
      </c>
      <c r="I741" s="60">
        <v>32.799999999999997</v>
      </c>
      <c r="J741" s="60">
        <v>30.690526910212576</v>
      </c>
    </row>
    <row r="742" spans="1:10" x14ac:dyDescent="0.4">
      <c r="A742" s="273"/>
      <c r="B742" s="86" t="s">
        <v>144</v>
      </c>
      <c r="C742" s="75" t="s">
        <v>145</v>
      </c>
      <c r="D742" s="75">
        <v>0</v>
      </c>
      <c r="E742" s="77">
        <v>1</v>
      </c>
      <c r="F742" s="77">
        <v>1</v>
      </c>
      <c r="G742" s="75">
        <v>32.549999999999997</v>
      </c>
      <c r="H742" s="59">
        <v>24.4</v>
      </c>
      <c r="I742" s="59">
        <v>32.5</v>
      </c>
      <c r="J742" s="59">
        <v>25.450364206403666</v>
      </c>
    </row>
    <row r="743" spans="1:10" x14ac:dyDescent="0.4">
      <c r="A743" s="273"/>
      <c r="B743" s="86" t="s">
        <v>146</v>
      </c>
      <c r="C743" s="75" t="s">
        <v>147</v>
      </c>
      <c r="D743" s="75">
        <v>1</v>
      </c>
      <c r="E743" s="77">
        <v>1</v>
      </c>
      <c r="F743" s="77">
        <v>1</v>
      </c>
      <c r="G743" s="75">
        <v>32.549999999999997</v>
      </c>
      <c r="H743" s="60">
        <v>28.6</v>
      </c>
      <c r="I743" s="60">
        <v>32.799999999999997</v>
      </c>
      <c r="J743" s="60">
        <v>31.681985326236472</v>
      </c>
    </row>
    <row r="744" spans="1:10" x14ac:dyDescent="0.4">
      <c r="A744" s="273"/>
      <c r="B744" s="86" t="s">
        <v>148</v>
      </c>
      <c r="C744" s="75" t="s">
        <v>149</v>
      </c>
      <c r="D744" s="75">
        <v>0</v>
      </c>
      <c r="E744" s="77">
        <v>1</v>
      </c>
      <c r="F744" s="77">
        <v>1</v>
      </c>
      <c r="G744" s="75">
        <v>32.549999999999997</v>
      </c>
      <c r="H744" s="60">
        <v>30.1</v>
      </c>
      <c r="I744" s="60">
        <v>32.5</v>
      </c>
      <c r="J744" s="60">
        <v>31.839196380938393</v>
      </c>
    </row>
    <row r="745" spans="1:10" x14ac:dyDescent="0.4">
      <c r="A745" s="273"/>
      <c r="B745" s="86" t="s">
        <v>150</v>
      </c>
      <c r="C745" s="75" t="s">
        <v>151</v>
      </c>
      <c r="D745" s="75">
        <v>1</v>
      </c>
      <c r="E745" s="77">
        <v>1</v>
      </c>
      <c r="F745" s="77">
        <v>1</v>
      </c>
      <c r="G745" s="75">
        <v>32.549999999999997</v>
      </c>
      <c r="H745" s="60">
        <v>30.7</v>
      </c>
      <c r="I745" s="60">
        <v>32.6</v>
      </c>
      <c r="J745" s="60">
        <v>31.343251116148533</v>
      </c>
    </row>
    <row r="746" spans="1:10" x14ac:dyDescent="0.4">
      <c r="A746" s="273"/>
      <c r="B746" s="86" t="s">
        <v>152</v>
      </c>
      <c r="C746" s="75" t="s">
        <v>153</v>
      </c>
      <c r="D746" s="75">
        <v>0</v>
      </c>
      <c r="E746" s="77">
        <v>1</v>
      </c>
      <c r="F746" s="77">
        <v>1</v>
      </c>
      <c r="G746" s="75">
        <v>32.549999999999997</v>
      </c>
      <c r="H746" s="59"/>
      <c r="I746" s="59"/>
      <c r="J746" s="59"/>
    </row>
    <row r="747" spans="1:10" x14ac:dyDescent="0.4">
      <c r="A747" s="273"/>
      <c r="B747" s="86" t="s">
        <v>154</v>
      </c>
      <c r="C747" s="75" t="s">
        <v>155</v>
      </c>
      <c r="D747" s="75">
        <v>0</v>
      </c>
      <c r="E747" s="77">
        <v>1</v>
      </c>
      <c r="F747" s="77">
        <v>1</v>
      </c>
      <c r="G747" s="75">
        <v>32.549999999999997</v>
      </c>
      <c r="H747" s="59">
        <v>28.4</v>
      </c>
      <c r="I747" s="59">
        <v>29.9</v>
      </c>
      <c r="J747" s="59">
        <v>29.630716247788403</v>
      </c>
    </row>
    <row r="748" spans="1:10" x14ac:dyDescent="0.4">
      <c r="A748" s="273"/>
      <c r="B748" s="86" t="s">
        <v>156</v>
      </c>
      <c r="C748" s="75" t="s">
        <v>157</v>
      </c>
      <c r="D748" s="75">
        <v>0</v>
      </c>
      <c r="E748" s="77">
        <v>1</v>
      </c>
      <c r="F748" s="77">
        <v>1</v>
      </c>
      <c r="G748" s="75">
        <v>32.549999999999997</v>
      </c>
      <c r="H748" s="59">
        <v>26.3</v>
      </c>
      <c r="I748" s="59">
        <v>30.6</v>
      </c>
      <c r="J748" s="59">
        <v>26.935364994203944</v>
      </c>
    </row>
    <row r="749" spans="1:10" x14ac:dyDescent="0.4">
      <c r="A749" s="273"/>
      <c r="B749" s="86" t="s">
        <v>158</v>
      </c>
      <c r="C749" s="75" t="s">
        <v>159</v>
      </c>
      <c r="D749" s="75">
        <v>0</v>
      </c>
      <c r="E749" s="77">
        <v>1</v>
      </c>
      <c r="F749" s="77">
        <v>1</v>
      </c>
      <c r="G749" s="75">
        <v>32.549999999999997</v>
      </c>
      <c r="H749" s="59">
        <v>25.6</v>
      </c>
      <c r="I749" s="59">
        <v>34</v>
      </c>
      <c r="J749" s="59">
        <v>30.625999679618541</v>
      </c>
    </row>
    <row r="750" spans="1:10" x14ac:dyDescent="0.4">
      <c r="A750" s="273"/>
      <c r="B750" s="86" t="s">
        <v>160</v>
      </c>
      <c r="C750" s="75" t="s">
        <v>161</v>
      </c>
      <c r="D750" s="75">
        <v>0</v>
      </c>
      <c r="E750" s="77">
        <v>1</v>
      </c>
      <c r="F750" s="77">
        <v>1</v>
      </c>
      <c r="G750" s="75">
        <v>32.549999999999997</v>
      </c>
      <c r="H750" s="59">
        <v>27.7</v>
      </c>
      <c r="I750" s="59">
        <v>30.4</v>
      </c>
      <c r="J750" s="59">
        <v>29.382356535905735</v>
      </c>
    </row>
    <row r="751" spans="1:10" x14ac:dyDescent="0.4">
      <c r="A751" s="273"/>
      <c r="B751" s="86" t="s">
        <v>162</v>
      </c>
      <c r="C751" s="75" t="s">
        <v>163</v>
      </c>
      <c r="D751" s="75">
        <v>0</v>
      </c>
      <c r="E751" s="77">
        <v>1</v>
      </c>
      <c r="F751" s="77">
        <v>1</v>
      </c>
      <c r="G751" s="75">
        <v>32.549999999999997</v>
      </c>
      <c r="H751" s="59">
        <v>27</v>
      </c>
      <c r="I751" s="59">
        <v>30.2</v>
      </c>
      <c r="J751" s="59">
        <v>28.319564185557223</v>
      </c>
    </row>
    <row r="752" spans="1:10" x14ac:dyDescent="0.4">
      <c r="A752" s="273"/>
      <c r="B752" s="86" t="s">
        <v>164</v>
      </c>
      <c r="C752" s="75" t="s">
        <v>284</v>
      </c>
      <c r="D752" s="75">
        <v>0</v>
      </c>
      <c r="E752" s="77">
        <v>1</v>
      </c>
      <c r="F752" s="77">
        <v>1</v>
      </c>
      <c r="G752" s="75">
        <v>24.4</v>
      </c>
      <c r="H752" s="59">
        <v>26</v>
      </c>
      <c r="I752" s="59">
        <v>27.5</v>
      </c>
      <c r="J752" s="59">
        <v>26.918421650104822</v>
      </c>
    </row>
    <row r="753" spans="1:10" x14ac:dyDescent="0.4">
      <c r="A753" s="273"/>
      <c r="B753" s="86" t="s">
        <v>165</v>
      </c>
      <c r="C753" s="75" t="s">
        <v>166</v>
      </c>
      <c r="D753" s="75">
        <v>0</v>
      </c>
      <c r="E753" s="77">
        <v>1</v>
      </c>
      <c r="F753" s="77">
        <v>1</v>
      </c>
      <c r="G753" s="75">
        <v>24.4</v>
      </c>
      <c r="H753" s="59">
        <v>25.5</v>
      </c>
      <c r="I753" s="59">
        <v>27.5</v>
      </c>
      <c r="J753" s="59">
        <v>26.559773141544955</v>
      </c>
    </row>
    <row r="754" spans="1:10" x14ac:dyDescent="0.4">
      <c r="A754" s="273" t="s">
        <v>285</v>
      </c>
      <c r="B754" s="86" t="s">
        <v>167</v>
      </c>
      <c r="C754" s="75" t="s">
        <v>286</v>
      </c>
      <c r="D754" s="76">
        <v>1</v>
      </c>
      <c r="E754" s="77">
        <v>1</v>
      </c>
      <c r="F754" s="274" t="s">
        <v>273</v>
      </c>
      <c r="G754" s="75">
        <v>105.48</v>
      </c>
      <c r="H754" s="56">
        <v>25.7</v>
      </c>
      <c r="I754" s="60">
        <v>39.700000000000003</v>
      </c>
      <c r="J754" s="60">
        <v>35.190372604446353</v>
      </c>
    </row>
    <row r="755" spans="1:10" x14ac:dyDescent="0.4">
      <c r="A755" s="273"/>
      <c r="B755" s="86" t="s">
        <v>168</v>
      </c>
      <c r="C755" s="75" t="s">
        <v>169</v>
      </c>
      <c r="D755" s="76">
        <v>1</v>
      </c>
      <c r="E755" s="77">
        <v>1</v>
      </c>
      <c r="F755" s="275"/>
      <c r="G755" s="75">
        <v>105.48</v>
      </c>
      <c r="H755" s="56">
        <v>28.7</v>
      </c>
      <c r="I755" s="61">
        <v>42.6</v>
      </c>
      <c r="J755" s="61">
        <v>38.274867758099141</v>
      </c>
    </row>
    <row r="756" spans="1:10" x14ac:dyDescent="0.4">
      <c r="A756" s="273"/>
      <c r="B756" s="86" t="s">
        <v>170</v>
      </c>
      <c r="C756" s="75" t="s">
        <v>171</v>
      </c>
      <c r="D756" s="76">
        <v>1</v>
      </c>
      <c r="E756" s="77">
        <v>1</v>
      </c>
      <c r="F756" s="275"/>
      <c r="G756" s="75">
        <v>105.48</v>
      </c>
      <c r="H756" s="56">
        <v>27.4</v>
      </c>
      <c r="I756" s="57">
        <v>45.8</v>
      </c>
      <c r="J756" s="57">
        <v>40.447616220029126</v>
      </c>
    </row>
    <row r="757" spans="1:10" x14ac:dyDescent="0.4">
      <c r="A757" s="273"/>
      <c r="B757" s="86" t="s">
        <v>172</v>
      </c>
      <c r="C757" s="75" t="s">
        <v>173</v>
      </c>
      <c r="D757" s="76">
        <v>1</v>
      </c>
      <c r="E757" s="77">
        <v>1</v>
      </c>
      <c r="F757" s="275"/>
      <c r="G757" s="75">
        <v>105.48</v>
      </c>
      <c r="H757" s="56">
        <v>27</v>
      </c>
      <c r="I757" s="57">
        <v>45.3</v>
      </c>
      <c r="J757" s="57">
        <v>40.088349265555607</v>
      </c>
    </row>
    <row r="758" spans="1:10" x14ac:dyDescent="0.4">
      <c r="A758" s="273"/>
      <c r="B758" s="86" t="s">
        <v>174</v>
      </c>
      <c r="C758" s="75" t="s">
        <v>287</v>
      </c>
      <c r="D758" s="76">
        <v>1</v>
      </c>
      <c r="E758" s="77">
        <v>1</v>
      </c>
      <c r="F758" s="275"/>
      <c r="G758" s="75">
        <v>65</v>
      </c>
      <c r="H758" s="62">
        <v>30.6</v>
      </c>
      <c r="I758" s="62">
        <v>40.6</v>
      </c>
      <c r="J758" s="62">
        <v>37.47478447889106</v>
      </c>
    </row>
    <row r="759" spans="1:10" x14ac:dyDescent="0.4">
      <c r="A759" s="273"/>
      <c r="B759" s="86" t="s">
        <v>175</v>
      </c>
      <c r="C759" s="75" t="s">
        <v>176</v>
      </c>
      <c r="D759" s="76">
        <v>1</v>
      </c>
      <c r="E759" s="77">
        <v>1</v>
      </c>
      <c r="F759" s="276"/>
      <c r="G759" s="75">
        <v>65</v>
      </c>
      <c r="H759" s="62">
        <v>29</v>
      </c>
      <c r="I759" s="62">
        <v>30</v>
      </c>
      <c r="J759" s="62">
        <v>29.322365104728199</v>
      </c>
    </row>
    <row r="760" spans="1:10" x14ac:dyDescent="0.4">
      <c r="A760" s="273"/>
      <c r="B760" s="86" t="s">
        <v>177</v>
      </c>
      <c r="C760" s="75" t="s">
        <v>288</v>
      </c>
      <c r="D760" s="76">
        <v>1</v>
      </c>
      <c r="E760" s="77">
        <v>1</v>
      </c>
      <c r="F760" s="274" t="s">
        <v>282</v>
      </c>
      <c r="G760" s="75">
        <v>16.3</v>
      </c>
      <c r="H760" s="62">
        <v>30.5</v>
      </c>
      <c r="I760" s="62">
        <v>34.5</v>
      </c>
      <c r="J760" s="62">
        <v>31.691676637256574</v>
      </c>
    </row>
    <row r="761" spans="1:10" x14ac:dyDescent="0.4">
      <c r="A761" s="273"/>
      <c r="B761" s="86" t="s">
        <v>178</v>
      </c>
      <c r="C761" s="75" t="s">
        <v>179</v>
      </c>
      <c r="D761" s="76">
        <v>1</v>
      </c>
      <c r="E761" s="77">
        <v>1</v>
      </c>
      <c r="F761" s="275"/>
      <c r="G761" s="75">
        <v>16.3</v>
      </c>
      <c r="H761" s="62">
        <v>31</v>
      </c>
      <c r="I761" s="62">
        <v>40.5</v>
      </c>
      <c r="J761" s="62">
        <v>34.619817345292134</v>
      </c>
    </row>
    <row r="762" spans="1:10" x14ac:dyDescent="0.4">
      <c r="A762" s="273"/>
      <c r="B762" s="86" t="s">
        <v>180</v>
      </c>
      <c r="C762" s="75" t="s">
        <v>181</v>
      </c>
      <c r="D762" s="76">
        <v>1</v>
      </c>
      <c r="E762" s="77">
        <v>1</v>
      </c>
      <c r="F762" s="275"/>
      <c r="G762" s="75">
        <v>16.3</v>
      </c>
      <c r="H762" s="62">
        <v>28</v>
      </c>
      <c r="I762" s="62">
        <v>45</v>
      </c>
      <c r="J762" s="62">
        <v>30.126522635332051</v>
      </c>
    </row>
    <row r="763" spans="1:10" x14ac:dyDescent="0.4">
      <c r="A763" s="273"/>
      <c r="B763" s="86" t="s">
        <v>289</v>
      </c>
      <c r="C763" s="75" t="s">
        <v>182</v>
      </c>
      <c r="D763" s="76">
        <v>1</v>
      </c>
      <c r="E763" s="77">
        <v>1</v>
      </c>
      <c r="F763" s="276"/>
      <c r="G763" s="75">
        <v>35</v>
      </c>
      <c r="H763" s="62">
        <v>31.5</v>
      </c>
      <c r="I763" s="62">
        <v>50.1</v>
      </c>
      <c r="J763" s="62">
        <v>44.617185412817626</v>
      </c>
    </row>
    <row r="764" spans="1:10" x14ac:dyDescent="0.4">
      <c r="A764" s="273" t="s">
        <v>275</v>
      </c>
      <c r="B764" s="86" t="s">
        <v>126</v>
      </c>
      <c r="C764" s="75" t="s">
        <v>278</v>
      </c>
      <c r="D764" s="76">
        <v>1</v>
      </c>
      <c r="E764" s="77">
        <v>1</v>
      </c>
      <c r="F764" s="90"/>
      <c r="G764" s="75">
        <v>70.319999999999993</v>
      </c>
      <c r="H764" s="62">
        <v>25.2</v>
      </c>
      <c r="I764" s="62">
        <v>56.1</v>
      </c>
      <c r="J764" s="62">
        <v>38.445655165716552</v>
      </c>
    </row>
    <row r="765" spans="1:10" x14ac:dyDescent="0.4">
      <c r="A765" s="273"/>
      <c r="B765" s="86" t="s">
        <v>127</v>
      </c>
      <c r="C765" s="75" t="s">
        <v>128</v>
      </c>
      <c r="D765" s="76">
        <v>1</v>
      </c>
      <c r="E765" s="77">
        <v>1</v>
      </c>
      <c r="F765" s="90"/>
      <c r="G765" s="75">
        <v>70.319999999999993</v>
      </c>
      <c r="H765" s="62">
        <v>25</v>
      </c>
      <c r="I765" s="62">
        <v>56.2</v>
      </c>
      <c r="J765" s="62">
        <v>37.517854848939081</v>
      </c>
    </row>
    <row r="766" spans="1:10" x14ac:dyDescent="0.4">
      <c r="A766" s="273"/>
      <c r="B766" s="86" t="s">
        <v>129</v>
      </c>
      <c r="C766" s="75" t="s">
        <v>130</v>
      </c>
      <c r="D766" s="76">
        <v>1</v>
      </c>
      <c r="E766" s="77">
        <v>1</v>
      </c>
      <c r="F766" s="90"/>
      <c r="G766" s="75">
        <v>70.319999999999993</v>
      </c>
      <c r="H766" s="62">
        <v>24.9</v>
      </c>
      <c r="I766" s="62">
        <v>55.1</v>
      </c>
      <c r="J766" s="62">
        <v>37.871109473847063</v>
      </c>
    </row>
    <row r="767" spans="1:10" x14ac:dyDescent="0.4">
      <c r="H767" s="91">
        <f>AVERAGE(H726:H737,H743:H745,H754:H766)</f>
        <v>26.610714285714288</v>
      </c>
      <c r="I767" s="91">
        <f>AVERAGE(I726:I737,I743:I745,I754:I766)</f>
        <v>45.474999999999987</v>
      </c>
      <c r="J767" s="114">
        <f>AVERAGE(J726:J737,J743:J745,J754:J766,J741)</f>
        <v>36.473064994950349</v>
      </c>
    </row>
    <row r="768" spans="1:10" x14ac:dyDescent="0.4">
      <c r="J768" s="115" t="s">
        <v>262</v>
      </c>
    </row>
    <row r="769" spans="1:10" x14ac:dyDescent="0.4">
      <c r="A769" s="288" t="s">
        <v>290</v>
      </c>
      <c r="B769" s="288"/>
      <c r="C769" s="289" t="s">
        <v>187</v>
      </c>
      <c r="D769" s="290"/>
      <c r="E769" s="290" t="s">
        <v>188</v>
      </c>
      <c r="F769" s="290"/>
      <c r="G769" s="290" t="s">
        <v>189</v>
      </c>
      <c r="H769" s="290"/>
      <c r="I769" s="290" t="s">
        <v>190</v>
      </c>
      <c r="J769" s="290"/>
    </row>
    <row r="770" spans="1:10" ht="34.799999999999997" x14ac:dyDescent="0.4">
      <c r="A770" s="288"/>
      <c r="B770" s="288"/>
      <c r="C770" s="102" t="s">
        <v>191</v>
      </c>
      <c r="D770" s="101" t="s">
        <v>192</v>
      </c>
      <c r="E770" s="101" t="s">
        <v>191</v>
      </c>
      <c r="F770" s="101" t="s">
        <v>192</v>
      </c>
      <c r="G770" s="101" t="s">
        <v>191</v>
      </c>
      <c r="H770" s="101" t="s">
        <v>192</v>
      </c>
      <c r="I770" s="101" t="s">
        <v>191</v>
      </c>
      <c r="J770" s="101" t="s">
        <v>192</v>
      </c>
    </row>
    <row r="771" spans="1:10" x14ac:dyDescent="0.4">
      <c r="A771" s="277" t="s">
        <v>291</v>
      </c>
      <c r="B771" s="100" t="s">
        <v>292</v>
      </c>
      <c r="C771" s="93"/>
      <c r="D771" s="92"/>
      <c r="E771" s="93"/>
      <c r="F771" s="92"/>
      <c r="G771" s="93"/>
      <c r="H771" s="92"/>
      <c r="I771" s="93"/>
      <c r="J771" s="92"/>
    </row>
    <row r="772" spans="1:10" x14ac:dyDescent="0.4">
      <c r="A772" s="278"/>
      <c r="B772" s="94" t="s">
        <v>193</v>
      </c>
      <c r="C772" s="93"/>
      <c r="D772" s="92"/>
      <c r="E772" s="93"/>
      <c r="F772" s="92"/>
      <c r="G772" s="93"/>
      <c r="H772" s="92"/>
      <c r="I772" s="93"/>
      <c r="J772" s="92"/>
    </row>
    <row r="773" spans="1:10" x14ac:dyDescent="0.4">
      <c r="A773" s="278"/>
      <c r="B773" s="94" t="s">
        <v>194</v>
      </c>
      <c r="C773" s="93"/>
      <c r="D773" s="92"/>
      <c r="E773" s="93"/>
      <c r="F773" s="92"/>
      <c r="G773" s="93"/>
      <c r="H773" s="92"/>
      <c r="I773" s="93"/>
      <c r="J773" s="92"/>
    </row>
    <row r="774" spans="1:10" x14ac:dyDescent="0.4">
      <c r="A774" s="278"/>
      <c r="B774" s="94" t="s">
        <v>195</v>
      </c>
      <c r="C774" s="93"/>
      <c r="D774" s="92"/>
      <c r="E774" s="93"/>
      <c r="F774" s="92"/>
      <c r="G774" s="93"/>
      <c r="H774" s="92"/>
      <c r="I774" s="93"/>
      <c r="J774" s="92"/>
    </row>
    <row r="775" spans="1:10" x14ac:dyDescent="0.4">
      <c r="A775" s="278"/>
      <c r="B775" s="94" t="s">
        <v>196</v>
      </c>
      <c r="C775" s="93"/>
      <c r="D775" s="92"/>
      <c r="E775" s="93"/>
      <c r="F775" s="92"/>
      <c r="G775" s="93"/>
      <c r="H775" s="92"/>
      <c r="I775" s="93"/>
      <c r="J775" s="92"/>
    </row>
    <row r="776" spans="1:10" x14ac:dyDescent="0.4">
      <c r="A776" s="278"/>
      <c r="B776" s="94" t="s">
        <v>197</v>
      </c>
      <c r="C776" s="93"/>
      <c r="D776" s="92"/>
      <c r="E776" s="93"/>
      <c r="F776" s="92"/>
      <c r="G776" s="93"/>
      <c r="H776" s="92"/>
      <c r="I776" s="93"/>
      <c r="J776" s="92"/>
    </row>
    <row r="777" spans="1:10" x14ac:dyDescent="0.4">
      <c r="A777" s="278"/>
      <c r="B777" s="94" t="s">
        <v>198</v>
      </c>
      <c r="C777" s="93"/>
      <c r="D777" s="92"/>
      <c r="E777" s="93"/>
      <c r="F777" s="92"/>
      <c r="G777" s="93"/>
      <c r="H777" s="92"/>
      <c r="I777" s="93"/>
      <c r="J777" s="92"/>
    </row>
    <row r="778" spans="1:10" x14ac:dyDescent="0.4">
      <c r="A778" s="278"/>
      <c r="B778" s="94" t="s">
        <v>199</v>
      </c>
      <c r="C778" s="93"/>
      <c r="D778" s="92"/>
      <c r="E778" s="93"/>
      <c r="F778" s="92"/>
      <c r="G778" s="93"/>
      <c r="H778" s="92"/>
      <c r="I778" s="93"/>
      <c r="J778" s="92"/>
    </row>
    <row r="779" spans="1:10" x14ac:dyDescent="0.4">
      <c r="A779" s="278"/>
      <c r="B779" s="94" t="s">
        <v>200</v>
      </c>
      <c r="C779" s="93"/>
      <c r="D779" s="92"/>
      <c r="E779" s="93"/>
      <c r="F779" s="92"/>
      <c r="G779" s="93"/>
      <c r="H779" s="92"/>
      <c r="I779" s="98"/>
      <c r="J779" s="99"/>
    </row>
    <row r="780" spans="1:10" x14ac:dyDescent="0.4">
      <c r="A780" s="278"/>
      <c r="B780" s="94" t="s">
        <v>201</v>
      </c>
      <c r="C780" s="93"/>
      <c r="D780" s="92"/>
      <c r="E780" s="98"/>
      <c r="F780" s="99"/>
      <c r="G780" s="93"/>
      <c r="H780" s="92"/>
      <c r="I780" s="98"/>
      <c r="J780" s="99"/>
    </row>
    <row r="781" spans="1:10" x14ac:dyDescent="0.4">
      <c r="A781" s="278"/>
      <c r="B781" s="94" t="s">
        <v>202</v>
      </c>
      <c r="C781" s="93"/>
      <c r="D781" s="92"/>
      <c r="E781" s="98"/>
      <c r="F781" s="99"/>
      <c r="G781" s="93"/>
      <c r="H781" s="92"/>
      <c r="I781" s="98"/>
      <c r="J781" s="99"/>
    </row>
    <row r="782" spans="1:10" x14ac:dyDescent="0.4">
      <c r="A782" s="278"/>
      <c r="B782" s="94" t="s">
        <v>203</v>
      </c>
      <c r="C782" s="93"/>
      <c r="D782" s="92"/>
      <c r="E782" s="98"/>
      <c r="F782" s="99"/>
      <c r="G782" s="93"/>
      <c r="H782" s="92"/>
      <c r="I782" s="98"/>
      <c r="J782" s="99"/>
    </row>
    <row r="783" spans="1:10" x14ac:dyDescent="0.4">
      <c r="A783" s="278"/>
      <c r="B783" s="94" t="s">
        <v>204</v>
      </c>
      <c r="C783" s="93"/>
      <c r="D783" s="92"/>
      <c r="E783" s="98"/>
      <c r="F783" s="99"/>
      <c r="G783" s="93"/>
      <c r="H783" s="92"/>
      <c r="I783" s="98"/>
      <c r="J783" s="99"/>
    </row>
    <row r="784" spans="1:10" x14ac:dyDescent="0.4">
      <c r="A784" s="278"/>
      <c r="B784" s="94" t="s">
        <v>205</v>
      </c>
      <c r="C784" s="98"/>
      <c r="D784" s="99"/>
      <c r="E784" s="98"/>
      <c r="F784" s="99"/>
      <c r="G784" s="93"/>
      <c r="H784" s="92"/>
      <c r="I784" s="98"/>
      <c r="J784" s="99"/>
    </row>
    <row r="785" spans="1:10" x14ac:dyDescent="0.4">
      <c r="A785" s="278"/>
      <c r="B785" s="94" t="s">
        <v>206</v>
      </c>
      <c r="C785" s="98"/>
      <c r="D785" s="99"/>
      <c r="E785" s="98"/>
      <c r="F785" s="99"/>
      <c r="G785" s="93"/>
      <c r="H785" s="92"/>
      <c r="I785" s="98"/>
      <c r="J785" s="99"/>
    </row>
    <row r="786" spans="1:10" x14ac:dyDescent="0.4">
      <c r="A786" s="278"/>
      <c r="B786" s="94" t="s">
        <v>207</v>
      </c>
      <c r="C786" s="98"/>
      <c r="D786" s="99"/>
      <c r="E786" s="98"/>
      <c r="F786" s="99"/>
      <c r="G786" s="93"/>
      <c r="H786" s="92"/>
      <c r="I786" s="98"/>
      <c r="J786" s="99"/>
    </row>
    <row r="787" spans="1:10" x14ac:dyDescent="0.4">
      <c r="A787" s="278"/>
      <c r="B787" s="95" t="s">
        <v>293</v>
      </c>
      <c r="C787" s="93"/>
      <c r="D787" s="92"/>
      <c r="E787" s="93"/>
      <c r="F787" s="92"/>
      <c r="G787" s="93"/>
      <c r="H787" s="92"/>
      <c r="I787" s="93"/>
      <c r="J787" s="92"/>
    </row>
    <row r="788" spans="1:10" x14ac:dyDescent="0.4">
      <c r="A788" s="278"/>
      <c r="B788" s="95" t="s">
        <v>208</v>
      </c>
      <c r="C788" s="93"/>
      <c r="D788" s="92"/>
      <c r="E788" s="93"/>
      <c r="F788" s="92"/>
      <c r="G788" s="93"/>
      <c r="H788" s="92"/>
      <c r="I788" s="93"/>
      <c r="J788" s="92"/>
    </row>
    <row r="789" spans="1:10" x14ac:dyDescent="0.4">
      <c r="A789" s="278"/>
      <c r="B789" s="95" t="s">
        <v>209</v>
      </c>
      <c r="C789" s="93"/>
      <c r="D789" s="92"/>
      <c r="E789" s="93"/>
      <c r="F789" s="92"/>
      <c r="G789" s="93"/>
      <c r="H789" s="92"/>
      <c r="I789" s="93"/>
      <c r="J789" s="92"/>
    </row>
    <row r="790" spans="1:10" x14ac:dyDescent="0.4">
      <c r="A790" s="278"/>
      <c r="B790" s="95" t="s">
        <v>210</v>
      </c>
      <c r="C790" s="93"/>
      <c r="D790" s="92"/>
      <c r="E790" s="93"/>
      <c r="F790" s="92"/>
      <c r="G790" s="93"/>
      <c r="H790" s="92"/>
      <c r="I790" s="93"/>
      <c r="J790" s="92"/>
    </row>
    <row r="791" spans="1:10" x14ac:dyDescent="0.4">
      <c r="A791" s="278"/>
      <c r="B791" s="95" t="s">
        <v>211</v>
      </c>
      <c r="C791" s="93"/>
      <c r="D791" s="92"/>
      <c r="E791" s="93"/>
      <c r="F791" s="92"/>
      <c r="G791" s="93"/>
      <c r="H791" s="92"/>
      <c r="I791" s="93"/>
      <c r="J791" s="92"/>
    </row>
    <row r="792" spans="1:10" x14ac:dyDescent="0.4">
      <c r="A792" s="278"/>
      <c r="B792" s="95" t="s">
        <v>212</v>
      </c>
      <c r="C792" s="93"/>
      <c r="D792" s="92"/>
      <c r="E792" s="93"/>
      <c r="F792" s="92"/>
      <c r="G792" s="93"/>
      <c r="H792" s="92"/>
      <c r="I792" s="93"/>
      <c r="J792" s="92"/>
    </row>
    <row r="793" spans="1:10" x14ac:dyDescent="0.4">
      <c r="A793" s="278"/>
      <c r="B793" s="95" t="s">
        <v>213</v>
      </c>
      <c r="C793" s="93"/>
      <c r="D793" s="92"/>
      <c r="E793" s="93"/>
      <c r="F793" s="92"/>
      <c r="G793" s="93"/>
      <c r="H793" s="92"/>
      <c r="I793" s="93"/>
      <c r="J793" s="92"/>
    </row>
    <row r="794" spans="1:10" x14ac:dyDescent="0.4">
      <c r="A794" s="278"/>
      <c r="B794" s="95" t="s">
        <v>214</v>
      </c>
      <c r="C794" s="93"/>
      <c r="D794" s="92"/>
      <c r="E794" s="93"/>
      <c r="F794" s="92"/>
      <c r="G794" s="93"/>
      <c r="H794" s="92"/>
      <c r="I794" s="93"/>
      <c r="J794" s="92"/>
    </row>
    <row r="795" spans="1:10" x14ac:dyDescent="0.4">
      <c r="A795" s="278"/>
      <c r="B795" s="95" t="s">
        <v>215</v>
      </c>
      <c r="C795" s="93"/>
      <c r="D795" s="92"/>
      <c r="E795" s="93"/>
      <c r="F795" s="92"/>
      <c r="G795" s="93"/>
      <c r="H795" s="92"/>
      <c r="I795" s="93"/>
      <c r="J795" s="92"/>
    </row>
    <row r="796" spans="1:10" x14ac:dyDescent="0.4">
      <c r="A796" s="278"/>
      <c r="B796" s="95" t="s">
        <v>216</v>
      </c>
      <c r="C796" s="93"/>
      <c r="D796" s="92"/>
      <c r="E796" s="93"/>
      <c r="F796" s="92"/>
      <c r="G796" s="93"/>
      <c r="H796" s="92"/>
      <c r="I796" s="93"/>
      <c r="J796" s="92"/>
    </row>
    <row r="797" spans="1:10" x14ac:dyDescent="0.4">
      <c r="A797" s="278"/>
      <c r="B797" s="95" t="s">
        <v>217</v>
      </c>
      <c r="C797" s="93"/>
      <c r="D797" s="92"/>
      <c r="E797" s="93"/>
      <c r="F797" s="92"/>
      <c r="G797" s="93"/>
      <c r="H797" s="92"/>
      <c r="I797" s="98"/>
      <c r="J797" s="99"/>
    </row>
    <row r="798" spans="1:10" x14ac:dyDescent="0.4">
      <c r="A798" s="278"/>
      <c r="B798" s="95" t="s">
        <v>218</v>
      </c>
      <c r="C798" s="93"/>
      <c r="D798" s="92"/>
      <c r="E798" s="93"/>
      <c r="F798" s="92"/>
      <c r="G798" s="93"/>
      <c r="H798" s="92"/>
      <c r="I798" s="98"/>
      <c r="J798" s="99"/>
    </row>
    <row r="799" spans="1:10" x14ac:dyDescent="0.4">
      <c r="A799" s="278"/>
      <c r="B799" s="95" t="s">
        <v>219</v>
      </c>
      <c r="C799" s="93"/>
      <c r="D799" s="92"/>
      <c r="E799" s="93"/>
      <c r="F799" s="92"/>
      <c r="G799" s="93"/>
      <c r="H799" s="92"/>
      <c r="I799" s="98"/>
      <c r="J799" s="99"/>
    </row>
    <row r="800" spans="1:10" x14ac:dyDescent="0.4">
      <c r="A800" s="278"/>
      <c r="B800" s="95" t="s">
        <v>220</v>
      </c>
      <c r="C800" s="93"/>
      <c r="D800" s="92"/>
      <c r="E800" s="93"/>
      <c r="F800" s="92"/>
      <c r="G800" s="98"/>
      <c r="H800" s="99"/>
      <c r="I800" s="98"/>
      <c r="J800" s="99"/>
    </row>
    <row r="801" spans="1:10" x14ac:dyDescent="0.4">
      <c r="A801" s="278"/>
      <c r="B801" s="95" t="s">
        <v>294</v>
      </c>
      <c r="C801" s="93"/>
      <c r="D801" s="92"/>
      <c r="E801" s="98"/>
      <c r="F801" s="99"/>
      <c r="G801" s="98"/>
      <c r="H801" s="99"/>
      <c r="I801" s="98"/>
      <c r="J801" s="99"/>
    </row>
    <row r="802" spans="1:10" x14ac:dyDescent="0.4">
      <c r="A802" s="278"/>
      <c r="B802" s="95" t="s">
        <v>221</v>
      </c>
      <c r="C802" s="93"/>
      <c r="D802" s="92"/>
      <c r="E802" s="98"/>
      <c r="F802" s="99"/>
      <c r="G802" s="98"/>
      <c r="H802" s="99"/>
      <c r="I802" s="98"/>
      <c r="J802" s="99"/>
    </row>
    <row r="803" spans="1:10" x14ac:dyDescent="0.4">
      <c r="A803" s="278"/>
      <c r="B803" s="96" t="s">
        <v>295</v>
      </c>
      <c r="C803" s="93"/>
      <c r="D803" s="92"/>
      <c r="E803" s="93"/>
      <c r="F803" s="92"/>
      <c r="G803" s="93"/>
      <c r="H803" s="92"/>
      <c r="I803" s="93"/>
      <c r="J803" s="92"/>
    </row>
    <row r="804" spans="1:10" x14ac:dyDescent="0.4">
      <c r="A804" s="278"/>
      <c r="B804" s="96" t="s">
        <v>222</v>
      </c>
      <c r="C804" s="93"/>
      <c r="D804" s="92"/>
      <c r="E804" s="93"/>
      <c r="F804" s="92"/>
      <c r="G804" s="93"/>
      <c r="H804" s="92"/>
      <c r="I804" s="93"/>
      <c r="J804" s="92"/>
    </row>
    <row r="805" spans="1:10" x14ac:dyDescent="0.4">
      <c r="A805" s="278"/>
      <c r="B805" s="96" t="s">
        <v>223</v>
      </c>
      <c r="C805" s="93"/>
      <c r="D805" s="92"/>
      <c r="E805" s="93"/>
      <c r="F805" s="92"/>
      <c r="G805" s="93"/>
      <c r="H805" s="92"/>
      <c r="I805" s="93"/>
      <c r="J805" s="92"/>
    </row>
    <row r="806" spans="1:10" x14ac:dyDescent="0.4">
      <c r="A806" s="278"/>
      <c r="B806" s="96" t="s">
        <v>224</v>
      </c>
      <c r="C806" s="93"/>
      <c r="D806" s="92"/>
      <c r="E806" s="93"/>
      <c r="F806" s="92"/>
      <c r="G806" s="93"/>
      <c r="H806" s="92"/>
      <c r="I806" s="93"/>
      <c r="J806" s="92"/>
    </row>
    <row r="807" spans="1:10" x14ac:dyDescent="0.4">
      <c r="A807" s="278"/>
      <c r="B807" s="96" t="s">
        <v>225</v>
      </c>
      <c r="C807" s="93"/>
      <c r="D807" s="92"/>
      <c r="E807" s="93"/>
      <c r="F807" s="92"/>
      <c r="G807" s="93"/>
      <c r="H807" s="92"/>
      <c r="I807" s="93"/>
      <c r="J807" s="92"/>
    </row>
    <row r="808" spans="1:10" x14ac:dyDescent="0.4">
      <c r="A808" s="278"/>
      <c r="B808" s="96" t="s">
        <v>226</v>
      </c>
      <c r="C808" s="93"/>
      <c r="D808" s="92"/>
      <c r="E808" s="93"/>
      <c r="F808" s="92"/>
      <c r="G808" s="93"/>
      <c r="H808" s="92"/>
      <c r="I808" s="93"/>
      <c r="J808" s="92"/>
    </row>
    <row r="809" spans="1:10" x14ac:dyDescent="0.4">
      <c r="A809" s="278"/>
      <c r="B809" s="96" t="s">
        <v>227</v>
      </c>
      <c r="C809" s="93"/>
      <c r="D809" s="92"/>
      <c r="E809" s="93"/>
      <c r="F809" s="92"/>
      <c r="G809" s="93"/>
      <c r="H809" s="92"/>
      <c r="I809" s="93"/>
      <c r="J809" s="92"/>
    </row>
    <row r="810" spans="1:10" x14ac:dyDescent="0.4">
      <c r="A810" s="278"/>
      <c r="B810" s="96" t="s">
        <v>228</v>
      </c>
      <c r="C810" s="93"/>
      <c r="D810" s="92"/>
      <c r="E810" s="93"/>
      <c r="F810" s="92"/>
      <c r="G810" s="93"/>
      <c r="H810" s="92"/>
      <c r="I810" s="93"/>
      <c r="J810" s="92"/>
    </row>
    <row r="811" spans="1:10" x14ac:dyDescent="0.4">
      <c r="A811" s="278"/>
      <c r="B811" s="96" t="s">
        <v>229</v>
      </c>
      <c r="C811" s="93"/>
      <c r="D811" s="92"/>
      <c r="E811" s="93"/>
      <c r="F811" s="92"/>
      <c r="G811" s="98"/>
      <c r="H811" s="99"/>
      <c r="I811" s="93"/>
      <c r="J811" s="92"/>
    </row>
    <row r="812" spans="1:10" x14ac:dyDescent="0.4">
      <c r="A812" s="278"/>
      <c r="B812" s="96" t="s">
        <v>230</v>
      </c>
      <c r="C812" s="93"/>
      <c r="D812" s="92"/>
      <c r="E812" s="93"/>
      <c r="F812" s="92"/>
      <c r="G812" s="98"/>
      <c r="H812" s="99"/>
      <c r="I812" s="98"/>
      <c r="J812" s="99"/>
    </row>
    <row r="813" spans="1:10" x14ac:dyDescent="0.4">
      <c r="A813" s="278"/>
      <c r="B813" s="96" t="s">
        <v>231</v>
      </c>
      <c r="C813" s="93"/>
      <c r="D813" s="92"/>
      <c r="E813" s="93"/>
      <c r="F813" s="92"/>
      <c r="G813" s="98"/>
      <c r="H813" s="99"/>
      <c r="I813" s="98"/>
      <c r="J813" s="99"/>
    </row>
    <row r="814" spans="1:10" x14ac:dyDescent="0.4">
      <c r="A814" s="278"/>
      <c r="B814" s="96" t="s">
        <v>232</v>
      </c>
      <c r="C814" s="93"/>
      <c r="D814" s="92"/>
      <c r="E814" s="93"/>
      <c r="F814" s="92"/>
      <c r="G814" s="98"/>
      <c r="H814" s="99"/>
      <c r="I814" s="98"/>
      <c r="J814" s="99"/>
    </row>
    <row r="815" spans="1:10" x14ac:dyDescent="0.4">
      <c r="A815" s="278"/>
      <c r="B815" s="96" t="s">
        <v>233</v>
      </c>
      <c r="C815" s="93"/>
      <c r="D815" s="92"/>
      <c r="E815" s="93"/>
      <c r="F815" s="92"/>
      <c r="G815" s="98"/>
      <c r="H815" s="99"/>
      <c r="I815" s="98"/>
      <c r="J815" s="99"/>
    </row>
    <row r="816" spans="1:10" x14ac:dyDescent="0.4">
      <c r="A816" s="278"/>
      <c r="B816" s="96" t="s">
        <v>234</v>
      </c>
      <c r="C816" s="93"/>
      <c r="D816" s="92"/>
      <c r="E816" s="93"/>
      <c r="F816" s="92"/>
      <c r="G816" s="98"/>
      <c r="H816" s="99"/>
      <c r="I816" s="98"/>
      <c r="J816" s="99"/>
    </row>
    <row r="817" spans="1:10" x14ac:dyDescent="0.4">
      <c r="A817" s="278"/>
      <c r="B817" s="96" t="s">
        <v>235</v>
      </c>
      <c r="C817" s="93"/>
      <c r="D817" s="92"/>
      <c r="E817" s="98"/>
      <c r="F817" s="99"/>
      <c r="G817" s="98"/>
      <c r="H817" s="99"/>
      <c r="I817" s="98"/>
      <c r="J817" s="99"/>
    </row>
    <row r="818" spans="1:10" x14ac:dyDescent="0.4">
      <c r="A818" s="278"/>
      <c r="B818" s="96" t="s">
        <v>236</v>
      </c>
      <c r="C818" s="93"/>
      <c r="D818" s="92"/>
      <c r="E818" s="98"/>
      <c r="F818" s="99"/>
      <c r="G818" s="98"/>
      <c r="H818" s="99"/>
      <c r="I818" s="98"/>
      <c r="J818" s="99"/>
    </row>
    <row r="819" spans="1:10" x14ac:dyDescent="0.4">
      <c r="A819" s="278"/>
      <c r="B819" s="97" t="s">
        <v>296</v>
      </c>
      <c r="C819" s="93"/>
      <c r="D819" s="92"/>
      <c r="E819" s="93"/>
      <c r="F819" s="92"/>
      <c r="G819" s="93"/>
      <c r="H819" s="92"/>
      <c r="I819" s="93"/>
      <c r="J819" s="92"/>
    </row>
    <row r="820" spans="1:10" x14ac:dyDescent="0.4">
      <c r="A820" s="278"/>
      <c r="B820" s="97" t="s">
        <v>237</v>
      </c>
      <c r="C820" s="93"/>
      <c r="D820" s="92"/>
      <c r="E820" s="93"/>
      <c r="F820" s="92"/>
      <c r="G820" s="93"/>
      <c r="H820" s="92"/>
      <c r="I820" s="93"/>
      <c r="J820" s="92"/>
    </row>
    <row r="821" spans="1:10" x14ac:dyDescent="0.4">
      <c r="A821" s="278"/>
      <c r="B821" s="97" t="s">
        <v>238</v>
      </c>
      <c r="C821" s="93"/>
      <c r="D821" s="92"/>
      <c r="E821" s="93"/>
      <c r="F821" s="92"/>
      <c r="G821" s="93"/>
      <c r="H821" s="92"/>
      <c r="I821" s="93"/>
      <c r="J821" s="92"/>
    </row>
    <row r="822" spans="1:10" x14ac:dyDescent="0.4">
      <c r="A822" s="278"/>
      <c r="B822" s="97" t="s">
        <v>239</v>
      </c>
      <c r="C822" s="93"/>
      <c r="D822" s="92"/>
      <c r="E822" s="93"/>
      <c r="F822" s="92"/>
      <c r="G822" s="93"/>
      <c r="H822" s="92"/>
      <c r="I822" s="93"/>
      <c r="J822" s="92"/>
    </row>
    <row r="823" spans="1:10" x14ac:dyDescent="0.4">
      <c r="A823" s="278"/>
      <c r="B823" s="97" t="s">
        <v>240</v>
      </c>
      <c r="C823" s="93"/>
      <c r="D823" s="92"/>
      <c r="E823" s="93"/>
      <c r="F823" s="92"/>
      <c r="G823" s="93"/>
      <c r="H823" s="92"/>
      <c r="I823" s="93"/>
      <c r="J823" s="92"/>
    </row>
    <row r="824" spans="1:10" x14ac:dyDescent="0.4">
      <c r="A824" s="278"/>
      <c r="B824" s="97" t="s">
        <v>241</v>
      </c>
      <c r="C824" s="93"/>
      <c r="D824" s="92"/>
      <c r="E824" s="93"/>
      <c r="F824" s="92"/>
      <c r="G824" s="93"/>
      <c r="H824" s="92"/>
      <c r="I824" s="93"/>
      <c r="J824" s="92"/>
    </row>
    <row r="825" spans="1:10" x14ac:dyDescent="0.4">
      <c r="A825" s="278"/>
      <c r="B825" s="97" t="s">
        <v>242</v>
      </c>
      <c r="C825" s="93"/>
      <c r="D825" s="92"/>
      <c r="E825" s="93"/>
      <c r="F825" s="92"/>
      <c r="G825" s="93"/>
      <c r="H825" s="92"/>
      <c r="I825" s="93"/>
      <c r="J825" s="92"/>
    </row>
    <row r="826" spans="1:10" x14ac:dyDescent="0.4">
      <c r="A826" s="278"/>
      <c r="B826" s="97" t="s">
        <v>243</v>
      </c>
      <c r="C826" s="93"/>
      <c r="D826" s="92"/>
      <c r="E826" s="93"/>
      <c r="F826" s="92"/>
      <c r="G826" s="93"/>
      <c r="H826" s="92"/>
      <c r="I826" s="93"/>
      <c r="J826" s="92"/>
    </row>
    <row r="827" spans="1:10" x14ac:dyDescent="0.4">
      <c r="A827" s="278"/>
      <c r="B827" s="97" t="s">
        <v>244</v>
      </c>
      <c r="C827" s="93"/>
      <c r="D827" s="92"/>
      <c r="E827" s="93"/>
      <c r="F827" s="92"/>
      <c r="G827" s="93"/>
      <c r="H827" s="92"/>
      <c r="I827" s="98"/>
      <c r="J827" s="99"/>
    </row>
    <row r="828" spans="1:10" x14ac:dyDescent="0.4">
      <c r="A828" s="278"/>
      <c r="B828" s="97" t="s">
        <v>245</v>
      </c>
      <c r="C828" s="93"/>
      <c r="D828" s="92"/>
      <c r="E828" s="93"/>
      <c r="F828" s="92"/>
      <c r="G828" s="93"/>
      <c r="H828" s="92"/>
      <c r="I828" s="98"/>
      <c r="J828" s="99"/>
    </row>
    <row r="829" spans="1:10" x14ac:dyDescent="0.4">
      <c r="A829" s="278"/>
      <c r="B829" s="97" t="s">
        <v>246</v>
      </c>
      <c r="C829" s="98"/>
      <c r="D829" s="99"/>
      <c r="E829" s="93"/>
      <c r="F829" s="92"/>
      <c r="G829" s="93"/>
      <c r="H829" s="92"/>
      <c r="I829" s="98"/>
      <c r="J829" s="99"/>
    </row>
    <row r="830" spans="1:10" x14ac:dyDescent="0.4">
      <c r="A830" s="278"/>
      <c r="B830" s="97" t="s">
        <v>247</v>
      </c>
      <c r="C830" s="98"/>
      <c r="D830" s="99"/>
      <c r="E830" s="93"/>
      <c r="F830" s="92"/>
      <c r="G830" s="93"/>
      <c r="H830" s="92"/>
      <c r="I830" s="98"/>
      <c r="J830" s="99"/>
    </row>
    <row r="831" spans="1:10" x14ac:dyDescent="0.4">
      <c r="A831" s="278"/>
      <c r="B831" s="97" t="s">
        <v>248</v>
      </c>
      <c r="C831" s="98"/>
      <c r="D831" s="99"/>
      <c r="E831" s="98"/>
      <c r="F831" s="99"/>
      <c r="G831" s="93"/>
      <c r="H831" s="92"/>
      <c r="I831" s="98"/>
      <c r="J831" s="99"/>
    </row>
    <row r="832" spans="1:10" x14ac:dyDescent="0.4">
      <c r="A832" s="278"/>
      <c r="B832" s="94" t="s">
        <v>297</v>
      </c>
      <c r="C832" s="98"/>
      <c r="D832" s="99"/>
      <c r="E832" s="98"/>
      <c r="F832" s="99"/>
      <c r="G832" s="98"/>
      <c r="H832" s="99"/>
      <c r="I832" s="93"/>
      <c r="J832" s="92"/>
    </row>
    <row r="833" spans="1:11" x14ac:dyDescent="0.4">
      <c r="A833" s="278"/>
      <c r="B833" s="94" t="s">
        <v>249</v>
      </c>
      <c r="C833" s="98"/>
      <c r="D833" s="99"/>
      <c r="E833" s="98"/>
      <c r="F833" s="99"/>
      <c r="G833" s="98"/>
      <c r="H833" s="99"/>
      <c r="I833" s="93"/>
      <c r="J833" s="92"/>
    </row>
    <row r="834" spans="1:11" x14ac:dyDescent="0.4">
      <c r="A834" s="278"/>
      <c r="B834" s="94" t="s">
        <v>250</v>
      </c>
      <c r="C834" s="98"/>
      <c r="D834" s="99"/>
      <c r="E834" s="98"/>
      <c r="F834" s="99"/>
      <c r="G834" s="98"/>
      <c r="H834" s="99"/>
      <c r="I834" s="93"/>
      <c r="J834" s="92"/>
    </row>
    <row r="835" spans="1:11" x14ac:dyDescent="0.4">
      <c r="A835" s="278"/>
      <c r="B835" s="94" t="s">
        <v>251</v>
      </c>
      <c r="C835" s="98"/>
      <c r="D835" s="99"/>
      <c r="E835" s="98"/>
      <c r="F835" s="99"/>
      <c r="G835" s="98"/>
      <c r="H835" s="99"/>
      <c r="I835" s="93"/>
      <c r="J835" s="92"/>
    </row>
    <row r="836" spans="1:11" x14ac:dyDescent="0.4">
      <c r="A836" s="278"/>
      <c r="B836" s="94" t="s">
        <v>252</v>
      </c>
      <c r="C836" s="98"/>
      <c r="D836" s="99"/>
      <c r="E836" s="98"/>
      <c r="F836" s="99"/>
      <c r="G836" s="98"/>
      <c r="H836" s="99"/>
      <c r="I836" s="93"/>
      <c r="J836" s="92"/>
    </row>
    <row r="837" spans="1:11" x14ac:dyDescent="0.4">
      <c r="A837" s="278"/>
      <c r="B837" s="94" t="s">
        <v>253</v>
      </c>
      <c r="C837" s="98"/>
      <c r="D837" s="99"/>
      <c r="E837" s="98"/>
      <c r="F837" s="99"/>
      <c r="G837" s="98"/>
      <c r="H837" s="99"/>
      <c r="I837" s="93"/>
      <c r="J837" s="92"/>
    </row>
    <row r="838" spans="1:11" x14ac:dyDescent="0.4">
      <c r="A838" s="278"/>
      <c r="B838" s="94" t="s">
        <v>254</v>
      </c>
      <c r="C838" s="98"/>
      <c r="D838" s="99"/>
      <c r="E838" s="98"/>
      <c r="F838" s="99"/>
      <c r="G838" s="98"/>
      <c r="H838" s="99"/>
      <c r="I838" s="93"/>
      <c r="J838" s="92"/>
    </row>
    <row r="839" spans="1:11" x14ac:dyDescent="0.4">
      <c r="A839" s="278"/>
      <c r="B839" s="94" t="s">
        <v>255</v>
      </c>
      <c r="C839" s="98"/>
      <c r="D839" s="99"/>
      <c r="E839" s="98"/>
      <c r="F839" s="99"/>
      <c r="G839" s="98"/>
      <c r="H839" s="99"/>
      <c r="I839" s="93"/>
      <c r="J839" s="92"/>
    </row>
    <row r="840" spans="1:11" x14ac:dyDescent="0.4">
      <c r="A840" s="278"/>
      <c r="B840" s="94" t="s">
        <v>256</v>
      </c>
      <c r="C840" s="98"/>
      <c r="D840" s="99"/>
      <c r="E840" s="98"/>
      <c r="F840" s="99"/>
      <c r="G840" s="98"/>
      <c r="H840" s="99"/>
      <c r="I840" s="93"/>
      <c r="J840" s="92"/>
    </row>
    <row r="841" spans="1:11" x14ac:dyDescent="0.4">
      <c r="A841" s="278"/>
      <c r="B841" s="94" t="s">
        <v>257</v>
      </c>
      <c r="C841" s="98"/>
      <c r="D841" s="99"/>
      <c r="E841" s="98"/>
      <c r="F841" s="99"/>
      <c r="G841" s="98"/>
      <c r="H841" s="99"/>
      <c r="I841" s="93"/>
      <c r="J841" s="92"/>
    </row>
    <row r="842" spans="1:11" x14ac:dyDescent="0.4">
      <c r="A842" s="278"/>
      <c r="B842" s="94" t="s">
        <v>258</v>
      </c>
      <c r="C842" s="98"/>
      <c r="D842" s="99"/>
      <c r="E842" s="98"/>
      <c r="F842" s="99"/>
      <c r="G842" s="98"/>
      <c r="H842" s="99"/>
      <c r="I842" s="93"/>
      <c r="J842" s="92"/>
    </row>
    <row r="843" spans="1:11" x14ac:dyDescent="0.4">
      <c r="A843" s="279"/>
      <c r="B843" s="94" t="s">
        <v>259</v>
      </c>
      <c r="C843" s="98"/>
      <c r="D843" s="99"/>
      <c r="E843" s="98"/>
      <c r="F843" s="99"/>
      <c r="G843" s="98"/>
      <c r="H843" s="99"/>
      <c r="I843" s="93"/>
      <c r="J843" s="92"/>
    </row>
    <row r="844" spans="1:11" x14ac:dyDescent="0.4">
      <c r="A844" s="115" t="s">
        <v>263</v>
      </c>
      <c r="B844" s="116" t="e">
        <f>SUM(C844,E844,G844,I844)</f>
        <v>#DIV/0!</v>
      </c>
      <c r="C844" s="103" t="e">
        <f>AVERAGE(C771:C783,C787:C828)</f>
        <v>#DIV/0!</v>
      </c>
      <c r="D844" s="103" t="e">
        <f>AVERAGE(D771:D783,D787:D828)</f>
        <v>#DIV/0!</v>
      </c>
      <c r="E844" s="103" t="e">
        <f>AVERAGE(E771:E779,E787:E800,E803:E816,E819:E830)</f>
        <v>#DIV/0!</v>
      </c>
      <c r="F844" s="103" t="e">
        <f>AVERAGE(F771:F779,F787:F800,F803:F816,F819:F830)</f>
        <v>#DIV/0!</v>
      </c>
      <c r="G844" s="103" t="e">
        <f>AVERAGE(G771:G799,G803:G810,G819:G831)</f>
        <v>#DIV/0!</v>
      </c>
      <c r="H844" s="103" t="e">
        <f>AVERAGE(H771:H799,H803:H810,H819:H831)</f>
        <v>#DIV/0!</v>
      </c>
      <c r="I844" s="103" t="e">
        <f>AVERAGE(I771:I778,I787:I796,I803:I811,I819:I826,I832:I843)</f>
        <v>#DIV/0!</v>
      </c>
      <c r="J844" s="103" t="e">
        <f>AVERAGE(J771:J778,J787:J796,J803:J811,J819:J826,J832:J843)</f>
        <v>#DIV/0!</v>
      </c>
    </row>
    <row r="845" spans="1:11" x14ac:dyDescent="0.4">
      <c r="A845" s="115" t="s">
        <v>264</v>
      </c>
      <c r="B845" s="116" t="e">
        <f>SUM(D844,F844,H844,J844)</f>
        <v>#DIV/0!</v>
      </c>
      <c r="C845" s="63" t="s">
        <v>265</v>
      </c>
      <c r="D845" s="117" t="s">
        <v>266</v>
      </c>
      <c r="E845" s="63" t="s">
        <v>265</v>
      </c>
      <c r="F845" s="117" t="s">
        <v>266</v>
      </c>
      <c r="G845" s="63" t="s">
        <v>265</v>
      </c>
      <c r="H845" s="117" t="s">
        <v>266</v>
      </c>
      <c r="I845" s="63" t="s">
        <v>265</v>
      </c>
      <c r="J845" s="117" t="s">
        <v>266</v>
      </c>
    </row>
    <row r="848" spans="1:11" x14ac:dyDescent="0.4">
      <c r="A848" s="280" t="s">
        <v>107</v>
      </c>
      <c r="B848" s="280"/>
      <c r="C848" s="280"/>
      <c r="D848" s="280"/>
      <c r="E848" s="280"/>
      <c r="F848" s="280"/>
      <c r="G848" s="280"/>
      <c r="H848" s="280"/>
      <c r="I848" s="280"/>
      <c r="J848" s="281"/>
      <c r="K848" s="108">
        <v>6</v>
      </c>
    </row>
    <row r="849" spans="1:10" ht="34.799999999999997" x14ac:dyDescent="0.4">
      <c r="A849" s="73" t="s">
        <v>267</v>
      </c>
      <c r="B849" s="73" t="s">
        <v>268</v>
      </c>
      <c r="C849" s="73" t="s">
        <v>269</v>
      </c>
      <c r="D849" s="73" t="s">
        <v>108</v>
      </c>
      <c r="E849" s="73" t="s">
        <v>109</v>
      </c>
      <c r="F849" s="74" t="s">
        <v>270</v>
      </c>
      <c r="G849" s="73" t="s">
        <v>110</v>
      </c>
      <c r="H849" s="73" t="s">
        <v>111</v>
      </c>
      <c r="I849" s="73" t="s">
        <v>112</v>
      </c>
      <c r="J849" s="73" t="s">
        <v>113</v>
      </c>
    </row>
    <row r="850" spans="1:10" x14ac:dyDescent="0.4">
      <c r="A850" s="282" t="s">
        <v>271</v>
      </c>
      <c r="B850" s="86" t="s">
        <v>114</v>
      </c>
      <c r="C850" s="75" t="s">
        <v>272</v>
      </c>
      <c r="D850" s="76">
        <v>1</v>
      </c>
      <c r="E850" s="77">
        <v>1</v>
      </c>
      <c r="F850" s="274" t="s">
        <v>273</v>
      </c>
      <c r="G850" s="75">
        <v>105.48</v>
      </c>
      <c r="H850" s="66"/>
      <c r="I850" s="67"/>
      <c r="J850" s="67"/>
    </row>
    <row r="851" spans="1:10" x14ac:dyDescent="0.4">
      <c r="A851" s="283"/>
      <c r="B851" s="86" t="s">
        <v>115</v>
      </c>
      <c r="C851" s="75" t="s">
        <v>274</v>
      </c>
      <c r="D851" s="76">
        <v>1</v>
      </c>
      <c r="E851" s="77">
        <v>1</v>
      </c>
      <c r="F851" s="275"/>
      <c r="G851" s="75">
        <v>105.48</v>
      </c>
      <c r="H851" s="66"/>
      <c r="I851" s="67"/>
      <c r="J851" s="67"/>
    </row>
    <row r="852" spans="1:10" x14ac:dyDescent="0.4">
      <c r="A852" s="283"/>
      <c r="B852" s="86" t="s">
        <v>116</v>
      </c>
      <c r="C852" s="75" t="s">
        <v>117</v>
      </c>
      <c r="D852" s="76">
        <v>1</v>
      </c>
      <c r="E852" s="77">
        <v>1</v>
      </c>
      <c r="F852" s="78"/>
      <c r="G852" s="75">
        <v>105.48</v>
      </c>
      <c r="H852" s="66"/>
      <c r="I852" s="67"/>
      <c r="J852" s="67"/>
    </row>
    <row r="853" spans="1:10" x14ac:dyDescent="0.4">
      <c r="A853" s="284"/>
      <c r="B853" s="86" t="s">
        <v>118</v>
      </c>
      <c r="C853" s="75" t="s">
        <v>119</v>
      </c>
      <c r="D853" s="76">
        <v>1</v>
      </c>
      <c r="E853" s="77">
        <v>1</v>
      </c>
      <c r="F853" s="78"/>
      <c r="G853" s="75">
        <v>105.48</v>
      </c>
      <c r="H853" s="66"/>
      <c r="I853" s="67"/>
      <c r="J853" s="67"/>
    </row>
    <row r="854" spans="1:10" x14ac:dyDescent="0.4">
      <c r="A854" s="282" t="s">
        <v>275</v>
      </c>
      <c r="B854" s="86" t="s">
        <v>120</v>
      </c>
      <c r="C854" s="75" t="s">
        <v>276</v>
      </c>
      <c r="D854" s="76">
        <v>1</v>
      </c>
      <c r="E854" s="77">
        <v>1</v>
      </c>
      <c r="F854" s="274" t="s">
        <v>273</v>
      </c>
      <c r="G854" s="75">
        <v>105.48</v>
      </c>
      <c r="H854" s="66"/>
      <c r="I854" s="67"/>
      <c r="J854" s="67"/>
    </row>
    <row r="855" spans="1:10" x14ac:dyDescent="0.4">
      <c r="A855" s="283"/>
      <c r="B855" s="86" t="s">
        <v>121</v>
      </c>
      <c r="C855" s="75" t="s">
        <v>277</v>
      </c>
      <c r="D855" s="76">
        <v>1</v>
      </c>
      <c r="E855" s="77">
        <v>1</v>
      </c>
      <c r="F855" s="275"/>
      <c r="G855" s="75">
        <v>105.48</v>
      </c>
      <c r="H855" s="66"/>
      <c r="I855" s="67"/>
      <c r="J855" s="67"/>
    </row>
    <row r="856" spans="1:10" x14ac:dyDescent="0.4">
      <c r="A856" s="283"/>
      <c r="B856" s="86" t="s">
        <v>122</v>
      </c>
      <c r="C856" s="75" t="s">
        <v>123</v>
      </c>
      <c r="D856" s="76">
        <v>1</v>
      </c>
      <c r="E856" s="77">
        <v>1</v>
      </c>
      <c r="F856" s="275"/>
      <c r="G856" s="75">
        <v>105.48</v>
      </c>
      <c r="H856" s="66"/>
      <c r="I856" s="67"/>
      <c r="J856" s="67"/>
    </row>
    <row r="857" spans="1:10" x14ac:dyDescent="0.4">
      <c r="A857" s="283"/>
      <c r="B857" s="86" t="s">
        <v>124</v>
      </c>
      <c r="C857" s="75" t="s">
        <v>125</v>
      </c>
      <c r="D857" s="76">
        <v>1</v>
      </c>
      <c r="E857" s="77">
        <v>1</v>
      </c>
      <c r="F857" s="275"/>
      <c r="G857" s="75">
        <v>105.48</v>
      </c>
      <c r="H857" s="66"/>
      <c r="I857" s="67"/>
      <c r="J857" s="67"/>
    </row>
    <row r="858" spans="1:10" x14ac:dyDescent="0.4">
      <c r="A858" s="283"/>
      <c r="B858" s="86" t="s">
        <v>126</v>
      </c>
      <c r="C858" s="75" t="s">
        <v>278</v>
      </c>
      <c r="D858" s="76">
        <v>1</v>
      </c>
      <c r="E858" s="77">
        <v>1</v>
      </c>
      <c r="F858" s="78"/>
      <c r="G858" s="75">
        <v>70.319999999999993</v>
      </c>
      <c r="H858" s="66"/>
      <c r="I858" s="67"/>
      <c r="J858" s="67"/>
    </row>
    <row r="859" spans="1:10" x14ac:dyDescent="0.4">
      <c r="A859" s="283"/>
      <c r="B859" s="86" t="s">
        <v>127</v>
      </c>
      <c r="C859" s="75" t="s">
        <v>128</v>
      </c>
      <c r="D859" s="76">
        <v>1</v>
      </c>
      <c r="E859" s="77">
        <v>1</v>
      </c>
      <c r="F859" s="78"/>
      <c r="G859" s="75">
        <v>70.319999999999993</v>
      </c>
      <c r="H859" s="66"/>
      <c r="I859" s="67"/>
      <c r="J859" s="67"/>
    </row>
    <row r="860" spans="1:10" x14ac:dyDescent="0.4">
      <c r="A860" s="284"/>
      <c r="B860" s="86" t="s">
        <v>129</v>
      </c>
      <c r="C860" s="75" t="s">
        <v>130</v>
      </c>
      <c r="D860" s="76">
        <v>1</v>
      </c>
      <c r="E860" s="77">
        <v>1</v>
      </c>
      <c r="F860" s="78"/>
      <c r="G860" s="75">
        <v>70.319999999999993</v>
      </c>
      <c r="H860" s="66"/>
      <c r="I860" s="67"/>
      <c r="J860" s="67"/>
    </row>
    <row r="861" spans="1:10" x14ac:dyDescent="0.4">
      <c r="A861" s="273" t="s">
        <v>279</v>
      </c>
      <c r="B861" s="86" t="s">
        <v>131</v>
      </c>
      <c r="C861" s="75" t="s">
        <v>280</v>
      </c>
      <c r="D861" s="76">
        <v>1</v>
      </c>
      <c r="E861" s="77">
        <v>1</v>
      </c>
      <c r="F861" s="274" t="s">
        <v>273</v>
      </c>
      <c r="G861" s="75">
        <v>105.48</v>
      </c>
      <c r="H861" s="66"/>
      <c r="I861" s="67"/>
      <c r="J861" s="67"/>
    </row>
    <row r="862" spans="1:10" x14ac:dyDescent="0.4">
      <c r="A862" s="273"/>
      <c r="B862" s="86" t="s">
        <v>132</v>
      </c>
      <c r="C862" s="75" t="s">
        <v>133</v>
      </c>
      <c r="D862" s="76">
        <v>1</v>
      </c>
      <c r="E862" s="77">
        <v>1</v>
      </c>
      <c r="F862" s="275"/>
      <c r="G862" s="75">
        <v>105.48</v>
      </c>
      <c r="H862" s="66"/>
      <c r="I862" s="67"/>
      <c r="J862" s="67"/>
    </row>
    <row r="863" spans="1:10" x14ac:dyDescent="0.4">
      <c r="A863" s="273"/>
      <c r="B863" s="86" t="s">
        <v>134</v>
      </c>
      <c r="C863" s="75" t="s">
        <v>135</v>
      </c>
      <c r="D863" s="76">
        <v>1</v>
      </c>
      <c r="E863" s="77">
        <v>1</v>
      </c>
      <c r="F863" s="275"/>
      <c r="G863" s="79">
        <v>105.48</v>
      </c>
      <c r="H863" s="66"/>
      <c r="I863" s="67"/>
      <c r="J863" s="67"/>
    </row>
    <row r="864" spans="1:10" x14ac:dyDescent="0.4">
      <c r="A864" s="273"/>
      <c r="B864" s="86" t="s">
        <v>136</v>
      </c>
      <c r="C864" s="75" t="s">
        <v>137</v>
      </c>
      <c r="D864" s="76">
        <v>1</v>
      </c>
      <c r="E864" s="77">
        <v>1</v>
      </c>
      <c r="F864" s="275"/>
      <c r="G864" s="79">
        <v>105.48</v>
      </c>
      <c r="H864" s="66"/>
      <c r="I864" s="67"/>
      <c r="J864" s="67"/>
    </row>
    <row r="865" spans="1:10" x14ac:dyDescent="0.4">
      <c r="A865" s="273"/>
      <c r="B865" s="86" t="s">
        <v>138</v>
      </c>
      <c r="C865" s="75" t="s">
        <v>281</v>
      </c>
      <c r="D865" s="76">
        <v>0</v>
      </c>
      <c r="E865" s="77">
        <v>1</v>
      </c>
      <c r="F865" s="274" t="s">
        <v>282</v>
      </c>
      <c r="G865" s="75">
        <v>32.549999999999997</v>
      </c>
      <c r="H865" s="68"/>
      <c r="I865" s="68"/>
      <c r="J865" s="68"/>
    </row>
    <row r="866" spans="1:10" x14ac:dyDescent="0.4">
      <c r="A866" s="273"/>
      <c r="B866" s="86" t="s">
        <v>139</v>
      </c>
      <c r="C866" s="75" t="s">
        <v>140</v>
      </c>
      <c r="D866" s="76">
        <v>0</v>
      </c>
      <c r="E866" s="77">
        <v>1</v>
      </c>
      <c r="F866" s="276"/>
      <c r="G866" s="75">
        <v>32.549999999999997</v>
      </c>
      <c r="H866" s="69"/>
      <c r="I866" s="69"/>
      <c r="J866" s="69"/>
    </row>
    <row r="867" spans="1:10" x14ac:dyDescent="0.4">
      <c r="A867" s="273"/>
      <c r="B867" s="86" t="s">
        <v>141</v>
      </c>
      <c r="C867" s="75" t="s">
        <v>283</v>
      </c>
      <c r="D867" s="76">
        <v>0</v>
      </c>
      <c r="E867" s="77">
        <v>1</v>
      </c>
      <c r="F867" s="274" t="s">
        <v>282</v>
      </c>
      <c r="G867" s="75">
        <v>32.549999999999997</v>
      </c>
      <c r="H867" s="69"/>
      <c r="I867" s="69"/>
      <c r="J867" s="69"/>
    </row>
    <row r="868" spans="1:10" x14ac:dyDescent="0.4">
      <c r="A868" s="273"/>
      <c r="B868" s="86" t="s">
        <v>142</v>
      </c>
      <c r="C868" s="75" t="s">
        <v>143</v>
      </c>
      <c r="D868" s="76">
        <v>1</v>
      </c>
      <c r="E868" s="77">
        <v>1</v>
      </c>
      <c r="F868" s="275"/>
      <c r="G868" s="75">
        <v>32.549999999999997</v>
      </c>
      <c r="H868" s="70"/>
      <c r="I868" s="70"/>
      <c r="J868" s="70"/>
    </row>
    <row r="869" spans="1:10" x14ac:dyDescent="0.4">
      <c r="A869" s="273"/>
      <c r="B869" s="86" t="s">
        <v>144</v>
      </c>
      <c r="C869" s="75" t="s">
        <v>145</v>
      </c>
      <c r="D869" s="76">
        <v>0</v>
      </c>
      <c r="E869" s="77">
        <v>1</v>
      </c>
      <c r="F869" s="275"/>
      <c r="G869" s="75">
        <v>32.549999999999997</v>
      </c>
      <c r="H869" s="69"/>
      <c r="I869" s="69"/>
      <c r="J869" s="69"/>
    </row>
    <row r="870" spans="1:10" x14ac:dyDescent="0.4">
      <c r="A870" s="273"/>
      <c r="B870" s="86" t="s">
        <v>146</v>
      </c>
      <c r="C870" s="75" t="s">
        <v>147</v>
      </c>
      <c r="D870" s="76">
        <v>1</v>
      </c>
      <c r="E870" s="77">
        <v>1</v>
      </c>
      <c r="F870" s="275"/>
      <c r="G870" s="75">
        <v>32.549999999999997</v>
      </c>
      <c r="H870" s="70"/>
      <c r="I870" s="70"/>
      <c r="J870" s="70"/>
    </row>
    <row r="871" spans="1:10" x14ac:dyDescent="0.4">
      <c r="A871" s="273"/>
      <c r="B871" s="86" t="s">
        <v>148</v>
      </c>
      <c r="C871" s="75" t="s">
        <v>149</v>
      </c>
      <c r="D871" s="76">
        <v>0</v>
      </c>
      <c r="E871" s="77">
        <v>1</v>
      </c>
      <c r="F871" s="275"/>
      <c r="G871" s="75">
        <v>32.549999999999997</v>
      </c>
      <c r="H871" s="70"/>
      <c r="I871" s="70"/>
      <c r="J871" s="70"/>
    </row>
    <row r="872" spans="1:10" x14ac:dyDescent="0.4">
      <c r="A872" s="273"/>
      <c r="B872" s="86" t="s">
        <v>150</v>
      </c>
      <c r="C872" s="75" t="s">
        <v>151</v>
      </c>
      <c r="D872" s="76">
        <v>1</v>
      </c>
      <c r="E872" s="77">
        <v>1</v>
      </c>
      <c r="F872" s="275"/>
      <c r="G872" s="75">
        <v>32.549999999999997</v>
      </c>
      <c r="H872" s="70"/>
      <c r="I872" s="70"/>
      <c r="J872" s="70"/>
    </row>
    <row r="873" spans="1:10" x14ac:dyDescent="0.4">
      <c r="A873" s="273"/>
      <c r="B873" s="86" t="s">
        <v>152</v>
      </c>
      <c r="C873" s="75" t="s">
        <v>153</v>
      </c>
      <c r="D873" s="76">
        <v>0</v>
      </c>
      <c r="E873" s="77">
        <v>1</v>
      </c>
      <c r="F873" s="275"/>
      <c r="G873" s="75">
        <v>32.549999999999997</v>
      </c>
      <c r="H873" s="69"/>
      <c r="I873" s="69"/>
      <c r="J873" s="69"/>
    </row>
    <row r="874" spans="1:10" x14ac:dyDescent="0.4">
      <c r="A874" s="273"/>
      <c r="B874" s="86" t="s">
        <v>154</v>
      </c>
      <c r="C874" s="75" t="s">
        <v>155</v>
      </c>
      <c r="D874" s="76">
        <v>0</v>
      </c>
      <c r="E874" s="77">
        <v>1</v>
      </c>
      <c r="F874" s="275"/>
      <c r="G874" s="75">
        <v>32.549999999999997</v>
      </c>
      <c r="H874" s="69"/>
      <c r="I874" s="69"/>
      <c r="J874" s="69"/>
    </row>
    <row r="875" spans="1:10" x14ac:dyDescent="0.4">
      <c r="A875" s="273"/>
      <c r="B875" s="86" t="s">
        <v>156</v>
      </c>
      <c r="C875" s="75" t="s">
        <v>157</v>
      </c>
      <c r="D875" s="76">
        <v>0</v>
      </c>
      <c r="E875" s="77">
        <v>1</v>
      </c>
      <c r="F875" s="275"/>
      <c r="G875" s="75">
        <v>32.549999999999997</v>
      </c>
      <c r="H875" s="69"/>
      <c r="I875" s="69"/>
      <c r="J875" s="69"/>
    </row>
    <row r="876" spans="1:10" x14ac:dyDescent="0.4">
      <c r="A876" s="273"/>
      <c r="B876" s="86" t="s">
        <v>158</v>
      </c>
      <c r="C876" s="75" t="s">
        <v>159</v>
      </c>
      <c r="D876" s="76">
        <v>0</v>
      </c>
      <c r="E876" s="77">
        <v>1</v>
      </c>
      <c r="F876" s="275"/>
      <c r="G876" s="75">
        <v>32.549999999999997</v>
      </c>
      <c r="H876" s="69"/>
      <c r="I876" s="69"/>
      <c r="J876" s="69"/>
    </row>
    <row r="877" spans="1:10" x14ac:dyDescent="0.4">
      <c r="A877" s="273"/>
      <c r="B877" s="86" t="s">
        <v>160</v>
      </c>
      <c r="C877" s="75" t="s">
        <v>161</v>
      </c>
      <c r="D877" s="76">
        <v>0</v>
      </c>
      <c r="E877" s="77">
        <v>1</v>
      </c>
      <c r="F877" s="275"/>
      <c r="G877" s="75">
        <v>32.549999999999997</v>
      </c>
      <c r="H877" s="69"/>
      <c r="I877" s="69"/>
      <c r="J877" s="69"/>
    </row>
    <row r="878" spans="1:10" x14ac:dyDescent="0.4">
      <c r="A878" s="273"/>
      <c r="B878" s="86" t="s">
        <v>162</v>
      </c>
      <c r="C878" s="75" t="s">
        <v>163</v>
      </c>
      <c r="D878" s="76">
        <v>0</v>
      </c>
      <c r="E878" s="77">
        <v>1</v>
      </c>
      <c r="F878" s="276"/>
      <c r="G878" s="75">
        <v>32.549999999999997</v>
      </c>
      <c r="H878" s="69"/>
      <c r="I878" s="69"/>
      <c r="J878" s="69"/>
    </row>
    <row r="879" spans="1:10" x14ac:dyDescent="0.4">
      <c r="A879" s="273"/>
      <c r="B879" s="86" t="s">
        <v>164</v>
      </c>
      <c r="C879" s="75" t="s">
        <v>284</v>
      </c>
      <c r="D879" s="76">
        <v>0</v>
      </c>
      <c r="E879" s="77">
        <v>1</v>
      </c>
      <c r="F879" s="274" t="s">
        <v>282</v>
      </c>
      <c r="G879" s="75">
        <v>24.4</v>
      </c>
      <c r="H879" s="69"/>
      <c r="I879" s="69"/>
      <c r="J879" s="69"/>
    </row>
    <row r="880" spans="1:10" x14ac:dyDescent="0.4">
      <c r="A880" s="273"/>
      <c r="B880" s="86" t="s">
        <v>165</v>
      </c>
      <c r="C880" s="75" t="s">
        <v>166</v>
      </c>
      <c r="D880" s="76">
        <v>0</v>
      </c>
      <c r="E880" s="77">
        <v>1</v>
      </c>
      <c r="F880" s="276"/>
      <c r="G880" s="75">
        <v>24.4</v>
      </c>
      <c r="H880" s="69"/>
      <c r="I880" s="69"/>
      <c r="J880" s="69"/>
    </row>
    <row r="881" spans="1:10" x14ac:dyDescent="0.4">
      <c r="A881" s="273" t="s">
        <v>285</v>
      </c>
      <c r="B881" s="86" t="s">
        <v>167</v>
      </c>
      <c r="C881" s="75" t="s">
        <v>286</v>
      </c>
      <c r="D881" s="76">
        <v>1</v>
      </c>
      <c r="E881" s="77">
        <v>1</v>
      </c>
      <c r="F881" s="274" t="s">
        <v>273</v>
      </c>
      <c r="G881" s="75">
        <v>105.48</v>
      </c>
      <c r="H881" s="66"/>
      <c r="I881" s="70"/>
      <c r="J881" s="70"/>
    </row>
    <row r="882" spans="1:10" x14ac:dyDescent="0.4">
      <c r="A882" s="273"/>
      <c r="B882" s="86" t="s">
        <v>168</v>
      </c>
      <c r="C882" s="75" t="s">
        <v>169</v>
      </c>
      <c r="D882" s="76">
        <v>1</v>
      </c>
      <c r="E882" s="77">
        <v>1</v>
      </c>
      <c r="F882" s="275"/>
      <c r="G882" s="75">
        <v>105.48</v>
      </c>
      <c r="H882" s="66"/>
      <c r="I882" s="71"/>
      <c r="J882" s="71"/>
    </row>
    <row r="883" spans="1:10" x14ac:dyDescent="0.4">
      <c r="A883" s="273"/>
      <c r="B883" s="86" t="s">
        <v>170</v>
      </c>
      <c r="C883" s="75" t="s">
        <v>171</v>
      </c>
      <c r="D883" s="76">
        <v>1</v>
      </c>
      <c r="E883" s="77">
        <v>1</v>
      </c>
      <c r="F883" s="275"/>
      <c r="G883" s="75">
        <v>105.48</v>
      </c>
      <c r="H883" s="66"/>
      <c r="I883" s="67"/>
      <c r="J883" s="67"/>
    </row>
    <row r="884" spans="1:10" x14ac:dyDescent="0.4">
      <c r="A884" s="273"/>
      <c r="B884" s="86" t="s">
        <v>172</v>
      </c>
      <c r="C884" s="75" t="s">
        <v>173</v>
      </c>
      <c r="D884" s="76">
        <v>1</v>
      </c>
      <c r="E884" s="77">
        <v>1</v>
      </c>
      <c r="F884" s="275"/>
      <c r="G884" s="75">
        <v>105.48</v>
      </c>
      <c r="H884" s="66"/>
      <c r="I884" s="67"/>
      <c r="J884" s="67"/>
    </row>
    <row r="885" spans="1:10" x14ac:dyDescent="0.4">
      <c r="A885" s="273"/>
      <c r="B885" s="86" t="s">
        <v>174</v>
      </c>
      <c r="C885" s="75" t="s">
        <v>287</v>
      </c>
      <c r="D885" s="76">
        <v>1</v>
      </c>
      <c r="E885" s="77">
        <v>1</v>
      </c>
      <c r="F885" s="275"/>
      <c r="G885" s="75">
        <v>65</v>
      </c>
      <c r="H885" s="72"/>
      <c r="I885" s="72"/>
      <c r="J885" s="72"/>
    </row>
    <row r="886" spans="1:10" x14ac:dyDescent="0.4">
      <c r="A886" s="273"/>
      <c r="B886" s="86" t="s">
        <v>175</v>
      </c>
      <c r="C886" s="75" t="s">
        <v>176</v>
      </c>
      <c r="D886" s="76">
        <v>1</v>
      </c>
      <c r="E886" s="77">
        <v>1</v>
      </c>
      <c r="F886" s="276"/>
      <c r="G886" s="75">
        <v>65</v>
      </c>
      <c r="H886" s="72"/>
      <c r="I886" s="72"/>
      <c r="J886" s="72"/>
    </row>
    <row r="887" spans="1:10" x14ac:dyDescent="0.4">
      <c r="A887" s="273"/>
      <c r="B887" s="86" t="s">
        <v>177</v>
      </c>
      <c r="C887" s="75" t="s">
        <v>288</v>
      </c>
      <c r="D887" s="76">
        <v>1</v>
      </c>
      <c r="E887" s="77">
        <v>1</v>
      </c>
      <c r="F887" s="274" t="s">
        <v>282</v>
      </c>
      <c r="G887" s="75">
        <v>16.3</v>
      </c>
      <c r="H887" s="72"/>
      <c r="I887" s="72"/>
      <c r="J887" s="72"/>
    </row>
    <row r="888" spans="1:10" x14ac:dyDescent="0.4">
      <c r="A888" s="273"/>
      <c r="B888" s="86" t="s">
        <v>178</v>
      </c>
      <c r="C888" s="75" t="s">
        <v>179</v>
      </c>
      <c r="D888" s="76">
        <v>1</v>
      </c>
      <c r="E888" s="77">
        <v>1</v>
      </c>
      <c r="F888" s="275"/>
      <c r="G888" s="75">
        <v>16.3</v>
      </c>
      <c r="H888" s="72"/>
      <c r="I888" s="72"/>
      <c r="J888" s="72"/>
    </row>
    <row r="889" spans="1:10" x14ac:dyDescent="0.4">
      <c r="A889" s="273"/>
      <c r="B889" s="86" t="s">
        <v>180</v>
      </c>
      <c r="C889" s="75" t="s">
        <v>181</v>
      </c>
      <c r="D889" s="76">
        <v>1</v>
      </c>
      <c r="E889" s="77">
        <v>1</v>
      </c>
      <c r="F889" s="275"/>
      <c r="G889" s="75">
        <v>16.3</v>
      </c>
      <c r="H889" s="72"/>
      <c r="I889" s="72"/>
      <c r="J889" s="72"/>
    </row>
    <row r="890" spans="1:10" x14ac:dyDescent="0.4">
      <c r="A890" s="273"/>
      <c r="B890" s="86" t="s">
        <v>289</v>
      </c>
      <c r="C890" s="75" t="s">
        <v>182</v>
      </c>
      <c r="D890" s="76">
        <v>1</v>
      </c>
      <c r="E890" s="77">
        <v>1</v>
      </c>
      <c r="F890" s="276"/>
      <c r="G890" s="75">
        <v>35</v>
      </c>
      <c r="H890" s="72"/>
      <c r="I890" s="72"/>
      <c r="J890" s="72"/>
    </row>
    <row r="891" spans="1:10" x14ac:dyDescent="0.4">
      <c r="H891" s="65" t="e">
        <f>AVERAGE(H850:H864,H870:H872,H881:H890)</f>
        <v>#DIV/0!</v>
      </c>
      <c r="I891" s="65" t="e">
        <f t="shared" ref="I891" si="5">AVERAGE(I850:I864,I870:I872,I881:I890)</f>
        <v>#DIV/0!</v>
      </c>
      <c r="J891" s="119" t="e">
        <f>AVERAGE(J850:J864,J870:J872,J881:J890,J868)</f>
        <v>#DIV/0!</v>
      </c>
    </row>
    <row r="892" spans="1:10" x14ac:dyDescent="0.4">
      <c r="J892" s="64" t="s">
        <v>261</v>
      </c>
    </row>
    <row r="893" spans="1:10" x14ac:dyDescent="0.4">
      <c r="A893" s="280" t="s">
        <v>183</v>
      </c>
      <c r="B893" s="280"/>
      <c r="C893" s="280"/>
      <c r="D893" s="280"/>
      <c r="E893" s="280"/>
      <c r="F893" s="280"/>
      <c r="G893" s="280"/>
      <c r="H893" s="280"/>
      <c r="I893" s="280"/>
      <c r="J893" s="281"/>
    </row>
    <row r="894" spans="1:10" ht="34.799999999999997" x14ac:dyDescent="0.4">
      <c r="A894" s="73" t="s">
        <v>267</v>
      </c>
      <c r="B894" s="73" t="s">
        <v>268</v>
      </c>
      <c r="C894" s="73" t="s">
        <v>269</v>
      </c>
      <c r="D894" s="73" t="s">
        <v>108</v>
      </c>
      <c r="E894" s="73" t="s">
        <v>109</v>
      </c>
      <c r="F894" s="74" t="s">
        <v>270</v>
      </c>
      <c r="G894" s="73" t="s">
        <v>110</v>
      </c>
      <c r="H894" s="73" t="s">
        <v>184</v>
      </c>
      <c r="I894" s="73" t="s">
        <v>185</v>
      </c>
      <c r="J894" s="73" t="s">
        <v>186</v>
      </c>
    </row>
    <row r="895" spans="1:10" x14ac:dyDescent="0.4">
      <c r="A895" s="285" t="s">
        <v>271</v>
      </c>
      <c r="B895" s="87" t="s">
        <v>114</v>
      </c>
      <c r="C895" s="88" t="s">
        <v>272</v>
      </c>
      <c r="D895" s="89">
        <v>1</v>
      </c>
      <c r="E895" s="88">
        <v>1</v>
      </c>
      <c r="F895" s="274" t="s">
        <v>273</v>
      </c>
      <c r="G895" s="75">
        <v>105.48</v>
      </c>
      <c r="H895" s="80"/>
      <c r="I895" s="81"/>
      <c r="J895" s="81"/>
    </row>
    <row r="896" spans="1:10" x14ac:dyDescent="0.4">
      <c r="A896" s="286"/>
      <c r="B896" s="87" t="s">
        <v>115</v>
      </c>
      <c r="C896" s="88" t="s">
        <v>274</v>
      </c>
      <c r="D896" s="89">
        <v>1</v>
      </c>
      <c r="E896" s="88">
        <v>1</v>
      </c>
      <c r="F896" s="275"/>
      <c r="G896" s="75">
        <v>105.48</v>
      </c>
      <c r="H896" s="80"/>
      <c r="I896" s="81"/>
      <c r="J896" s="81"/>
    </row>
    <row r="897" spans="1:10" x14ac:dyDescent="0.4">
      <c r="A897" s="286"/>
      <c r="B897" s="87" t="s">
        <v>116</v>
      </c>
      <c r="C897" s="88" t="s">
        <v>117</v>
      </c>
      <c r="D897" s="89">
        <v>1</v>
      </c>
      <c r="E897" s="88">
        <v>1</v>
      </c>
      <c r="F897" s="78"/>
      <c r="G897" s="75">
        <v>105.48</v>
      </c>
      <c r="H897" s="80"/>
      <c r="I897" s="81"/>
      <c r="J897" s="81"/>
    </row>
    <row r="898" spans="1:10" x14ac:dyDescent="0.4">
      <c r="A898" s="287"/>
      <c r="B898" s="87" t="s">
        <v>118</v>
      </c>
      <c r="C898" s="88" t="s">
        <v>119</v>
      </c>
      <c r="D898" s="89">
        <v>1</v>
      </c>
      <c r="E898" s="88">
        <v>1</v>
      </c>
      <c r="F898" s="78"/>
      <c r="G898" s="75">
        <v>105.48</v>
      </c>
      <c r="H898" s="80"/>
      <c r="I898" s="81"/>
      <c r="J898" s="81"/>
    </row>
    <row r="899" spans="1:10" x14ac:dyDescent="0.4">
      <c r="A899" s="273" t="s">
        <v>275</v>
      </c>
      <c r="B899" s="86" t="s">
        <v>120</v>
      </c>
      <c r="C899" s="75" t="s">
        <v>276</v>
      </c>
      <c r="D899" s="76">
        <v>1</v>
      </c>
      <c r="E899" s="77">
        <v>1</v>
      </c>
      <c r="F899" s="274" t="s">
        <v>273</v>
      </c>
      <c r="G899" s="75">
        <v>105.48</v>
      </c>
      <c r="H899" s="80"/>
      <c r="I899" s="81"/>
      <c r="J899" s="81"/>
    </row>
    <row r="900" spans="1:10" x14ac:dyDescent="0.4">
      <c r="A900" s="273"/>
      <c r="B900" s="86" t="s">
        <v>121</v>
      </c>
      <c r="C900" s="75" t="s">
        <v>277</v>
      </c>
      <c r="D900" s="76">
        <v>1</v>
      </c>
      <c r="E900" s="77">
        <v>1</v>
      </c>
      <c r="F900" s="275"/>
      <c r="G900" s="75">
        <v>105.48</v>
      </c>
      <c r="H900" s="80"/>
      <c r="I900" s="81"/>
      <c r="J900" s="81"/>
    </row>
    <row r="901" spans="1:10" x14ac:dyDescent="0.4">
      <c r="A901" s="273"/>
      <c r="B901" s="86" t="s">
        <v>122</v>
      </c>
      <c r="C901" s="75" t="s">
        <v>123</v>
      </c>
      <c r="D901" s="76">
        <v>1</v>
      </c>
      <c r="E901" s="77">
        <v>1</v>
      </c>
      <c r="F901" s="275"/>
      <c r="G901" s="75">
        <v>105.48</v>
      </c>
      <c r="H901" s="80"/>
      <c r="I901" s="81"/>
      <c r="J901" s="81"/>
    </row>
    <row r="902" spans="1:10" x14ac:dyDescent="0.4">
      <c r="A902" s="273"/>
      <c r="B902" s="86" t="s">
        <v>124</v>
      </c>
      <c r="C902" s="75" t="s">
        <v>125</v>
      </c>
      <c r="D902" s="76">
        <v>1</v>
      </c>
      <c r="E902" s="77">
        <v>1</v>
      </c>
      <c r="F902" s="275"/>
      <c r="G902" s="75">
        <v>105.48</v>
      </c>
      <c r="H902" s="80"/>
      <c r="I902" s="81"/>
      <c r="J902" s="81"/>
    </row>
    <row r="903" spans="1:10" x14ac:dyDescent="0.4">
      <c r="A903" s="273" t="s">
        <v>279</v>
      </c>
      <c r="B903" s="86" t="s">
        <v>131</v>
      </c>
      <c r="C903" s="75" t="s">
        <v>280</v>
      </c>
      <c r="D903" s="76">
        <v>1</v>
      </c>
      <c r="E903" s="77">
        <v>1</v>
      </c>
      <c r="F903" s="274" t="s">
        <v>273</v>
      </c>
      <c r="G903" s="75">
        <v>105.48</v>
      </c>
      <c r="H903" s="80"/>
      <c r="I903" s="81"/>
      <c r="J903" s="81"/>
    </row>
    <row r="904" spans="1:10" x14ac:dyDescent="0.4">
      <c r="A904" s="273"/>
      <c r="B904" s="86" t="s">
        <v>132</v>
      </c>
      <c r="C904" s="75" t="s">
        <v>133</v>
      </c>
      <c r="D904" s="76">
        <v>1</v>
      </c>
      <c r="E904" s="77">
        <v>1</v>
      </c>
      <c r="F904" s="275"/>
      <c r="G904" s="75">
        <v>105.48</v>
      </c>
      <c r="H904" s="80"/>
      <c r="I904" s="81"/>
      <c r="J904" s="81"/>
    </row>
    <row r="905" spans="1:10" x14ac:dyDescent="0.4">
      <c r="A905" s="273"/>
      <c r="B905" s="86" t="s">
        <v>134</v>
      </c>
      <c r="C905" s="75" t="s">
        <v>135</v>
      </c>
      <c r="D905" s="76">
        <v>1</v>
      </c>
      <c r="E905" s="77">
        <v>1</v>
      </c>
      <c r="F905" s="275"/>
      <c r="G905" s="79">
        <v>105.48</v>
      </c>
      <c r="H905" s="80"/>
      <c r="I905" s="81"/>
      <c r="J905" s="81"/>
    </row>
    <row r="906" spans="1:10" x14ac:dyDescent="0.4">
      <c r="A906" s="273"/>
      <c r="B906" s="86" t="s">
        <v>136</v>
      </c>
      <c r="C906" s="75" t="s">
        <v>137</v>
      </c>
      <c r="D906" s="76">
        <v>1</v>
      </c>
      <c r="E906" s="77">
        <v>1</v>
      </c>
      <c r="F906" s="275"/>
      <c r="G906" s="79">
        <v>105.48</v>
      </c>
      <c r="H906" s="80"/>
      <c r="I906" s="81"/>
      <c r="J906" s="81"/>
    </row>
    <row r="907" spans="1:10" x14ac:dyDescent="0.4">
      <c r="A907" s="273"/>
      <c r="B907" s="86" t="s">
        <v>138</v>
      </c>
      <c r="C907" s="75" t="s">
        <v>281</v>
      </c>
      <c r="D907" s="75">
        <v>0</v>
      </c>
      <c r="E907" s="77">
        <v>1</v>
      </c>
      <c r="F907" s="77">
        <v>1</v>
      </c>
      <c r="G907" s="75">
        <v>32.549999999999997</v>
      </c>
      <c r="H907" s="82"/>
      <c r="I907" s="82"/>
      <c r="J907" s="82"/>
    </row>
    <row r="908" spans="1:10" x14ac:dyDescent="0.4">
      <c r="A908" s="273"/>
      <c r="B908" s="86" t="s">
        <v>139</v>
      </c>
      <c r="C908" s="75" t="s">
        <v>140</v>
      </c>
      <c r="D908" s="75">
        <v>0</v>
      </c>
      <c r="E908" s="77">
        <v>1</v>
      </c>
      <c r="F908" s="77">
        <v>1</v>
      </c>
      <c r="G908" s="75">
        <v>32.549999999999997</v>
      </c>
      <c r="H908" s="83"/>
      <c r="I908" s="83"/>
      <c r="J908" s="83"/>
    </row>
    <row r="909" spans="1:10" x14ac:dyDescent="0.4">
      <c r="A909" s="273"/>
      <c r="B909" s="86" t="s">
        <v>141</v>
      </c>
      <c r="C909" s="75" t="s">
        <v>283</v>
      </c>
      <c r="D909" s="75">
        <v>0</v>
      </c>
      <c r="E909" s="77">
        <v>1</v>
      </c>
      <c r="F909" s="77">
        <v>1</v>
      </c>
      <c r="G909" s="75">
        <v>32.549999999999997</v>
      </c>
      <c r="H909" s="83"/>
      <c r="I909" s="83"/>
      <c r="J909" s="83"/>
    </row>
    <row r="910" spans="1:10" x14ac:dyDescent="0.4">
      <c r="A910" s="273"/>
      <c r="B910" s="86" t="s">
        <v>142</v>
      </c>
      <c r="C910" s="75" t="s">
        <v>143</v>
      </c>
      <c r="D910" s="75">
        <v>1</v>
      </c>
      <c r="E910" s="77">
        <v>1</v>
      </c>
      <c r="F910" s="77">
        <v>1</v>
      </c>
      <c r="G910" s="75">
        <v>32.549999999999997</v>
      </c>
      <c r="H910" s="84"/>
      <c r="I910" s="84"/>
      <c r="J910" s="84"/>
    </row>
    <row r="911" spans="1:10" x14ac:dyDescent="0.4">
      <c r="A911" s="273"/>
      <c r="B911" s="86" t="s">
        <v>144</v>
      </c>
      <c r="C911" s="75" t="s">
        <v>145</v>
      </c>
      <c r="D911" s="75">
        <v>0</v>
      </c>
      <c r="E911" s="77">
        <v>1</v>
      </c>
      <c r="F911" s="77">
        <v>1</v>
      </c>
      <c r="G911" s="75">
        <v>32.549999999999997</v>
      </c>
      <c r="H911" s="83"/>
      <c r="I911" s="83"/>
      <c r="J911" s="83"/>
    </row>
    <row r="912" spans="1:10" x14ac:dyDescent="0.4">
      <c r="A912" s="273"/>
      <c r="B912" s="86" t="s">
        <v>146</v>
      </c>
      <c r="C912" s="75" t="s">
        <v>147</v>
      </c>
      <c r="D912" s="75">
        <v>1</v>
      </c>
      <c r="E912" s="77">
        <v>1</v>
      </c>
      <c r="F912" s="77">
        <v>1</v>
      </c>
      <c r="G912" s="75">
        <v>32.549999999999997</v>
      </c>
      <c r="H912" s="84"/>
      <c r="I912" s="84"/>
      <c r="J912" s="84"/>
    </row>
    <row r="913" spans="1:10" x14ac:dyDescent="0.4">
      <c r="A913" s="273"/>
      <c r="B913" s="86" t="s">
        <v>148</v>
      </c>
      <c r="C913" s="75" t="s">
        <v>149</v>
      </c>
      <c r="D913" s="75">
        <v>0</v>
      </c>
      <c r="E913" s="77">
        <v>1</v>
      </c>
      <c r="F913" s="77">
        <v>1</v>
      </c>
      <c r="G913" s="75">
        <v>32.549999999999997</v>
      </c>
      <c r="H913" s="84"/>
      <c r="I913" s="84"/>
      <c r="J913" s="84"/>
    </row>
    <row r="914" spans="1:10" x14ac:dyDescent="0.4">
      <c r="A914" s="273"/>
      <c r="B914" s="86" t="s">
        <v>150</v>
      </c>
      <c r="C914" s="75" t="s">
        <v>151</v>
      </c>
      <c r="D914" s="75">
        <v>1</v>
      </c>
      <c r="E914" s="77">
        <v>1</v>
      </c>
      <c r="F914" s="77">
        <v>1</v>
      </c>
      <c r="G914" s="75">
        <v>32.549999999999997</v>
      </c>
      <c r="H914" s="84"/>
      <c r="I914" s="84"/>
      <c r="J914" s="84"/>
    </row>
    <row r="915" spans="1:10" x14ac:dyDescent="0.4">
      <c r="A915" s="273"/>
      <c r="B915" s="86" t="s">
        <v>152</v>
      </c>
      <c r="C915" s="75" t="s">
        <v>153</v>
      </c>
      <c r="D915" s="75">
        <v>0</v>
      </c>
      <c r="E915" s="77">
        <v>1</v>
      </c>
      <c r="F915" s="77">
        <v>1</v>
      </c>
      <c r="G915" s="75">
        <v>32.549999999999997</v>
      </c>
      <c r="H915" s="83"/>
      <c r="I915" s="83"/>
      <c r="J915" s="83"/>
    </row>
    <row r="916" spans="1:10" x14ac:dyDescent="0.4">
      <c r="A916" s="273"/>
      <c r="B916" s="86" t="s">
        <v>154</v>
      </c>
      <c r="C916" s="75" t="s">
        <v>155</v>
      </c>
      <c r="D916" s="75">
        <v>0</v>
      </c>
      <c r="E916" s="77">
        <v>1</v>
      </c>
      <c r="F916" s="77">
        <v>1</v>
      </c>
      <c r="G916" s="75">
        <v>32.549999999999997</v>
      </c>
      <c r="H916" s="83"/>
      <c r="I916" s="83"/>
      <c r="J916" s="83"/>
    </row>
    <row r="917" spans="1:10" x14ac:dyDescent="0.4">
      <c r="A917" s="273"/>
      <c r="B917" s="86" t="s">
        <v>156</v>
      </c>
      <c r="C917" s="75" t="s">
        <v>157</v>
      </c>
      <c r="D917" s="75">
        <v>0</v>
      </c>
      <c r="E917" s="77">
        <v>1</v>
      </c>
      <c r="F917" s="77">
        <v>1</v>
      </c>
      <c r="G917" s="75">
        <v>32.549999999999997</v>
      </c>
      <c r="H917" s="83"/>
      <c r="I917" s="83"/>
      <c r="J917" s="83"/>
    </row>
    <row r="918" spans="1:10" x14ac:dyDescent="0.4">
      <c r="A918" s="273"/>
      <c r="B918" s="86" t="s">
        <v>158</v>
      </c>
      <c r="C918" s="75" t="s">
        <v>159</v>
      </c>
      <c r="D918" s="75">
        <v>0</v>
      </c>
      <c r="E918" s="77">
        <v>1</v>
      </c>
      <c r="F918" s="77">
        <v>1</v>
      </c>
      <c r="G918" s="75">
        <v>32.549999999999997</v>
      </c>
      <c r="H918" s="83"/>
      <c r="I918" s="83"/>
      <c r="J918" s="83"/>
    </row>
    <row r="919" spans="1:10" x14ac:dyDescent="0.4">
      <c r="A919" s="273"/>
      <c r="B919" s="86" t="s">
        <v>160</v>
      </c>
      <c r="C919" s="75" t="s">
        <v>161</v>
      </c>
      <c r="D919" s="75">
        <v>0</v>
      </c>
      <c r="E919" s="77">
        <v>1</v>
      </c>
      <c r="F919" s="77">
        <v>1</v>
      </c>
      <c r="G919" s="75">
        <v>32.549999999999997</v>
      </c>
      <c r="H919" s="83"/>
      <c r="I919" s="83"/>
      <c r="J919" s="83"/>
    </row>
    <row r="920" spans="1:10" x14ac:dyDescent="0.4">
      <c r="A920" s="273"/>
      <c r="B920" s="86" t="s">
        <v>162</v>
      </c>
      <c r="C920" s="75" t="s">
        <v>163</v>
      </c>
      <c r="D920" s="75">
        <v>0</v>
      </c>
      <c r="E920" s="77">
        <v>1</v>
      </c>
      <c r="F920" s="77">
        <v>1</v>
      </c>
      <c r="G920" s="75">
        <v>32.549999999999997</v>
      </c>
      <c r="H920" s="83"/>
      <c r="I920" s="83"/>
      <c r="J920" s="83"/>
    </row>
    <row r="921" spans="1:10" x14ac:dyDescent="0.4">
      <c r="A921" s="273"/>
      <c r="B921" s="86" t="s">
        <v>164</v>
      </c>
      <c r="C921" s="75" t="s">
        <v>284</v>
      </c>
      <c r="D921" s="75">
        <v>0</v>
      </c>
      <c r="E921" s="77">
        <v>1</v>
      </c>
      <c r="F921" s="77">
        <v>1</v>
      </c>
      <c r="G921" s="75">
        <v>24.4</v>
      </c>
      <c r="H921" s="83"/>
      <c r="I921" s="83"/>
      <c r="J921" s="83"/>
    </row>
    <row r="922" spans="1:10" x14ac:dyDescent="0.4">
      <c r="A922" s="273"/>
      <c r="B922" s="86" t="s">
        <v>165</v>
      </c>
      <c r="C922" s="75" t="s">
        <v>166</v>
      </c>
      <c r="D922" s="75">
        <v>0</v>
      </c>
      <c r="E922" s="77">
        <v>1</v>
      </c>
      <c r="F922" s="77">
        <v>1</v>
      </c>
      <c r="G922" s="75">
        <v>24.4</v>
      </c>
      <c r="H922" s="83"/>
      <c r="I922" s="83"/>
      <c r="J922" s="83"/>
    </row>
    <row r="923" spans="1:10" x14ac:dyDescent="0.4">
      <c r="A923" s="273" t="s">
        <v>285</v>
      </c>
      <c r="B923" s="86" t="s">
        <v>167</v>
      </c>
      <c r="C923" s="75" t="s">
        <v>286</v>
      </c>
      <c r="D923" s="76">
        <v>1</v>
      </c>
      <c r="E923" s="77">
        <v>1</v>
      </c>
      <c r="F923" s="274" t="s">
        <v>273</v>
      </c>
      <c r="G923" s="75">
        <v>105.48</v>
      </c>
      <c r="H923" s="80"/>
      <c r="I923" s="84"/>
      <c r="J923" s="84"/>
    </row>
    <row r="924" spans="1:10" x14ac:dyDescent="0.4">
      <c r="A924" s="273"/>
      <c r="B924" s="86" t="s">
        <v>168</v>
      </c>
      <c r="C924" s="75" t="s">
        <v>169</v>
      </c>
      <c r="D924" s="76">
        <v>1</v>
      </c>
      <c r="E924" s="77">
        <v>1</v>
      </c>
      <c r="F924" s="275"/>
      <c r="G924" s="75">
        <v>105.48</v>
      </c>
      <c r="H924" s="80"/>
      <c r="I924" s="85"/>
      <c r="J924" s="85"/>
    </row>
    <row r="925" spans="1:10" x14ac:dyDescent="0.4">
      <c r="A925" s="273"/>
      <c r="B925" s="86" t="s">
        <v>170</v>
      </c>
      <c r="C925" s="75" t="s">
        <v>171</v>
      </c>
      <c r="D925" s="76">
        <v>1</v>
      </c>
      <c r="E925" s="77">
        <v>1</v>
      </c>
      <c r="F925" s="275"/>
      <c r="G925" s="75">
        <v>105.48</v>
      </c>
      <c r="H925" s="80"/>
      <c r="I925" s="81"/>
      <c r="J925" s="81"/>
    </row>
    <row r="926" spans="1:10" x14ac:dyDescent="0.4">
      <c r="A926" s="273"/>
      <c r="B926" s="86" t="s">
        <v>172</v>
      </c>
      <c r="C926" s="75" t="s">
        <v>173</v>
      </c>
      <c r="D926" s="76">
        <v>1</v>
      </c>
      <c r="E926" s="77">
        <v>1</v>
      </c>
      <c r="F926" s="275"/>
      <c r="G926" s="75">
        <v>105.48</v>
      </c>
      <c r="H926" s="80"/>
      <c r="I926" s="81"/>
      <c r="J926" s="81"/>
    </row>
    <row r="927" spans="1:10" x14ac:dyDescent="0.4">
      <c r="A927" s="273"/>
      <c r="B927" s="86" t="s">
        <v>174</v>
      </c>
      <c r="C927" s="75" t="s">
        <v>287</v>
      </c>
      <c r="D927" s="76">
        <v>1</v>
      </c>
      <c r="E927" s="77">
        <v>1</v>
      </c>
      <c r="F927" s="275"/>
      <c r="G927" s="75">
        <v>65</v>
      </c>
      <c r="H927" s="93"/>
      <c r="I927" s="93"/>
      <c r="J927" s="93"/>
    </row>
    <row r="928" spans="1:10" x14ac:dyDescent="0.4">
      <c r="A928" s="273"/>
      <c r="B928" s="86" t="s">
        <v>175</v>
      </c>
      <c r="C928" s="75" t="s">
        <v>176</v>
      </c>
      <c r="D928" s="76">
        <v>1</v>
      </c>
      <c r="E928" s="77">
        <v>1</v>
      </c>
      <c r="F928" s="276"/>
      <c r="G928" s="75">
        <v>65</v>
      </c>
      <c r="H928" s="93"/>
      <c r="I928" s="93"/>
      <c r="J928" s="93"/>
    </row>
    <row r="929" spans="1:10" x14ac:dyDescent="0.4">
      <c r="A929" s="273"/>
      <c r="B929" s="86" t="s">
        <v>177</v>
      </c>
      <c r="C929" s="75" t="s">
        <v>288</v>
      </c>
      <c r="D929" s="76">
        <v>1</v>
      </c>
      <c r="E929" s="77">
        <v>1</v>
      </c>
      <c r="F929" s="274" t="s">
        <v>282</v>
      </c>
      <c r="G929" s="75">
        <v>16.3</v>
      </c>
      <c r="H929" s="93"/>
      <c r="I929" s="93"/>
      <c r="J929" s="93"/>
    </row>
    <row r="930" spans="1:10" x14ac:dyDescent="0.4">
      <c r="A930" s="273"/>
      <c r="B930" s="86" t="s">
        <v>178</v>
      </c>
      <c r="C930" s="75" t="s">
        <v>179</v>
      </c>
      <c r="D930" s="76">
        <v>1</v>
      </c>
      <c r="E930" s="77">
        <v>1</v>
      </c>
      <c r="F930" s="275"/>
      <c r="G930" s="75">
        <v>16.3</v>
      </c>
      <c r="H930" s="93"/>
      <c r="I930" s="93"/>
      <c r="J930" s="93"/>
    </row>
    <row r="931" spans="1:10" x14ac:dyDescent="0.4">
      <c r="A931" s="273"/>
      <c r="B931" s="86" t="s">
        <v>180</v>
      </c>
      <c r="C931" s="75" t="s">
        <v>181</v>
      </c>
      <c r="D931" s="76">
        <v>1</v>
      </c>
      <c r="E931" s="77">
        <v>1</v>
      </c>
      <c r="F931" s="275"/>
      <c r="G931" s="75">
        <v>16.3</v>
      </c>
      <c r="H931" s="93"/>
      <c r="I931" s="93"/>
      <c r="J931" s="93"/>
    </row>
    <row r="932" spans="1:10" x14ac:dyDescent="0.4">
      <c r="A932" s="273"/>
      <c r="B932" s="86" t="s">
        <v>289</v>
      </c>
      <c r="C932" s="75" t="s">
        <v>182</v>
      </c>
      <c r="D932" s="76">
        <v>1</v>
      </c>
      <c r="E932" s="77">
        <v>1</v>
      </c>
      <c r="F932" s="276"/>
      <c r="G932" s="75">
        <v>35</v>
      </c>
      <c r="H932" s="93"/>
      <c r="I932" s="93"/>
      <c r="J932" s="93"/>
    </row>
    <row r="933" spans="1:10" x14ac:dyDescent="0.4">
      <c r="A933" s="273" t="s">
        <v>275</v>
      </c>
      <c r="B933" s="86" t="s">
        <v>126</v>
      </c>
      <c r="C933" s="75" t="s">
        <v>278</v>
      </c>
      <c r="D933" s="76">
        <v>1</v>
      </c>
      <c r="E933" s="77">
        <v>1</v>
      </c>
      <c r="F933" s="90"/>
      <c r="G933" s="75">
        <v>70.319999999999993</v>
      </c>
      <c r="H933" s="93"/>
      <c r="I933" s="93"/>
      <c r="J933" s="93"/>
    </row>
    <row r="934" spans="1:10" x14ac:dyDescent="0.4">
      <c r="A934" s="273"/>
      <c r="B934" s="86" t="s">
        <v>127</v>
      </c>
      <c r="C934" s="75" t="s">
        <v>128</v>
      </c>
      <c r="D934" s="76">
        <v>1</v>
      </c>
      <c r="E934" s="77">
        <v>1</v>
      </c>
      <c r="F934" s="90"/>
      <c r="G934" s="75">
        <v>70.319999999999993</v>
      </c>
      <c r="H934" s="93"/>
      <c r="I934" s="93"/>
      <c r="J934" s="93"/>
    </row>
    <row r="935" spans="1:10" x14ac:dyDescent="0.4">
      <c r="A935" s="273"/>
      <c r="B935" s="86" t="s">
        <v>129</v>
      </c>
      <c r="C935" s="75" t="s">
        <v>130</v>
      </c>
      <c r="D935" s="76">
        <v>1</v>
      </c>
      <c r="E935" s="77">
        <v>1</v>
      </c>
      <c r="F935" s="90"/>
      <c r="G935" s="75">
        <v>70.319999999999993</v>
      </c>
      <c r="H935" s="93"/>
      <c r="I935" s="93"/>
      <c r="J935" s="93"/>
    </row>
    <row r="936" spans="1:10" x14ac:dyDescent="0.4">
      <c r="H936" s="91" t="e">
        <f>AVERAGE(H895:H906,H912:H914,H923:H935)</f>
        <v>#DIV/0!</v>
      </c>
      <c r="I936" s="91" t="e">
        <f>AVERAGE(I895:I906,I912:I914,I923:I935)</f>
        <v>#DIV/0!</v>
      </c>
      <c r="J936" s="120" t="e">
        <f>AVERAGE(J895:J906,J912:J914,J923:J935,J910)</f>
        <v>#DIV/0!</v>
      </c>
    </row>
    <row r="937" spans="1:10" x14ac:dyDescent="0.4">
      <c r="J937" s="115" t="s">
        <v>262</v>
      </c>
    </row>
    <row r="938" spans="1:10" x14ac:dyDescent="0.4">
      <c r="A938" s="288" t="s">
        <v>290</v>
      </c>
      <c r="B938" s="288"/>
      <c r="C938" s="289" t="s">
        <v>187</v>
      </c>
      <c r="D938" s="290"/>
      <c r="E938" s="290" t="s">
        <v>188</v>
      </c>
      <c r="F938" s="290"/>
      <c r="G938" s="290" t="s">
        <v>189</v>
      </c>
      <c r="H938" s="290"/>
      <c r="I938" s="290" t="s">
        <v>190</v>
      </c>
      <c r="J938" s="290"/>
    </row>
    <row r="939" spans="1:10" ht="34.799999999999997" x14ac:dyDescent="0.4">
      <c r="A939" s="288"/>
      <c r="B939" s="288"/>
      <c r="C939" s="102" t="s">
        <v>191</v>
      </c>
      <c r="D939" s="101" t="s">
        <v>192</v>
      </c>
      <c r="E939" s="101" t="s">
        <v>191</v>
      </c>
      <c r="F939" s="101" t="s">
        <v>192</v>
      </c>
      <c r="G939" s="101" t="s">
        <v>191</v>
      </c>
      <c r="H939" s="101" t="s">
        <v>192</v>
      </c>
      <c r="I939" s="101" t="s">
        <v>191</v>
      </c>
      <c r="J939" s="101" t="s">
        <v>192</v>
      </c>
    </row>
    <row r="940" spans="1:10" x14ac:dyDescent="0.4">
      <c r="A940" s="277" t="s">
        <v>291</v>
      </c>
      <c r="B940" s="100" t="s">
        <v>292</v>
      </c>
      <c r="C940" s="93"/>
      <c r="D940" s="92"/>
      <c r="E940" s="93"/>
      <c r="F940" s="92"/>
      <c r="G940" s="93"/>
      <c r="H940" s="92"/>
      <c r="I940" s="93"/>
      <c r="J940" s="92"/>
    </row>
    <row r="941" spans="1:10" x14ac:dyDescent="0.4">
      <c r="A941" s="278"/>
      <c r="B941" s="94" t="s">
        <v>193</v>
      </c>
      <c r="C941" s="93"/>
      <c r="D941" s="92"/>
      <c r="E941" s="93"/>
      <c r="F941" s="92"/>
      <c r="G941" s="93"/>
      <c r="H941" s="92"/>
      <c r="I941" s="93"/>
      <c r="J941" s="92"/>
    </row>
    <row r="942" spans="1:10" x14ac:dyDescent="0.4">
      <c r="A942" s="278"/>
      <c r="B942" s="94" t="s">
        <v>194</v>
      </c>
      <c r="C942" s="93"/>
      <c r="D942" s="92"/>
      <c r="E942" s="93"/>
      <c r="F942" s="92"/>
      <c r="G942" s="93"/>
      <c r="H942" s="92"/>
      <c r="I942" s="93"/>
      <c r="J942" s="92"/>
    </row>
    <row r="943" spans="1:10" x14ac:dyDescent="0.4">
      <c r="A943" s="278"/>
      <c r="B943" s="94" t="s">
        <v>195</v>
      </c>
      <c r="C943" s="93"/>
      <c r="D943" s="92"/>
      <c r="E943" s="93"/>
      <c r="F943" s="92"/>
      <c r="G943" s="93"/>
      <c r="H943" s="92"/>
      <c r="I943" s="93"/>
      <c r="J943" s="92"/>
    </row>
    <row r="944" spans="1:10" x14ac:dyDescent="0.4">
      <c r="A944" s="278"/>
      <c r="B944" s="94" t="s">
        <v>196</v>
      </c>
      <c r="C944" s="93"/>
      <c r="D944" s="92"/>
      <c r="E944" s="93"/>
      <c r="F944" s="92"/>
      <c r="G944" s="93"/>
      <c r="H944" s="92"/>
      <c r="I944" s="93"/>
      <c r="J944" s="92"/>
    </row>
    <row r="945" spans="1:10" x14ac:dyDescent="0.4">
      <c r="A945" s="278"/>
      <c r="B945" s="94" t="s">
        <v>197</v>
      </c>
      <c r="C945" s="93"/>
      <c r="D945" s="92"/>
      <c r="E945" s="93"/>
      <c r="F945" s="92"/>
      <c r="G945" s="93"/>
      <c r="H945" s="92"/>
      <c r="I945" s="93"/>
      <c r="J945" s="92"/>
    </row>
    <row r="946" spans="1:10" x14ac:dyDescent="0.4">
      <c r="A946" s="278"/>
      <c r="B946" s="94" t="s">
        <v>198</v>
      </c>
      <c r="C946" s="93"/>
      <c r="D946" s="92"/>
      <c r="E946" s="93"/>
      <c r="F946" s="92"/>
      <c r="G946" s="93"/>
      <c r="H946" s="92"/>
      <c r="I946" s="93"/>
      <c r="J946" s="92"/>
    </row>
    <row r="947" spans="1:10" x14ac:dyDescent="0.4">
      <c r="A947" s="278"/>
      <c r="B947" s="94" t="s">
        <v>199</v>
      </c>
      <c r="C947" s="93"/>
      <c r="D947" s="92"/>
      <c r="E947" s="93"/>
      <c r="F947" s="92"/>
      <c r="G947" s="93"/>
      <c r="H947" s="92"/>
      <c r="I947" s="93"/>
      <c r="J947" s="92"/>
    </row>
    <row r="948" spans="1:10" x14ac:dyDescent="0.4">
      <c r="A948" s="278"/>
      <c r="B948" s="94" t="s">
        <v>200</v>
      </c>
      <c r="C948" s="93"/>
      <c r="D948" s="92"/>
      <c r="E948" s="93"/>
      <c r="F948" s="92"/>
      <c r="G948" s="93"/>
      <c r="H948" s="92"/>
      <c r="I948" s="98"/>
      <c r="J948" s="99"/>
    </row>
    <row r="949" spans="1:10" x14ac:dyDescent="0.4">
      <c r="A949" s="278"/>
      <c r="B949" s="94" t="s">
        <v>201</v>
      </c>
      <c r="C949" s="93"/>
      <c r="D949" s="92"/>
      <c r="E949" s="98"/>
      <c r="F949" s="99"/>
      <c r="G949" s="93"/>
      <c r="H949" s="92"/>
      <c r="I949" s="98"/>
      <c r="J949" s="99"/>
    </row>
    <row r="950" spans="1:10" x14ac:dyDescent="0.4">
      <c r="A950" s="278"/>
      <c r="B950" s="94" t="s">
        <v>202</v>
      </c>
      <c r="C950" s="93"/>
      <c r="D950" s="92"/>
      <c r="E950" s="98"/>
      <c r="F950" s="99"/>
      <c r="G950" s="93"/>
      <c r="H950" s="92"/>
      <c r="I950" s="98"/>
      <c r="J950" s="99"/>
    </row>
    <row r="951" spans="1:10" x14ac:dyDescent="0.4">
      <c r="A951" s="278"/>
      <c r="B951" s="94" t="s">
        <v>203</v>
      </c>
      <c r="C951" s="93"/>
      <c r="D951" s="92"/>
      <c r="E951" s="98"/>
      <c r="F951" s="99"/>
      <c r="G951" s="93"/>
      <c r="H951" s="92"/>
      <c r="I951" s="98"/>
      <c r="J951" s="99"/>
    </row>
    <row r="952" spans="1:10" x14ac:dyDescent="0.4">
      <c r="A952" s="278"/>
      <c r="B952" s="94" t="s">
        <v>204</v>
      </c>
      <c r="C952" s="93"/>
      <c r="D952" s="92"/>
      <c r="E952" s="98"/>
      <c r="F952" s="99"/>
      <c r="G952" s="93"/>
      <c r="H952" s="92"/>
      <c r="I952" s="98"/>
      <c r="J952" s="99"/>
    </row>
    <row r="953" spans="1:10" x14ac:dyDescent="0.4">
      <c r="A953" s="278"/>
      <c r="B953" s="94" t="s">
        <v>205</v>
      </c>
      <c r="C953" s="98"/>
      <c r="D953" s="99"/>
      <c r="E953" s="98"/>
      <c r="F953" s="99"/>
      <c r="G953" s="93"/>
      <c r="H953" s="92"/>
      <c r="I953" s="98"/>
      <c r="J953" s="99"/>
    </row>
    <row r="954" spans="1:10" x14ac:dyDescent="0.4">
      <c r="A954" s="278"/>
      <c r="B954" s="94" t="s">
        <v>206</v>
      </c>
      <c r="C954" s="98"/>
      <c r="D954" s="99"/>
      <c r="E954" s="98"/>
      <c r="F954" s="99"/>
      <c r="G954" s="93"/>
      <c r="H954" s="92"/>
      <c r="I954" s="98"/>
      <c r="J954" s="99"/>
    </row>
    <row r="955" spans="1:10" x14ac:dyDescent="0.4">
      <c r="A955" s="278"/>
      <c r="B955" s="94" t="s">
        <v>207</v>
      </c>
      <c r="C955" s="98"/>
      <c r="D955" s="99"/>
      <c r="E955" s="98"/>
      <c r="F955" s="99"/>
      <c r="G955" s="93"/>
      <c r="H955" s="92"/>
      <c r="I955" s="98"/>
      <c r="J955" s="99"/>
    </row>
    <row r="956" spans="1:10" x14ac:dyDescent="0.4">
      <c r="A956" s="278"/>
      <c r="B956" s="95" t="s">
        <v>293</v>
      </c>
      <c r="C956" s="93"/>
      <c r="D956" s="92"/>
      <c r="E956" s="93"/>
      <c r="F956" s="92"/>
      <c r="G956" s="93"/>
      <c r="H956" s="92"/>
      <c r="I956" s="93"/>
      <c r="J956" s="92"/>
    </row>
    <row r="957" spans="1:10" x14ac:dyDescent="0.4">
      <c r="A957" s="278"/>
      <c r="B957" s="95" t="s">
        <v>208</v>
      </c>
      <c r="C957" s="93"/>
      <c r="D957" s="92"/>
      <c r="E957" s="93"/>
      <c r="F957" s="92"/>
      <c r="G957" s="93"/>
      <c r="H957" s="92"/>
      <c r="I957" s="93"/>
      <c r="J957" s="92"/>
    </row>
    <row r="958" spans="1:10" x14ac:dyDescent="0.4">
      <c r="A958" s="278"/>
      <c r="B958" s="95" t="s">
        <v>209</v>
      </c>
      <c r="C958" s="93"/>
      <c r="D958" s="92"/>
      <c r="E958" s="93"/>
      <c r="F958" s="92"/>
      <c r="G958" s="93"/>
      <c r="H958" s="92"/>
      <c r="I958" s="93"/>
      <c r="J958" s="92"/>
    </row>
    <row r="959" spans="1:10" x14ac:dyDescent="0.4">
      <c r="A959" s="278"/>
      <c r="B959" s="95" t="s">
        <v>210</v>
      </c>
      <c r="C959" s="93"/>
      <c r="D959" s="92"/>
      <c r="E959" s="93"/>
      <c r="F959" s="92"/>
      <c r="G959" s="93"/>
      <c r="H959" s="92"/>
      <c r="I959" s="93"/>
      <c r="J959" s="92"/>
    </row>
    <row r="960" spans="1:10" x14ac:dyDescent="0.4">
      <c r="A960" s="278"/>
      <c r="B960" s="95" t="s">
        <v>211</v>
      </c>
      <c r="C960" s="93"/>
      <c r="D960" s="92"/>
      <c r="E960" s="93"/>
      <c r="F960" s="92"/>
      <c r="G960" s="93"/>
      <c r="H960" s="92"/>
      <c r="I960" s="93"/>
      <c r="J960" s="92"/>
    </row>
    <row r="961" spans="1:10" x14ac:dyDescent="0.4">
      <c r="A961" s="278"/>
      <c r="B961" s="95" t="s">
        <v>212</v>
      </c>
      <c r="C961" s="93"/>
      <c r="D961" s="92"/>
      <c r="E961" s="93"/>
      <c r="F961" s="92"/>
      <c r="G961" s="93"/>
      <c r="H961" s="92"/>
      <c r="I961" s="93"/>
      <c r="J961" s="92"/>
    </row>
    <row r="962" spans="1:10" x14ac:dyDescent="0.4">
      <c r="A962" s="278"/>
      <c r="B962" s="95" t="s">
        <v>213</v>
      </c>
      <c r="C962" s="93"/>
      <c r="D962" s="92"/>
      <c r="E962" s="93"/>
      <c r="F962" s="92"/>
      <c r="G962" s="93"/>
      <c r="H962" s="92"/>
      <c r="I962" s="93"/>
      <c r="J962" s="92"/>
    </row>
    <row r="963" spans="1:10" x14ac:dyDescent="0.4">
      <c r="A963" s="278"/>
      <c r="B963" s="95" t="s">
        <v>214</v>
      </c>
      <c r="C963" s="93"/>
      <c r="D963" s="92"/>
      <c r="E963" s="93"/>
      <c r="F963" s="92"/>
      <c r="G963" s="93"/>
      <c r="H963" s="92"/>
      <c r="I963" s="93"/>
      <c r="J963" s="92"/>
    </row>
    <row r="964" spans="1:10" x14ac:dyDescent="0.4">
      <c r="A964" s="278"/>
      <c r="B964" s="95" t="s">
        <v>215</v>
      </c>
      <c r="C964" s="93"/>
      <c r="D964" s="92"/>
      <c r="E964" s="93"/>
      <c r="F964" s="92"/>
      <c r="G964" s="93"/>
      <c r="H964" s="92"/>
      <c r="I964" s="93"/>
      <c r="J964" s="92"/>
    </row>
    <row r="965" spans="1:10" x14ac:dyDescent="0.4">
      <c r="A965" s="278"/>
      <c r="B965" s="95" t="s">
        <v>216</v>
      </c>
      <c r="C965" s="93"/>
      <c r="D965" s="92"/>
      <c r="E965" s="93"/>
      <c r="F965" s="92"/>
      <c r="G965" s="93"/>
      <c r="H965" s="92"/>
      <c r="I965" s="93"/>
      <c r="J965" s="92"/>
    </row>
    <row r="966" spans="1:10" x14ac:dyDescent="0.4">
      <c r="A966" s="278"/>
      <c r="B966" s="95" t="s">
        <v>217</v>
      </c>
      <c r="C966" s="93"/>
      <c r="D966" s="92"/>
      <c r="E966" s="93"/>
      <c r="F966" s="92"/>
      <c r="G966" s="93"/>
      <c r="H966" s="92"/>
      <c r="I966" s="98"/>
      <c r="J966" s="99"/>
    </row>
    <row r="967" spans="1:10" x14ac:dyDescent="0.4">
      <c r="A967" s="278"/>
      <c r="B967" s="95" t="s">
        <v>218</v>
      </c>
      <c r="C967" s="93"/>
      <c r="D967" s="92"/>
      <c r="E967" s="93"/>
      <c r="F967" s="92"/>
      <c r="G967" s="93"/>
      <c r="H967" s="92"/>
      <c r="I967" s="98"/>
      <c r="J967" s="99"/>
    </row>
    <row r="968" spans="1:10" x14ac:dyDescent="0.4">
      <c r="A968" s="278"/>
      <c r="B968" s="95" t="s">
        <v>219</v>
      </c>
      <c r="C968" s="93"/>
      <c r="D968" s="92"/>
      <c r="E968" s="93"/>
      <c r="F968" s="92"/>
      <c r="G968" s="93"/>
      <c r="H968" s="92"/>
      <c r="I968" s="98"/>
      <c r="J968" s="99"/>
    </row>
    <row r="969" spans="1:10" x14ac:dyDescent="0.4">
      <c r="A969" s="278"/>
      <c r="B969" s="95" t="s">
        <v>220</v>
      </c>
      <c r="C969" s="93"/>
      <c r="D969" s="92"/>
      <c r="E969" s="93"/>
      <c r="F969" s="92"/>
      <c r="G969" s="98"/>
      <c r="H969" s="99"/>
      <c r="I969" s="98"/>
      <c r="J969" s="99"/>
    </row>
    <row r="970" spans="1:10" x14ac:dyDescent="0.4">
      <c r="A970" s="278"/>
      <c r="B970" s="95" t="s">
        <v>294</v>
      </c>
      <c r="C970" s="93"/>
      <c r="D970" s="92"/>
      <c r="E970" s="98"/>
      <c r="F970" s="99"/>
      <c r="G970" s="98"/>
      <c r="H970" s="99"/>
      <c r="I970" s="98"/>
      <c r="J970" s="99"/>
    </row>
    <row r="971" spans="1:10" x14ac:dyDescent="0.4">
      <c r="A971" s="278"/>
      <c r="B971" s="95" t="s">
        <v>221</v>
      </c>
      <c r="C971" s="93"/>
      <c r="D971" s="92"/>
      <c r="E971" s="98"/>
      <c r="F971" s="99"/>
      <c r="G971" s="98"/>
      <c r="H971" s="99"/>
      <c r="I971" s="98"/>
      <c r="J971" s="99"/>
    </row>
    <row r="972" spans="1:10" x14ac:dyDescent="0.4">
      <c r="A972" s="278"/>
      <c r="B972" s="96" t="s">
        <v>295</v>
      </c>
      <c r="C972" s="93"/>
      <c r="D972" s="92"/>
      <c r="E972" s="93"/>
      <c r="F972" s="92"/>
      <c r="G972" s="93"/>
      <c r="H972" s="92"/>
      <c r="I972" s="93"/>
      <c r="J972" s="92"/>
    </row>
    <row r="973" spans="1:10" x14ac:dyDescent="0.4">
      <c r="A973" s="278"/>
      <c r="B973" s="96" t="s">
        <v>222</v>
      </c>
      <c r="C973" s="93"/>
      <c r="D973" s="92"/>
      <c r="E973" s="93"/>
      <c r="F973" s="92"/>
      <c r="G973" s="93"/>
      <c r="H973" s="92"/>
      <c r="I973" s="93"/>
      <c r="J973" s="92"/>
    </row>
    <row r="974" spans="1:10" x14ac:dyDescent="0.4">
      <c r="A974" s="278"/>
      <c r="B974" s="96" t="s">
        <v>223</v>
      </c>
      <c r="C974" s="93"/>
      <c r="D974" s="92"/>
      <c r="E974" s="93"/>
      <c r="F974" s="92"/>
      <c r="G974" s="93"/>
      <c r="H974" s="92"/>
      <c r="I974" s="93"/>
      <c r="J974" s="92"/>
    </row>
    <row r="975" spans="1:10" x14ac:dyDescent="0.4">
      <c r="A975" s="278"/>
      <c r="B975" s="96" t="s">
        <v>224</v>
      </c>
      <c r="C975" s="93"/>
      <c r="D975" s="92"/>
      <c r="E975" s="93"/>
      <c r="F975" s="92"/>
      <c r="G975" s="93"/>
      <c r="H975" s="92"/>
      <c r="I975" s="93"/>
      <c r="J975" s="92"/>
    </row>
    <row r="976" spans="1:10" x14ac:dyDescent="0.4">
      <c r="A976" s="278"/>
      <c r="B976" s="96" t="s">
        <v>225</v>
      </c>
      <c r="C976" s="93"/>
      <c r="D976" s="92"/>
      <c r="E976" s="93"/>
      <c r="F976" s="92"/>
      <c r="G976" s="93"/>
      <c r="H976" s="92"/>
      <c r="I976" s="93"/>
      <c r="J976" s="92"/>
    </row>
    <row r="977" spans="1:10" x14ac:dyDescent="0.4">
      <c r="A977" s="278"/>
      <c r="B977" s="96" t="s">
        <v>226</v>
      </c>
      <c r="C977" s="93"/>
      <c r="D977" s="92"/>
      <c r="E977" s="93"/>
      <c r="F977" s="92"/>
      <c r="G977" s="93"/>
      <c r="H977" s="92"/>
      <c r="I977" s="93"/>
      <c r="J977" s="92"/>
    </row>
    <row r="978" spans="1:10" x14ac:dyDescent="0.4">
      <c r="A978" s="278"/>
      <c r="B978" s="96" t="s">
        <v>227</v>
      </c>
      <c r="C978" s="93"/>
      <c r="D978" s="92"/>
      <c r="E978" s="93"/>
      <c r="F978" s="92"/>
      <c r="G978" s="93"/>
      <c r="H978" s="92"/>
      <c r="I978" s="93"/>
      <c r="J978" s="92"/>
    </row>
    <row r="979" spans="1:10" x14ac:dyDescent="0.4">
      <c r="A979" s="278"/>
      <c r="B979" s="96" t="s">
        <v>228</v>
      </c>
      <c r="C979" s="93"/>
      <c r="D979" s="92"/>
      <c r="E979" s="93"/>
      <c r="F979" s="92"/>
      <c r="G979" s="93"/>
      <c r="H979" s="92"/>
      <c r="I979" s="93"/>
      <c r="J979" s="92"/>
    </row>
    <row r="980" spans="1:10" x14ac:dyDescent="0.4">
      <c r="A980" s="278"/>
      <c r="B980" s="96" t="s">
        <v>229</v>
      </c>
      <c r="C980" s="93"/>
      <c r="D980" s="92"/>
      <c r="E980" s="93"/>
      <c r="F980" s="92"/>
      <c r="G980" s="98"/>
      <c r="H980" s="99"/>
      <c r="I980" s="93"/>
      <c r="J980" s="92"/>
    </row>
    <row r="981" spans="1:10" x14ac:dyDescent="0.4">
      <c r="A981" s="278"/>
      <c r="B981" s="96" t="s">
        <v>230</v>
      </c>
      <c r="C981" s="93"/>
      <c r="D981" s="92"/>
      <c r="E981" s="93"/>
      <c r="F981" s="92"/>
      <c r="G981" s="98"/>
      <c r="H981" s="99"/>
      <c r="I981" s="98"/>
      <c r="J981" s="99"/>
    </row>
    <row r="982" spans="1:10" x14ac:dyDescent="0.4">
      <c r="A982" s="278"/>
      <c r="B982" s="96" t="s">
        <v>231</v>
      </c>
      <c r="C982" s="93"/>
      <c r="D982" s="92"/>
      <c r="E982" s="93"/>
      <c r="F982" s="92"/>
      <c r="G982" s="98"/>
      <c r="H982" s="99"/>
      <c r="I982" s="98"/>
      <c r="J982" s="99"/>
    </row>
    <row r="983" spans="1:10" x14ac:dyDescent="0.4">
      <c r="A983" s="278"/>
      <c r="B983" s="96" t="s">
        <v>232</v>
      </c>
      <c r="C983" s="93"/>
      <c r="D983" s="92"/>
      <c r="E983" s="93"/>
      <c r="F983" s="92"/>
      <c r="G983" s="98"/>
      <c r="H983" s="99"/>
      <c r="I983" s="98"/>
      <c r="J983" s="99"/>
    </row>
    <row r="984" spans="1:10" x14ac:dyDescent="0.4">
      <c r="A984" s="278"/>
      <c r="B984" s="96" t="s">
        <v>233</v>
      </c>
      <c r="C984" s="93"/>
      <c r="D984" s="92"/>
      <c r="E984" s="93"/>
      <c r="F984" s="92"/>
      <c r="G984" s="98"/>
      <c r="H984" s="99"/>
      <c r="I984" s="98"/>
      <c r="J984" s="99"/>
    </row>
    <row r="985" spans="1:10" x14ac:dyDescent="0.4">
      <c r="A985" s="278"/>
      <c r="B985" s="96" t="s">
        <v>234</v>
      </c>
      <c r="C985" s="93"/>
      <c r="D985" s="92"/>
      <c r="E985" s="93"/>
      <c r="F985" s="92"/>
      <c r="G985" s="98"/>
      <c r="H985" s="99"/>
      <c r="I985" s="98"/>
      <c r="J985" s="99"/>
    </row>
    <row r="986" spans="1:10" x14ac:dyDescent="0.4">
      <c r="A986" s="278"/>
      <c r="B986" s="96" t="s">
        <v>235</v>
      </c>
      <c r="C986" s="93"/>
      <c r="D986" s="92"/>
      <c r="E986" s="98"/>
      <c r="F986" s="99"/>
      <c r="G986" s="98"/>
      <c r="H986" s="99"/>
      <c r="I986" s="98"/>
      <c r="J986" s="99"/>
    </row>
    <row r="987" spans="1:10" x14ac:dyDescent="0.4">
      <c r="A987" s="278"/>
      <c r="B987" s="96" t="s">
        <v>236</v>
      </c>
      <c r="C987" s="93"/>
      <c r="D987" s="92"/>
      <c r="E987" s="98"/>
      <c r="F987" s="99"/>
      <c r="G987" s="98"/>
      <c r="H987" s="99"/>
      <c r="I987" s="98"/>
      <c r="J987" s="99"/>
    </row>
    <row r="988" spans="1:10" x14ac:dyDescent="0.4">
      <c r="A988" s="278"/>
      <c r="B988" s="97" t="s">
        <v>296</v>
      </c>
      <c r="C988" s="93"/>
      <c r="D988" s="92"/>
      <c r="E988" s="93"/>
      <c r="F988" s="92"/>
      <c r="G988" s="93"/>
      <c r="H988" s="92"/>
      <c r="I988" s="93"/>
      <c r="J988" s="92"/>
    </row>
    <row r="989" spans="1:10" x14ac:dyDescent="0.4">
      <c r="A989" s="278"/>
      <c r="B989" s="97" t="s">
        <v>237</v>
      </c>
      <c r="C989" s="93"/>
      <c r="D989" s="92"/>
      <c r="E989" s="93"/>
      <c r="F989" s="92"/>
      <c r="G989" s="93"/>
      <c r="H989" s="92"/>
      <c r="I989" s="93"/>
      <c r="J989" s="92"/>
    </row>
    <row r="990" spans="1:10" x14ac:dyDescent="0.4">
      <c r="A990" s="278"/>
      <c r="B990" s="97" t="s">
        <v>238</v>
      </c>
      <c r="C990" s="93"/>
      <c r="D990" s="92"/>
      <c r="E990" s="93"/>
      <c r="F990" s="92"/>
      <c r="G990" s="93"/>
      <c r="H990" s="92"/>
      <c r="I990" s="93"/>
      <c r="J990" s="92"/>
    </row>
    <row r="991" spans="1:10" x14ac:dyDescent="0.4">
      <c r="A991" s="278"/>
      <c r="B991" s="97" t="s">
        <v>239</v>
      </c>
      <c r="C991" s="93"/>
      <c r="D991" s="92"/>
      <c r="E991" s="93"/>
      <c r="F991" s="92"/>
      <c r="G991" s="93"/>
      <c r="H991" s="92"/>
      <c r="I991" s="93"/>
      <c r="J991" s="92"/>
    </row>
    <row r="992" spans="1:10" x14ac:dyDescent="0.4">
      <c r="A992" s="278"/>
      <c r="B992" s="97" t="s">
        <v>240</v>
      </c>
      <c r="C992" s="93"/>
      <c r="D992" s="92"/>
      <c r="E992" s="93"/>
      <c r="F992" s="92"/>
      <c r="G992" s="93"/>
      <c r="H992" s="92"/>
      <c r="I992" s="93"/>
      <c r="J992" s="92"/>
    </row>
    <row r="993" spans="1:10" x14ac:dyDescent="0.4">
      <c r="A993" s="278"/>
      <c r="B993" s="97" t="s">
        <v>241</v>
      </c>
      <c r="C993" s="93"/>
      <c r="D993" s="92"/>
      <c r="E993" s="93"/>
      <c r="F993" s="92"/>
      <c r="G993" s="93"/>
      <c r="H993" s="92"/>
      <c r="I993" s="93"/>
      <c r="J993" s="92"/>
    </row>
    <row r="994" spans="1:10" x14ac:dyDescent="0.4">
      <c r="A994" s="278"/>
      <c r="B994" s="97" t="s">
        <v>242</v>
      </c>
      <c r="C994" s="93"/>
      <c r="D994" s="92"/>
      <c r="E994" s="93"/>
      <c r="F994" s="92"/>
      <c r="G994" s="93"/>
      <c r="H994" s="92"/>
      <c r="I994" s="93"/>
      <c r="J994" s="92"/>
    </row>
    <row r="995" spans="1:10" x14ac:dyDescent="0.4">
      <c r="A995" s="278"/>
      <c r="B995" s="97" t="s">
        <v>243</v>
      </c>
      <c r="C995" s="93"/>
      <c r="D995" s="92"/>
      <c r="E995" s="93"/>
      <c r="F995" s="92"/>
      <c r="G995" s="93"/>
      <c r="H995" s="92"/>
      <c r="I995" s="93"/>
      <c r="J995" s="92"/>
    </row>
    <row r="996" spans="1:10" x14ac:dyDescent="0.4">
      <c r="A996" s="278"/>
      <c r="B996" s="97" t="s">
        <v>244</v>
      </c>
      <c r="C996" s="93"/>
      <c r="D996" s="92"/>
      <c r="E996" s="93"/>
      <c r="F996" s="92"/>
      <c r="G996" s="93"/>
      <c r="H996" s="92"/>
      <c r="I996" s="98"/>
      <c r="J996" s="99"/>
    </row>
    <row r="997" spans="1:10" x14ac:dyDescent="0.4">
      <c r="A997" s="278"/>
      <c r="B997" s="97" t="s">
        <v>245</v>
      </c>
      <c r="C997" s="93"/>
      <c r="D997" s="92"/>
      <c r="E997" s="93"/>
      <c r="F997" s="92"/>
      <c r="G997" s="93"/>
      <c r="H997" s="92"/>
      <c r="I997" s="98"/>
      <c r="J997" s="99"/>
    </row>
    <row r="998" spans="1:10" x14ac:dyDescent="0.4">
      <c r="A998" s="278"/>
      <c r="B998" s="97" t="s">
        <v>246</v>
      </c>
      <c r="C998" s="98"/>
      <c r="D998" s="99"/>
      <c r="E998" s="93"/>
      <c r="F998" s="92"/>
      <c r="G998" s="93"/>
      <c r="H998" s="92"/>
      <c r="I998" s="98"/>
      <c r="J998" s="99"/>
    </row>
    <row r="999" spans="1:10" x14ac:dyDescent="0.4">
      <c r="A999" s="278"/>
      <c r="B999" s="97" t="s">
        <v>247</v>
      </c>
      <c r="C999" s="98"/>
      <c r="D999" s="99"/>
      <c r="E999" s="93"/>
      <c r="F999" s="92"/>
      <c r="G999" s="93"/>
      <c r="H999" s="92"/>
      <c r="I999" s="98"/>
      <c r="J999" s="99"/>
    </row>
    <row r="1000" spans="1:10" x14ac:dyDescent="0.4">
      <c r="A1000" s="278"/>
      <c r="B1000" s="97" t="s">
        <v>248</v>
      </c>
      <c r="C1000" s="98"/>
      <c r="D1000" s="99"/>
      <c r="E1000" s="98"/>
      <c r="F1000" s="99"/>
      <c r="G1000" s="93"/>
      <c r="H1000" s="92"/>
      <c r="I1000" s="98"/>
      <c r="J1000" s="99"/>
    </row>
    <row r="1001" spans="1:10" x14ac:dyDescent="0.4">
      <c r="A1001" s="278"/>
      <c r="B1001" s="94" t="s">
        <v>297</v>
      </c>
      <c r="C1001" s="98"/>
      <c r="D1001" s="99"/>
      <c r="E1001" s="98"/>
      <c r="F1001" s="99"/>
      <c r="G1001" s="98"/>
      <c r="H1001" s="99"/>
      <c r="I1001" s="93"/>
      <c r="J1001" s="92"/>
    </row>
    <row r="1002" spans="1:10" x14ac:dyDescent="0.4">
      <c r="A1002" s="278"/>
      <c r="B1002" s="94" t="s">
        <v>249</v>
      </c>
      <c r="C1002" s="98"/>
      <c r="D1002" s="99"/>
      <c r="E1002" s="98"/>
      <c r="F1002" s="99"/>
      <c r="G1002" s="98"/>
      <c r="H1002" s="99"/>
      <c r="I1002" s="93"/>
      <c r="J1002" s="92"/>
    </row>
    <row r="1003" spans="1:10" x14ac:dyDescent="0.4">
      <c r="A1003" s="278"/>
      <c r="B1003" s="94" t="s">
        <v>250</v>
      </c>
      <c r="C1003" s="98"/>
      <c r="D1003" s="99"/>
      <c r="E1003" s="98"/>
      <c r="F1003" s="99"/>
      <c r="G1003" s="98"/>
      <c r="H1003" s="99"/>
      <c r="I1003" s="93"/>
      <c r="J1003" s="92"/>
    </row>
    <row r="1004" spans="1:10" x14ac:dyDescent="0.4">
      <c r="A1004" s="278"/>
      <c r="B1004" s="94" t="s">
        <v>251</v>
      </c>
      <c r="C1004" s="98"/>
      <c r="D1004" s="99"/>
      <c r="E1004" s="98"/>
      <c r="F1004" s="99"/>
      <c r="G1004" s="98"/>
      <c r="H1004" s="99"/>
      <c r="I1004" s="93"/>
      <c r="J1004" s="92"/>
    </row>
    <row r="1005" spans="1:10" x14ac:dyDescent="0.4">
      <c r="A1005" s="278"/>
      <c r="B1005" s="94" t="s">
        <v>252</v>
      </c>
      <c r="C1005" s="98"/>
      <c r="D1005" s="99"/>
      <c r="E1005" s="98"/>
      <c r="F1005" s="99"/>
      <c r="G1005" s="98"/>
      <c r="H1005" s="99"/>
      <c r="I1005" s="93"/>
      <c r="J1005" s="92"/>
    </row>
    <row r="1006" spans="1:10" x14ac:dyDescent="0.4">
      <c r="A1006" s="278"/>
      <c r="B1006" s="94" t="s">
        <v>253</v>
      </c>
      <c r="C1006" s="98"/>
      <c r="D1006" s="99"/>
      <c r="E1006" s="98"/>
      <c r="F1006" s="99"/>
      <c r="G1006" s="98"/>
      <c r="H1006" s="99"/>
      <c r="I1006" s="93"/>
      <c r="J1006" s="92"/>
    </row>
    <row r="1007" spans="1:10" x14ac:dyDescent="0.4">
      <c r="A1007" s="278"/>
      <c r="B1007" s="94" t="s">
        <v>254</v>
      </c>
      <c r="C1007" s="98"/>
      <c r="D1007" s="99"/>
      <c r="E1007" s="98"/>
      <c r="F1007" s="99"/>
      <c r="G1007" s="98"/>
      <c r="H1007" s="99"/>
      <c r="I1007" s="93"/>
      <c r="J1007" s="92"/>
    </row>
    <row r="1008" spans="1:10" x14ac:dyDescent="0.4">
      <c r="A1008" s="278"/>
      <c r="B1008" s="94" t="s">
        <v>255</v>
      </c>
      <c r="C1008" s="98"/>
      <c r="D1008" s="99"/>
      <c r="E1008" s="98"/>
      <c r="F1008" s="99"/>
      <c r="G1008" s="98"/>
      <c r="H1008" s="99"/>
      <c r="I1008" s="93"/>
      <c r="J1008" s="92"/>
    </row>
    <row r="1009" spans="1:11" x14ac:dyDescent="0.4">
      <c r="A1009" s="278"/>
      <c r="B1009" s="94" t="s">
        <v>256</v>
      </c>
      <c r="C1009" s="98"/>
      <c r="D1009" s="99"/>
      <c r="E1009" s="98"/>
      <c r="F1009" s="99"/>
      <c r="G1009" s="98"/>
      <c r="H1009" s="99"/>
      <c r="I1009" s="93"/>
      <c r="J1009" s="92"/>
    </row>
    <row r="1010" spans="1:11" x14ac:dyDescent="0.4">
      <c r="A1010" s="278"/>
      <c r="B1010" s="94" t="s">
        <v>257</v>
      </c>
      <c r="C1010" s="98"/>
      <c r="D1010" s="99"/>
      <c r="E1010" s="98"/>
      <c r="F1010" s="99"/>
      <c r="G1010" s="98"/>
      <c r="H1010" s="99"/>
      <c r="I1010" s="93"/>
      <c r="J1010" s="92"/>
    </row>
    <row r="1011" spans="1:11" x14ac:dyDescent="0.4">
      <c r="A1011" s="278"/>
      <c r="B1011" s="94" t="s">
        <v>258</v>
      </c>
      <c r="C1011" s="98"/>
      <c r="D1011" s="99"/>
      <c r="E1011" s="98"/>
      <c r="F1011" s="99"/>
      <c r="G1011" s="98"/>
      <c r="H1011" s="99"/>
      <c r="I1011" s="93"/>
      <c r="J1011" s="92"/>
    </row>
    <row r="1012" spans="1:11" x14ac:dyDescent="0.4">
      <c r="A1012" s="279"/>
      <c r="B1012" s="94" t="s">
        <v>259</v>
      </c>
      <c r="C1012" s="98"/>
      <c r="D1012" s="99"/>
      <c r="E1012" s="98"/>
      <c r="F1012" s="99"/>
      <c r="G1012" s="98"/>
      <c r="H1012" s="99"/>
      <c r="I1012" s="93"/>
      <c r="J1012" s="92"/>
    </row>
    <row r="1013" spans="1:11" x14ac:dyDescent="0.4">
      <c r="A1013" s="115" t="s">
        <v>263</v>
      </c>
      <c r="B1013" s="116" t="e">
        <f>SUM(C1013,E1013,G1013,I1013)</f>
        <v>#DIV/0!</v>
      </c>
      <c r="C1013" s="103" t="e">
        <f>AVERAGE(C940:C952,C956:C997)</f>
        <v>#DIV/0!</v>
      </c>
      <c r="D1013" s="103" t="e">
        <f>AVERAGE(D940:D952,D956:D997)</f>
        <v>#DIV/0!</v>
      </c>
      <c r="E1013" s="103" t="e">
        <f>AVERAGE(E940:E948,E956:E969,E972:E985,E988:E999)</f>
        <v>#DIV/0!</v>
      </c>
      <c r="F1013" s="103" t="e">
        <f>AVERAGE(F940:F948,F956:F969,F972:F985,F988:F999)</f>
        <v>#DIV/0!</v>
      </c>
      <c r="G1013" s="103" t="e">
        <f>AVERAGE(G940:G968,G972:G979,G988:G1000)</f>
        <v>#DIV/0!</v>
      </c>
      <c r="H1013" s="103" t="e">
        <f>AVERAGE(H940:H968,H972:H979,H988:H1000)</f>
        <v>#DIV/0!</v>
      </c>
      <c r="I1013" s="103" t="e">
        <f>AVERAGE(I940:I947,I956:I965,I972:I980,I988:I995,I1001:I1012)</f>
        <v>#DIV/0!</v>
      </c>
      <c r="J1013" s="103" t="e">
        <f>AVERAGE(J940:J947,J956:J965,J972:J980,J988:J995,J1001:J1012)</f>
        <v>#DIV/0!</v>
      </c>
    </row>
    <row r="1014" spans="1:11" x14ac:dyDescent="0.4">
      <c r="A1014" s="115" t="s">
        <v>264</v>
      </c>
      <c r="B1014" s="116" t="e">
        <f>SUM(D1013,F1013,H1013,J1013)</f>
        <v>#DIV/0!</v>
      </c>
      <c r="C1014" s="63" t="s">
        <v>265</v>
      </c>
      <c r="D1014" s="117" t="s">
        <v>266</v>
      </c>
      <c r="E1014" s="63" t="s">
        <v>265</v>
      </c>
      <c r="F1014" s="117" t="s">
        <v>266</v>
      </c>
      <c r="G1014" s="63" t="s">
        <v>265</v>
      </c>
      <c r="H1014" s="117" t="s">
        <v>266</v>
      </c>
      <c r="I1014" s="63" t="s">
        <v>265</v>
      </c>
      <c r="J1014" s="117" t="s">
        <v>266</v>
      </c>
    </row>
    <row r="1017" spans="1:11" x14ac:dyDescent="0.4">
      <c r="A1017" s="280" t="s">
        <v>107</v>
      </c>
      <c r="B1017" s="280"/>
      <c r="C1017" s="280"/>
      <c r="D1017" s="280"/>
      <c r="E1017" s="280"/>
      <c r="F1017" s="280"/>
      <c r="G1017" s="280"/>
      <c r="H1017" s="280"/>
      <c r="I1017" s="280"/>
      <c r="J1017" s="281"/>
      <c r="K1017" s="108">
        <v>7</v>
      </c>
    </row>
    <row r="1018" spans="1:11" ht="34.799999999999997" x14ac:dyDescent="0.4">
      <c r="A1018" s="73" t="s">
        <v>267</v>
      </c>
      <c r="B1018" s="73" t="s">
        <v>268</v>
      </c>
      <c r="C1018" s="73" t="s">
        <v>269</v>
      </c>
      <c r="D1018" s="73" t="s">
        <v>108</v>
      </c>
      <c r="E1018" s="73" t="s">
        <v>109</v>
      </c>
      <c r="F1018" s="74" t="s">
        <v>270</v>
      </c>
      <c r="G1018" s="73" t="s">
        <v>110</v>
      </c>
      <c r="H1018" s="73" t="s">
        <v>111</v>
      </c>
      <c r="I1018" s="73" t="s">
        <v>112</v>
      </c>
      <c r="J1018" s="73" t="s">
        <v>113</v>
      </c>
    </row>
    <row r="1019" spans="1:11" x14ac:dyDescent="0.4">
      <c r="A1019" s="282" t="s">
        <v>271</v>
      </c>
      <c r="B1019" s="86" t="s">
        <v>114</v>
      </c>
      <c r="C1019" s="75" t="s">
        <v>272</v>
      </c>
      <c r="D1019" s="76">
        <v>1</v>
      </c>
      <c r="E1019" s="77">
        <v>1</v>
      </c>
      <c r="F1019" s="274" t="s">
        <v>273</v>
      </c>
      <c r="G1019" s="75">
        <v>105.48</v>
      </c>
      <c r="H1019" s="51">
        <v>25.5</v>
      </c>
      <c r="I1019" s="52">
        <v>26.6</v>
      </c>
      <c r="J1019" s="52">
        <v>25.947168858331978</v>
      </c>
    </row>
    <row r="1020" spans="1:11" x14ac:dyDescent="0.4">
      <c r="A1020" s="283"/>
      <c r="B1020" s="86" t="s">
        <v>115</v>
      </c>
      <c r="C1020" s="75" t="s">
        <v>274</v>
      </c>
      <c r="D1020" s="76">
        <v>1</v>
      </c>
      <c r="E1020" s="77">
        <v>1</v>
      </c>
      <c r="F1020" s="275"/>
      <c r="G1020" s="75">
        <v>105.48</v>
      </c>
      <c r="H1020" s="51">
        <v>26</v>
      </c>
      <c r="I1020" s="52">
        <v>27.1</v>
      </c>
      <c r="J1020" s="52">
        <v>26.534160006693167</v>
      </c>
    </row>
    <row r="1021" spans="1:11" x14ac:dyDescent="0.4">
      <c r="A1021" s="283"/>
      <c r="B1021" s="86" t="s">
        <v>116</v>
      </c>
      <c r="C1021" s="75" t="s">
        <v>117</v>
      </c>
      <c r="D1021" s="76">
        <v>1</v>
      </c>
      <c r="E1021" s="77">
        <v>1</v>
      </c>
      <c r="F1021" s="78"/>
      <c r="G1021" s="75">
        <v>105.48</v>
      </c>
      <c r="H1021" s="51">
        <v>26</v>
      </c>
      <c r="I1021" s="52">
        <v>27.1</v>
      </c>
      <c r="J1021" s="52">
        <v>26.612712003992765</v>
      </c>
    </row>
    <row r="1022" spans="1:11" x14ac:dyDescent="0.4">
      <c r="A1022" s="284"/>
      <c r="B1022" s="86" t="s">
        <v>118</v>
      </c>
      <c r="C1022" s="75" t="s">
        <v>119</v>
      </c>
      <c r="D1022" s="76">
        <v>1</v>
      </c>
      <c r="E1022" s="77">
        <v>1</v>
      </c>
      <c r="F1022" s="78"/>
      <c r="G1022" s="75">
        <v>105.48</v>
      </c>
      <c r="H1022" s="51">
        <v>25.9</v>
      </c>
      <c r="I1022" s="52">
        <v>27</v>
      </c>
      <c r="J1022" s="52">
        <v>26.551582992080178</v>
      </c>
    </row>
    <row r="1023" spans="1:11" x14ac:dyDescent="0.4">
      <c r="A1023" s="282" t="s">
        <v>275</v>
      </c>
      <c r="B1023" s="86" t="s">
        <v>120</v>
      </c>
      <c r="C1023" s="75" t="s">
        <v>276</v>
      </c>
      <c r="D1023" s="76">
        <v>1</v>
      </c>
      <c r="E1023" s="77">
        <v>1</v>
      </c>
      <c r="F1023" s="274" t="s">
        <v>273</v>
      </c>
      <c r="G1023" s="75">
        <v>105.48</v>
      </c>
      <c r="H1023" s="51">
        <v>19.5</v>
      </c>
      <c r="I1023" s="52">
        <v>28</v>
      </c>
      <c r="J1023" s="52">
        <v>26.562861558467784</v>
      </c>
    </row>
    <row r="1024" spans="1:11" x14ac:dyDescent="0.4">
      <c r="A1024" s="283"/>
      <c r="B1024" s="86" t="s">
        <v>121</v>
      </c>
      <c r="C1024" s="75" t="s">
        <v>277</v>
      </c>
      <c r="D1024" s="76">
        <v>1</v>
      </c>
      <c r="E1024" s="77">
        <v>1</v>
      </c>
      <c r="F1024" s="275"/>
      <c r="G1024" s="75">
        <v>105.48</v>
      </c>
      <c r="H1024" s="51">
        <v>24.3</v>
      </c>
      <c r="I1024" s="52">
        <v>27.7</v>
      </c>
      <c r="J1024" s="52">
        <v>26.468817329979629</v>
      </c>
    </row>
    <row r="1025" spans="1:10" x14ac:dyDescent="0.4">
      <c r="A1025" s="283"/>
      <c r="B1025" s="86" t="s">
        <v>122</v>
      </c>
      <c r="C1025" s="75" t="s">
        <v>123</v>
      </c>
      <c r="D1025" s="76">
        <v>1</v>
      </c>
      <c r="E1025" s="77">
        <v>1</v>
      </c>
      <c r="F1025" s="275"/>
      <c r="G1025" s="75">
        <v>105.48</v>
      </c>
      <c r="H1025" s="51">
        <v>17</v>
      </c>
      <c r="I1025" s="52">
        <v>27</v>
      </c>
      <c r="J1025" s="52">
        <v>21.191033060811872</v>
      </c>
    </row>
    <row r="1026" spans="1:10" x14ac:dyDescent="0.4">
      <c r="A1026" s="283"/>
      <c r="B1026" s="86" t="s">
        <v>124</v>
      </c>
      <c r="C1026" s="75" t="s">
        <v>125</v>
      </c>
      <c r="D1026" s="76">
        <v>1</v>
      </c>
      <c r="E1026" s="77">
        <v>1</v>
      </c>
      <c r="F1026" s="275"/>
      <c r="G1026" s="75">
        <v>105.48</v>
      </c>
      <c r="H1026" s="51">
        <v>24.9</v>
      </c>
      <c r="I1026" s="52">
        <v>27.5</v>
      </c>
      <c r="J1026" s="52">
        <v>26.191250294344051</v>
      </c>
    </row>
    <row r="1027" spans="1:10" x14ac:dyDescent="0.4">
      <c r="A1027" s="283"/>
      <c r="B1027" s="86" t="s">
        <v>126</v>
      </c>
      <c r="C1027" s="75" t="s">
        <v>278</v>
      </c>
      <c r="D1027" s="76">
        <v>1</v>
      </c>
      <c r="E1027" s="77">
        <v>1</v>
      </c>
      <c r="F1027" s="78"/>
      <c r="G1027" s="75">
        <v>70.319999999999993</v>
      </c>
      <c r="H1027" s="51">
        <v>13.9</v>
      </c>
      <c r="I1027" s="52">
        <v>26.3</v>
      </c>
      <c r="J1027" s="52">
        <v>24.473978140810075</v>
      </c>
    </row>
    <row r="1028" spans="1:10" x14ac:dyDescent="0.4">
      <c r="A1028" s="283"/>
      <c r="B1028" s="86" t="s">
        <v>127</v>
      </c>
      <c r="C1028" s="75" t="s">
        <v>128</v>
      </c>
      <c r="D1028" s="76">
        <v>1</v>
      </c>
      <c r="E1028" s="77">
        <v>1</v>
      </c>
      <c r="F1028" s="78"/>
      <c r="G1028" s="75">
        <v>70.319999999999993</v>
      </c>
      <c r="H1028" s="51">
        <v>14.1</v>
      </c>
      <c r="I1028" s="52">
        <v>26.1</v>
      </c>
      <c r="J1028" s="52">
        <v>24.513090894548593</v>
      </c>
    </row>
    <row r="1029" spans="1:10" x14ac:dyDescent="0.4">
      <c r="A1029" s="284"/>
      <c r="B1029" s="86" t="s">
        <v>129</v>
      </c>
      <c r="C1029" s="75" t="s">
        <v>130</v>
      </c>
      <c r="D1029" s="76">
        <v>1</v>
      </c>
      <c r="E1029" s="77">
        <v>1</v>
      </c>
      <c r="F1029" s="78"/>
      <c r="G1029" s="75">
        <v>70.319999999999993</v>
      </c>
      <c r="H1029" s="51">
        <v>14.8</v>
      </c>
      <c r="I1029" s="52">
        <v>26</v>
      </c>
      <c r="J1029" s="52">
        <v>24.625210701474238</v>
      </c>
    </row>
    <row r="1030" spans="1:10" x14ac:dyDescent="0.4">
      <c r="A1030" s="273" t="s">
        <v>279</v>
      </c>
      <c r="B1030" s="86" t="s">
        <v>131</v>
      </c>
      <c r="C1030" s="75" t="s">
        <v>280</v>
      </c>
      <c r="D1030" s="76">
        <v>1</v>
      </c>
      <c r="E1030" s="77">
        <v>1</v>
      </c>
      <c r="F1030" s="274" t="s">
        <v>273</v>
      </c>
      <c r="G1030" s="75">
        <v>105.48</v>
      </c>
      <c r="H1030" s="51">
        <v>24</v>
      </c>
      <c r="I1030" s="52">
        <v>25.5</v>
      </c>
      <c r="J1030" s="52">
        <v>24.86613436981952</v>
      </c>
    </row>
    <row r="1031" spans="1:10" x14ac:dyDescent="0.4">
      <c r="A1031" s="273"/>
      <c r="B1031" s="86" t="s">
        <v>132</v>
      </c>
      <c r="C1031" s="75" t="s">
        <v>133</v>
      </c>
      <c r="D1031" s="76">
        <v>1</v>
      </c>
      <c r="E1031" s="77">
        <v>1</v>
      </c>
      <c r="F1031" s="275"/>
      <c r="G1031" s="75">
        <v>105.48</v>
      </c>
      <c r="H1031" s="51">
        <v>24.4</v>
      </c>
      <c r="I1031" s="52">
        <v>25.9</v>
      </c>
      <c r="J1031" s="52">
        <v>25.221151651472233</v>
      </c>
    </row>
    <row r="1032" spans="1:10" x14ac:dyDescent="0.4">
      <c r="A1032" s="273"/>
      <c r="B1032" s="86" t="s">
        <v>134</v>
      </c>
      <c r="C1032" s="75" t="s">
        <v>135</v>
      </c>
      <c r="D1032" s="76">
        <v>1</v>
      </c>
      <c r="E1032" s="77">
        <v>1</v>
      </c>
      <c r="F1032" s="275"/>
      <c r="G1032" s="79">
        <v>105.48</v>
      </c>
      <c r="H1032" s="51">
        <v>24.5</v>
      </c>
      <c r="I1032" s="52">
        <v>26.4</v>
      </c>
      <c r="J1032" s="52">
        <v>25.252246982879878</v>
      </c>
    </row>
    <row r="1033" spans="1:10" x14ac:dyDescent="0.4">
      <c r="A1033" s="273"/>
      <c r="B1033" s="86" t="s">
        <v>136</v>
      </c>
      <c r="C1033" s="75" t="s">
        <v>137</v>
      </c>
      <c r="D1033" s="76">
        <v>1</v>
      </c>
      <c r="E1033" s="77">
        <v>1</v>
      </c>
      <c r="F1033" s="275"/>
      <c r="G1033" s="79">
        <v>105.48</v>
      </c>
      <c r="H1033" s="51">
        <v>24.1</v>
      </c>
      <c r="I1033" s="52">
        <v>26</v>
      </c>
      <c r="J1033" s="52">
        <v>24.844128275320063</v>
      </c>
    </row>
    <row r="1034" spans="1:10" x14ac:dyDescent="0.4">
      <c r="A1034" s="273"/>
      <c r="B1034" s="86" t="s">
        <v>138</v>
      </c>
      <c r="C1034" s="75" t="s">
        <v>281</v>
      </c>
      <c r="D1034" s="76">
        <v>0</v>
      </c>
      <c r="E1034" s="77">
        <v>1</v>
      </c>
      <c r="F1034" s="274" t="s">
        <v>282</v>
      </c>
      <c r="G1034" s="75">
        <v>32.549999999999997</v>
      </c>
      <c r="H1034" s="111">
        <v>25.3</v>
      </c>
      <c r="I1034" s="111">
        <v>33.5</v>
      </c>
      <c r="J1034" s="111">
        <v>32.598777177207168</v>
      </c>
    </row>
    <row r="1035" spans="1:10" x14ac:dyDescent="0.4">
      <c r="A1035" s="273"/>
      <c r="B1035" s="86" t="s">
        <v>139</v>
      </c>
      <c r="C1035" s="75" t="s">
        <v>140</v>
      </c>
      <c r="D1035" s="76">
        <v>0</v>
      </c>
      <c r="E1035" s="77">
        <v>1</v>
      </c>
      <c r="F1035" s="276"/>
      <c r="G1035" s="75">
        <v>32.549999999999997</v>
      </c>
      <c r="H1035" s="112">
        <v>23.4</v>
      </c>
      <c r="I1035" s="112">
        <v>27.2</v>
      </c>
      <c r="J1035" s="112">
        <v>26.023714421315294</v>
      </c>
    </row>
    <row r="1036" spans="1:10" x14ac:dyDescent="0.4">
      <c r="A1036" s="273"/>
      <c r="B1036" s="86" t="s">
        <v>141</v>
      </c>
      <c r="C1036" s="75" t="s">
        <v>283</v>
      </c>
      <c r="D1036" s="76">
        <v>0</v>
      </c>
      <c r="E1036" s="77">
        <v>1</v>
      </c>
      <c r="F1036" s="274" t="s">
        <v>282</v>
      </c>
      <c r="G1036" s="75">
        <v>32.549999999999997</v>
      </c>
      <c r="H1036" s="112">
        <v>21.8</v>
      </c>
      <c r="I1036" s="112">
        <v>32.700000000000003</v>
      </c>
      <c r="J1036" s="112">
        <v>31.101890811719603</v>
      </c>
    </row>
    <row r="1037" spans="1:10" x14ac:dyDescent="0.4">
      <c r="A1037" s="273"/>
      <c r="B1037" s="86" t="s">
        <v>142</v>
      </c>
      <c r="C1037" s="75" t="s">
        <v>143</v>
      </c>
      <c r="D1037" s="76">
        <v>1</v>
      </c>
      <c r="E1037" s="77">
        <v>1</v>
      </c>
      <c r="F1037" s="275"/>
      <c r="G1037" s="75">
        <v>32.549999999999997</v>
      </c>
      <c r="H1037" s="53">
        <v>22.5</v>
      </c>
      <c r="I1037" s="53">
        <v>27.8</v>
      </c>
      <c r="J1037" s="53">
        <v>26.137480201432698</v>
      </c>
    </row>
    <row r="1038" spans="1:10" x14ac:dyDescent="0.4">
      <c r="A1038" s="273"/>
      <c r="B1038" s="86" t="s">
        <v>144</v>
      </c>
      <c r="C1038" s="75" t="s">
        <v>145</v>
      </c>
      <c r="D1038" s="76">
        <v>0</v>
      </c>
      <c r="E1038" s="77">
        <v>1</v>
      </c>
      <c r="F1038" s="275"/>
      <c r="G1038" s="75">
        <v>32.549999999999997</v>
      </c>
      <c r="H1038" s="112">
        <v>17.8</v>
      </c>
      <c r="I1038" s="112">
        <v>29.5</v>
      </c>
      <c r="J1038" s="112">
        <v>27.936542597126117</v>
      </c>
    </row>
    <row r="1039" spans="1:10" x14ac:dyDescent="0.4">
      <c r="A1039" s="273"/>
      <c r="B1039" s="86" t="s">
        <v>146</v>
      </c>
      <c r="C1039" s="75" t="s">
        <v>147</v>
      </c>
      <c r="D1039" s="76">
        <v>1</v>
      </c>
      <c r="E1039" s="77">
        <v>1</v>
      </c>
      <c r="F1039" s="275"/>
      <c r="G1039" s="75">
        <v>32.549999999999997</v>
      </c>
      <c r="H1039" s="53">
        <v>21.4</v>
      </c>
      <c r="I1039" s="53">
        <v>26.9</v>
      </c>
      <c r="J1039" s="53">
        <v>24.703474713280034</v>
      </c>
    </row>
    <row r="1040" spans="1:10" x14ac:dyDescent="0.4">
      <c r="A1040" s="273"/>
      <c r="B1040" s="86" t="s">
        <v>148</v>
      </c>
      <c r="C1040" s="75" t="s">
        <v>149</v>
      </c>
      <c r="D1040" s="76">
        <v>0</v>
      </c>
      <c r="E1040" s="77">
        <v>1</v>
      </c>
      <c r="F1040" s="275"/>
      <c r="G1040" s="75">
        <v>32.549999999999997</v>
      </c>
      <c r="H1040" s="53">
        <v>20.3</v>
      </c>
      <c r="I1040" s="53">
        <v>24.4</v>
      </c>
      <c r="J1040" s="53">
        <v>21.562160054259266</v>
      </c>
    </row>
    <row r="1041" spans="1:10" x14ac:dyDescent="0.4">
      <c r="A1041" s="273"/>
      <c r="B1041" s="86" t="s">
        <v>150</v>
      </c>
      <c r="C1041" s="75" t="s">
        <v>151</v>
      </c>
      <c r="D1041" s="76">
        <v>1</v>
      </c>
      <c r="E1041" s="77">
        <v>1</v>
      </c>
      <c r="F1041" s="275"/>
      <c r="G1041" s="75">
        <v>32.549999999999997</v>
      </c>
      <c r="H1041" s="53">
        <v>21.2</v>
      </c>
      <c r="I1041" s="53">
        <v>24.2</v>
      </c>
      <c r="J1041" s="53">
        <v>23.427404201133758</v>
      </c>
    </row>
    <row r="1042" spans="1:10" x14ac:dyDescent="0.4">
      <c r="A1042" s="273"/>
      <c r="B1042" s="86" t="s">
        <v>152</v>
      </c>
      <c r="C1042" s="75" t="s">
        <v>153</v>
      </c>
      <c r="D1042" s="76">
        <v>0</v>
      </c>
      <c r="E1042" s="77">
        <v>1</v>
      </c>
      <c r="F1042" s="275"/>
      <c r="G1042" s="75">
        <v>32.549999999999997</v>
      </c>
      <c r="H1042" s="112"/>
      <c r="I1042" s="112"/>
      <c r="J1042" s="112"/>
    </row>
    <row r="1043" spans="1:10" x14ac:dyDescent="0.4">
      <c r="A1043" s="273"/>
      <c r="B1043" s="86" t="s">
        <v>154</v>
      </c>
      <c r="C1043" s="75" t="s">
        <v>155</v>
      </c>
      <c r="D1043" s="76">
        <v>0</v>
      </c>
      <c r="E1043" s="77">
        <v>1</v>
      </c>
      <c r="F1043" s="275"/>
      <c r="G1043" s="75">
        <v>32.549999999999997</v>
      </c>
      <c r="H1043" s="112">
        <v>18.399999999999999</v>
      </c>
      <c r="I1043" s="112">
        <v>99.5</v>
      </c>
      <c r="J1043" s="112">
        <v>22.382754481136075</v>
      </c>
    </row>
    <row r="1044" spans="1:10" x14ac:dyDescent="0.4">
      <c r="A1044" s="273"/>
      <c r="B1044" s="86" t="s">
        <v>156</v>
      </c>
      <c r="C1044" s="75" t="s">
        <v>157</v>
      </c>
      <c r="D1044" s="76">
        <v>0</v>
      </c>
      <c r="E1044" s="77">
        <v>1</v>
      </c>
      <c r="F1044" s="275"/>
      <c r="G1044" s="75">
        <v>32.549999999999997</v>
      </c>
      <c r="H1044" s="112">
        <v>18.399999999999999</v>
      </c>
      <c r="I1044" s="112">
        <v>25.1</v>
      </c>
      <c r="J1044" s="112">
        <v>23.977183057851555</v>
      </c>
    </row>
    <row r="1045" spans="1:10" x14ac:dyDescent="0.4">
      <c r="A1045" s="273"/>
      <c r="B1045" s="86" t="s">
        <v>158</v>
      </c>
      <c r="C1045" s="75" t="s">
        <v>159</v>
      </c>
      <c r="D1045" s="76">
        <v>0</v>
      </c>
      <c r="E1045" s="77">
        <v>1</v>
      </c>
      <c r="F1045" s="275"/>
      <c r="G1045" s="75">
        <v>32.549999999999997</v>
      </c>
      <c r="H1045" s="112">
        <v>17.7</v>
      </c>
      <c r="I1045" s="112">
        <v>29.2</v>
      </c>
      <c r="J1045" s="112">
        <v>21.609415322508042</v>
      </c>
    </row>
    <row r="1046" spans="1:10" x14ac:dyDescent="0.4">
      <c r="A1046" s="273"/>
      <c r="B1046" s="86" t="s">
        <v>160</v>
      </c>
      <c r="C1046" s="75" t="s">
        <v>161</v>
      </c>
      <c r="D1046" s="76">
        <v>0</v>
      </c>
      <c r="E1046" s="77">
        <v>1</v>
      </c>
      <c r="F1046" s="275"/>
      <c r="G1046" s="75">
        <v>32.549999999999997</v>
      </c>
      <c r="H1046" s="112">
        <v>21.2</v>
      </c>
      <c r="I1046" s="112">
        <v>25.6</v>
      </c>
      <c r="J1046" s="112">
        <v>22.483006882817978</v>
      </c>
    </row>
    <row r="1047" spans="1:10" x14ac:dyDescent="0.4">
      <c r="A1047" s="273"/>
      <c r="B1047" s="86" t="s">
        <v>162</v>
      </c>
      <c r="C1047" s="75" t="s">
        <v>163</v>
      </c>
      <c r="D1047" s="76">
        <v>0</v>
      </c>
      <c r="E1047" s="77">
        <v>1</v>
      </c>
      <c r="F1047" s="276"/>
      <c r="G1047" s="75">
        <v>32.549999999999997</v>
      </c>
      <c r="H1047" s="112">
        <v>19</v>
      </c>
      <c r="I1047" s="112">
        <v>23.8</v>
      </c>
      <c r="J1047" s="112">
        <v>21.875528539539498</v>
      </c>
    </row>
    <row r="1048" spans="1:10" x14ac:dyDescent="0.4">
      <c r="A1048" s="273"/>
      <c r="B1048" s="86" t="s">
        <v>164</v>
      </c>
      <c r="C1048" s="75" t="s">
        <v>284</v>
      </c>
      <c r="D1048" s="76">
        <v>0</v>
      </c>
      <c r="E1048" s="77">
        <v>1</v>
      </c>
      <c r="F1048" s="274" t="s">
        <v>282</v>
      </c>
      <c r="G1048" s="75">
        <v>24.4</v>
      </c>
      <c r="H1048" s="112">
        <v>27.5</v>
      </c>
      <c r="I1048" s="112">
        <v>30</v>
      </c>
      <c r="J1048" s="112">
        <v>28.669886471256667</v>
      </c>
    </row>
    <row r="1049" spans="1:10" x14ac:dyDescent="0.4">
      <c r="A1049" s="273"/>
      <c r="B1049" s="86" t="s">
        <v>165</v>
      </c>
      <c r="C1049" s="75" t="s">
        <v>166</v>
      </c>
      <c r="D1049" s="76">
        <v>0</v>
      </c>
      <c r="E1049" s="77">
        <v>1</v>
      </c>
      <c r="F1049" s="276"/>
      <c r="G1049" s="75">
        <v>24.4</v>
      </c>
      <c r="H1049" s="112">
        <v>26</v>
      </c>
      <c r="I1049" s="112">
        <v>28.5</v>
      </c>
      <c r="J1049" s="112">
        <v>27.101774468195114</v>
      </c>
    </row>
    <row r="1050" spans="1:10" x14ac:dyDescent="0.4">
      <c r="A1050" s="273" t="s">
        <v>285</v>
      </c>
      <c r="B1050" s="86" t="s">
        <v>167</v>
      </c>
      <c r="C1050" s="75" t="s">
        <v>286</v>
      </c>
      <c r="D1050" s="76">
        <v>1</v>
      </c>
      <c r="E1050" s="77">
        <v>1</v>
      </c>
      <c r="F1050" s="274" t="s">
        <v>273</v>
      </c>
      <c r="G1050" s="75">
        <v>105.48</v>
      </c>
      <c r="H1050" s="51">
        <v>24.8</v>
      </c>
      <c r="I1050" s="53">
        <v>26</v>
      </c>
      <c r="J1050" s="53">
        <v>25.5657765485998</v>
      </c>
    </row>
    <row r="1051" spans="1:10" x14ac:dyDescent="0.4">
      <c r="A1051" s="273"/>
      <c r="B1051" s="86" t="s">
        <v>168</v>
      </c>
      <c r="C1051" s="75" t="s">
        <v>169</v>
      </c>
      <c r="D1051" s="76">
        <v>1</v>
      </c>
      <c r="E1051" s="77">
        <v>1</v>
      </c>
      <c r="F1051" s="275"/>
      <c r="G1051" s="75">
        <v>105.48</v>
      </c>
      <c r="H1051" s="51">
        <v>24.6</v>
      </c>
      <c r="I1051" s="54">
        <v>25.8</v>
      </c>
      <c r="J1051" s="54">
        <v>25.342871866513704</v>
      </c>
    </row>
    <row r="1052" spans="1:10" x14ac:dyDescent="0.4">
      <c r="A1052" s="273"/>
      <c r="B1052" s="86" t="s">
        <v>170</v>
      </c>
      <c r="C1052" s="75" t="s">
        <v>171</v>
      </c>
      <c r="D1052" s="76">
        <v>1</v>
      </c>
      <c r="E1052" s="77">
        <v>1</v>
      </c>
      <c r="F1052" s="275"/>
      <c r="G1052" s="75">
        <v>105.48</v>
      </c>
      <c r="H1052" s="51">
        <v>23.9</v>
      </c>
      <c r="I1052" s="52">
        <v>25.8</v>
      </c>
      <c r="J1052" s="52">
        <v>24.947314233142599</v>
      </c>
    </row>
    <row r="1053" spans="1:10" x14ac:dyDescent="0.4">
      <c r="A1053" s="273"/>
      <c r="B1053" s="86" t="s">
        <v>172</v>
      </c>
      <c r="C1053" s="75" t="s">
        <v>173</v>
      </c>
      <c r="D1053" s="76">
        <v>1</v>
      </c>
      <c r="E1053" s="77">
        <v>1</v>
      </c>
      <c r="F1053" s="275"/>
      <c r="G1053" s="75">
        <v>105.48</v>
      </c>
      <c r="H1053" s="51">
        <v>24</v>
      </c>
      <c r="I1053" s="52">
        <v>25.7</v>
      </c>
      <c r="J1053" s="52">
        <v>24.962164505328346</v>
      </c>
    </row>
    <row r="1054" spans="1:10" x14ac:dyDescent="0.4">
      <c r="A1054" s="273"/>
      <c r="B1054" s="86" t="s">
        <v>174</v>
      </c>
      <c r="C1054" s="75" t="s">
        <v>287</v>
      </c>
      <c r="D1054" s="76">
        <v>1</v>
      </c>
      <c r="E1054" s="77">
        <v>1</v>
      </c>
      <c r="F1054" s="275"/>
      <c r="G1054" s="75">
        <v>65</v>
      </c>
      <c r="H1054" s="55">
        <v>26.1</v>
      </c>
      <c r="I1054" s="55">
        <v>28.3</v>
      </c>
      <c r="J1054" s="55">
        <v>27.236223419018422</v>
      </c>
    </row>
    <row r="1055" spans="1:10" x14ac:dyDescent="0.4">
      <c r="A1055" s="273"/>
      <c r="B1055" s="86" t="s">
        <v>175</v>
      </c>
      <c r="C1055" s="75" t="s">
        <v>176</v>
      </c>
      <c r="D1055" s="76">
        <v>1</v>
      </c>
      <c r="E1055" s="77">
        <v>1</v>
      </c>
      <c r="F1055" s="276"/>
      <c r="G1055" s="75">
        <v>65</v>
      </c>
      <c r="H1055" s="55">
        <v>24</v>
      </c>
      <c r="I1055" s="55">
        <v>26</v>
      </c>
      <c r="J1055" s="55">
        <v>24.516666666666666</v>
      </c>
    </row>
    <row r="1056" spans="1:10" x14ac:dyDescent="0.4">
      <c r="A1056" s="273"/>
      <c r="B1056" s="86" t="s">
        <v>177</v>
      </c>
      <c r="C1056" s="75" t="s">
        <v>288</v>
      </c>
      <c r="D1056" s="76">
        <v>1</v>
      </c>
      <c r="E1056" s="77">
        <v>1</v>
      </c>
      <c r="F1056" s="274" t="s">
        <v>282</v>
      </c>
      <c r="G1056" s="75">
        <v>16.3</v>
      </c>
      <c r="H1056" s="55">
        <v>23.5</v>
      </c>
      <c r="I1056" s="55">
        <v>26</v>
      </c>
      <c r="J1056" s="55">
        <v>24.533991418670009</v>
      </c>
    </row>
    <row r="1057" spans="1:10" x14ac:dyDescent="0.4">
      <c r="A1057" s="273"/>
      <c r="B1057" s="86" t="s">
        <v>178</v>
      </c>
      <c r="C1057" s="75" t="s">
        <v>179</v>
      </c>
      <c r="D1057" s="76">
        <v>1</v>
      </c>
      <c r="E1057" s="77">
        <v>1</v>
      </c>
      <c r="F1057" s="275"/>
      <c r="G1057" s="75">
        <v>16.3</v>
      </c>
      <c r="H1057" s="55">
        <v>21</v>
      </c>
      <c r="I1057" s="55">
        <v>24.5</v>
      </c>
      <c r="J1057" s="55">
        <v>22.917691723309261</v>
      </c>
    </row>
    <row r="1058" spans="1:10" x14ac:dyDescent="0.4">
      <c r="A1058" s="273"/>
      <c r="B1058" s="86" t="s">
        <v>180</v>
      </c>
      <c r="C1058" s="75" t="s">
        <v>181</v>
      </c>
      <c r="D1058" s="76">
        <v>1</v>
      </c>
      <c r="E1058" s="77">
        <v>1</v>
      </c>
      <c r="F1058" s="275"/>
      <c r="G1058" s="75">
        <v>16.3</v>
      </c>
      <c r="H1058" s="55">
        <v>18</v>
      </c>
      <c r="I1058" s="55">
        <v>29.5</v>
      </c>
      <c r="J1058" s="55">
        <v>26.953550372958549</v>
      </c>
    </row>
    <row r="1059" spans="1:10" x14ac:dyDescent="0.4">
      <c r="A1059" s="273"/>
      <c r="B1059" s="86" t="s">
        <v>289</v>
      </c>
      <c r="C1059" s="75" t="s">
        <v>182</v>
      </c>
      <c r="D1059" s="76">
        <v>1</v>
      </c>
      <c r="E1059" s="77">
        <v>1</v>
      </c>
      <c r="F1059" s="276"/>
      <c r="G1059" s="75">
        <v>35</v>
      </c>
      <c r="H1059" s="55">
        <v>24</v>
      </c>
      <c r="I1059" s="55">
        <v>26</v>
      </c>
      <c r="J1059" s="55">
        <v>24.855475787683329</v>
      </c>
    </row>
    <row r="1060" spans="1:10" x14ac:dyDescent="0.4">
      <c r="H1060" s="65">
        <f>AVERAGE(H1019:H1033,H1039:H1041,H1050:H1059)</f>
        <v>22.346428571428572</v>
      </c>
      <c r="I1060" s="65">
        <f t="shared" ref="I1060" si="6">AVERAGE(I1019:I1033,I1039:I1041,I1050:I1059)</f>
        <v>26.403571428571421</v>
      </c>
      <c r="J1060" s="113">
        <f>AVERAGE(J1019:J1033,J1039:J1041,J1050:J1059,J1037)</f>
        <v>25.086819752862844</v>
      </c>
    </row>
    <row r="1061" spans="1:10" x14ac:dyDescent="0.4">
      <c r="J1061" s="64" t="s">
        <v>261</v>
      </c>
    </row>
    <row r="1062" spans="1:10" x14ac:dyDescent="0.4">
      <c r="A1062" s="280" t="s">
        <v>183</v>
      </c>
      <c r="B1062" s="280"/>
      <c r="C1062" s="280"/>
      <c r="D1062" s="280"/>
      <c r="E1062" s="280"/>
      <c r="F1062" s="280"/>
      <c r="G1062" s="280"/>
      <c r="H1062" s="280"/>
      <c r="I1062" s="280"/>
      <c r="J1062" s="281"/>
    </row>
    <row r="1063" spans="1:10" ht="34.799999999999997" x14ac:dyDescent="0.4">
      <c r="A1063" s="73" t="s">
        <v>267</v>
      </c>
      <c r="B1063" s="73" t="s">
        <v>268</v>
      </c>
      <c r="C1063" s="73" t="s">
        <v>269</v>
      </c>
      <c r="D1063" s="73" t="s">
        <v>108</v>
      </c>
      <c r="E1063" s="73" t="s">
        <v>109</v>
      </c>
      <c r="F1063" s="74" t="s">
        <v>270</v>
      </c>
      <c r="G1063" s="73" t="s">
        <v>110</v>
      </c>
      <c r="H1063" s="73" t="s">
        <v>184</v>
      </c>
      <c r="I1063" s="73" t="s">
        <v>185</v>
      </c>
      <c r="J1063" s="73" t="s">
        <v>186</v>
      </c>
    </row>
    <row r="1064" spans="1:10" x14ac:dyDescent="0.4">
      <c r="A1064" s="285" t="s">
        <v>271</v>
      </c>
      <c r="B1064" s="87" t="s">
        <v>114</v>
      </c>
      <c r="C1064" s="88" t="s">
        <v>272</v>
      </c>
      <c r="D1064" s="89">
        <v>1</v>
      </c>
      <c r="E1064" s="88">
        <v>1</v>
      </c>
      <c r="F1064" s="274" t="s">
        <v>273</v>
      </c>
      <c r="G1064" s="75">
        <v>105.48</v>
      </c>
      <c r="H1064" s="56">
        <v>24.1</v>
      </c>
      <c r="I1064" s="57">
        <v>46.6</v>
      </c>
      <c r="J1064" s="57">
        <v>36.875899645011756</v>
      </c>
    </row>
    <row r="1065" spans="1:10" x14ac:dyDescent="0.4">
      <c r="A1065" s="286"/>
      <c r="B1065" s="87" t="s">
        <v>115</v>
      </c>
      <c r="C1065" s="88" t="s">
        <v>274</v>
      </c>
      <c r="D1065" s="89">
        <v>1</v>
      </c>
      <c r="E1065" s="88">
        <v>1</v>
      </c>
      <c r="F1065" s="275"/>
      <c r="G1065" s="75">
        <v>105.48</v>
      </c>
      <c r="H1065" s="56">
        <v>24.5</v>
      </c>
      <c r="I1065" s="57">
        <v>46.8</v>
      </c>
      <c r="J1065" s="57">
        <v>37.004108173574643</v>
      </c>
    </row>
    <row r="1066" spans="1:10" x14ac:dyDescent="0.4">
      <c r="A1066" s="286"/>
      <c r="B1066" s="87" t="s">
        <v>116</v>
      </c>
      <c r="C1066" s="88" t="s">
        <v>117</v>
      </c>
      <c r="D1066" s="89">
        <v>1</v>
      </c>
      <c r="E1066" s="88">
        <v>1</v>
      </c>
      <c r="F1066" s="78"/>
      <c r="G1066" s="75">
        <v>105.48</v>
      </c>
      <c r="H1066" s="56">
        <v>25.7</v>
      </c>
      <c r="I1066" s="57">
        <v>45.6</v>
      </c>
      <c r="J1066" s="57">
        <v>36.984516441492424</v>
      </c>
    </row>
    <row r="1067" spans="1:10" x14ac:dyDescent="0.4">
      <c r="A1067" s="287"/>
      <c r="B1067" s="87" t="s">
        <v>118</v>
      </c>
      <c r="C1067" s="88" t="s">
        <v>119</v>
      </c>
      <c r="D1067" s="89">
        <v>1</v>
      </c>
      <c r="E1067" s="88">
        <v>1</v>
      </c>
      <c r="F1067" s="78"/>
      <c r="G1067" s="75">
        <v>105.48</v>
      </c>
      <c r="H1067" s="56">
        <v>23.2</v>
      </c>
      <c r="I1067" s="57">
        <v>44.2</v>
      </c>
      <c r="J1067" s="57">
        <v>35.156717090807682</v>
      </c>
    </row>
    <row r="1068" spans="1:10" x14ac:dyDescent="0.4">
      <c r="A1068" s="273" t="s">
        <v>275</v>
      </c>
      <c r="B1068" s="86" t="s">
        <v>120</v>
      </c>
      <c r="C1068" s="75" t="s">
        <v>276</v>
      </c>
      <c r="D1068" s="76">
        <v>1</v>
      </c>
      <c r="E1068" s="77">
        <v>1</v>
      </c>
      <c r="F1068" s="274" t="s">
        <v>273</v>
      </c>
      <c r="G1068" s="75">
        <v>105.48</v>
      </c>
      <c r="H1068" s="56">
        <v>22.8</v>
      </c>
      <c r="I1068" s="57">
        <v>73.8</v>
      </c>
      <c r="J1068" s="57">
        <v>37.251804931220235</v>
      </c>
    </row>
    <row r="1069" spans="1:10" x14ac:dyDescent="0.4">
      <c r="A1069" s="273"/>
      <c r="B1069" s="86" t="s">
        <v>121</v>
      </c>
      <c r="C1069" s="75" t="s">
        <v>277</v>
      </c>
      <c r="D1069" s="76">
        <v>1</v>
      </c>
      <c r="E1069" s="77">
        <v>1</v>
      </c>
      <c r="F1069" s="275"/>
      <c r="G1069" s="75">
        <v>105.48</v>
      </c>
      <c r="H1069" s="56">
        <v>22.8</v>
      </c>
      <c r="I1069" s="57">
        <v>53.2</v>
      </c>
      <c r="J1069" s="57">
        <v>37.175433774739822</v>
      </c>
    </row>
    <row r="1070" spans="1:10" x14ac:dyDescent="0.4">
      <c r="A1070" s="273"/>
      <c r="B1070" s="86" t="s">
        <v>122</v>
      </c>
      <c r="C1070" s="75" t="s">
        <v>123</v>
      </c>
      <c r="D1070" s="76">
        <v>1</v>
      </c>
      <c r="E1070" s="77">
        <v>1</v>
      </c>
      <c r="F1070" s="275"/>
      <c r="G1070" s="75">
        <v>105.48</v>
      </c>
      <c r="H1070" s="56">
        <v>37.299999999999997</v>
      </c>
      <c r="I1070" s="57">
        <v>66</v>
      </c>
      <c r="J1070" s="57">
        <v>49.840352179488214</v>
      </c>
    </row>
    <row r="1071" spans="1:10" x14ac:dyDescent="0.4">
      <c r="A1071" s="273"/>
      <c r="B1071" s="86" t="s">
        <v>124</v>
      </c>
      <c r="C1071" s="75" t="s">
        <v>125</v>
      </c>
      <c r="D1071" s="76">
        <v>1</v>
      </c>
      <c r="E1071" s="77">
        <v>1</v>
      </c>
      <c r="F1071" s="275"/>
      <c r="G1071" s="75">
        <v>105.48</v>
      </c>
      <c r="H1071" s="56">
        <v>24</v>
      </c>
      <c r="I1071" s="57">
        <v>47.5</v>
      </c>
      <c r="J1071" s="57">
        <v>40.07350006711988</v>
      </c>
    </row>
    <row r="1072" spans="1:10" x14ac:dyDescent="0.4">
      <c r="A1072" s="273" t="s">
        <v>279</v>
      </c>
      <c r="B1072" s="86" t="s">
        <v>131</v>
      </c>
      <c r="C1072" s="75" t="s">
        <v>280</v>
      </c>
      <c r="D1072" s="76">
        <v>1</v>
      </c>
      <c r="E1072" s="77">
        <v>1</v>
      </c>
      <c r="F1072" s="274" t="s">
        <v>273</v>
      </c>
      <c r="G1072" s="75">
        <v>105.48</v>
      </c>
      <c r="H1072" s="56">
        <v>22.5</v>
      </c>
      <c r="I1072" s="57">
        <v>45.8</v>
      </c>
      <c r="J1072" s="57">
        <v>38.195485835971027</v>
      </c>
    </row>
    <row r="1073" spans="1:10" x14ac:dyDescent="0.4">
      <c r="A1073" s="273"/>
      <c r="B1073" s="86" t="s">
        <v>132</v>
      </c>
      <c r="C1073" s="75" t="s">
        <v>133</v>
      </c>
      <c r="D1073" s="76">
        <v>1</v>
      </c>
      <c r="E1073" s="77">
        <v>1</v>
      </c>
      <c r="F1073" s="275"/>
      <c r="G1073" s="75">
        <v>105.48</v>
      </c>
      <c r="H1073" s="56">
        <v>21.9</v>
      </c>
      <c r="I1073" s="57">
        <v>44.3</v>
      </c>
      <c r="J1073" s="57">
        <v>37.074655494835682</v>
      </c>
    </row>
    <row r="1074" spans="1:10" x14ac:dyDescent="0.4">
      <c r="A1074" s="273"/>
      <c r="B1074" s="86" t="s">
        <v>134</v>
      </c>
      <c r="C1074" s="75" t="s">
        <v>135</v>
      </c>
      <c r="D1074" s="76">
        <v>1</v>
      </c>
      <c r="E1074" s="77">
        <v>1</v>
      </c>
      <c r="F1074" s="275"/>
      <c r="G1074" s="79">
        <v>105.48</v>
      </c>
      <c r="H1074" s="56">
        <v>20.9</v>
      </c>
      <c r="I1074" s="57">
        <v>39.5</v>
      </c>
      <c r="J1074" s="57">
        <v>34.962139230837934</v>
      </c>
    </row>
    <row r="1075" spans="1:10" x14ac:dyDescent="0.4">
      <c r="A1075" s="273"/>
      <c r="B1075" s="86" t="s">
        <v>136</v>
      </c>
      <c r="C1075" s="75" t="s">
        <v>137</v>
      </c>
      <c r="D1075" s="76">
        <v>1</v>
      </c>
      <c r="E1075" s="77">
        <v>1</v>
      </c>
      <c r="F1075" s="275"/>
      <c r="G1075" s="79">
        <v>105.48</v>
      </c>
      <c r="H1075" s="56">
        <v>21.5</v>
      </c>
      <c r="I1075" s="57">
        <v>40.6</v>
      </c>
      <c r="J1075" s="57">
        <v>35.881135303974233</v>
      </c>
    </row>
    <row r="1076" spans="1:10" x14ac:dyDescent="0.4">
      <c r="A1076" s="273"/>
      <c r="B1076" s="86" t="s">
        <v>138</v>
      </c>
      <c r="C1076" s="75" t="s">
        <v>281</v>
      </c>
      <c r="D1076" s="75">
        <v>0</v>
      </c>
      <c r="E1076" s="77">
        <v>1</v>
      </c>
      <c r="F1076" s="77">
        <v>1</v>
      </c>
      <c r="G1076" s="75">
        <v>32.549999999999997</v>
      </c>
      <c r="H1076" s="58">
        <v>25.8</v>
      </c>
      <c r="I1076" s="58">
        <v>31.6</v>
      </c>
      <c r="J1076" s="58">
        <v>26.354365316483779</v>
      </c>
    </row>
    <row r="1077" spans="1:10" x14ac:dyDescent="0.4">
      <c r="A1077" s="273"/>
      <c r="B1077" s="86" t="s">
        <v>139</v>
      </c>
      <c r="C1077" s="75" t="s">
        <v>140</v>
      </c>
      <c r="D1077" s="75">
        <v>0</v>
      </c>
      <c r="E1077" s="77">
        <v>1</v>
      </c>
      <c r="F1077" s="77">
        <v>1</v>
      </c>
      <c r="G1077" s="75">
        <v>32.549999999999997</v>
      </c>
      <c r="H1077" s="59">
        <v>27.8</v>
      </c>
      <c r="I1077" s="59">
        <v>30.6</v>
      </c>
      <c r="J1077" s="59">
        <v>28.507460941612955</v>
      </c>
    </row>
    <row r="1078" spans="1:10" x14ac:dyDescent="0.4">
      <c r="A1078" s="273"/>
      <c r="B1078" s="86" t="s">
        <v>141</v>
      </c>
      <c r="C1078" s="75" t="s">
        <v>283</v>
      </c>
      <c r="D1078" s="75">
        <v>0</v>
      </c>
      <c r="E1078" s="77">
        <v>1</v>
      </c>
      <c r="F1078" s="77">
        <v>1</v>
      </c>
      <c r="G1078" s="75">
        <v>32.549999999999997</v>
      </c>
      <c r="H1078" s="59">
        <v>24.4</v>
      </c>
      <c r="I1078" s="59">
        <v>31.6</v>
      </c>
      <c r="J1078" s="59">
        <v>25.308625390828567</v>
      </c>
    </row>
    <row r="1079" spans="1:10" x14ac:dyDescent="0.4">
      <c r="A1079" s="273"/>
      <c r="B1079" s="86" t="s">
        <v>142</v>
      </c>
      <c r="C1079" s="75" t="s">
        <v>143</v>
      </c>
      <c r="D1079" s="75">
        <v>1</v>
      </c>
      <c r="E1079" s="77">
        <v>1</v>
      </c>
      <c r="F1079" s="77">
        <v>1</v>
      </c>
      <c r="G1079" s="75">
        <v>32.549999999999997</v>
      </c>
      <c r="H1079" s="60">
        <v>29</v>
      </c>
      <c r="I1079" s="60">
        <v>32.799999999999997</v>
      </c>
      <c r="J1079" s="60">
        <v>30.690526910212576</v>
      </c>
    </row>
    <row r="1080" spans="1:10" x14ac:dyDescent="0.4">
      <c r="A1080" s="273"/>
      <c r="B1080" s="86" t="s">
        <v>144</v>
      </c>
      <c r="C1080" s="75" t="s">
        <v>145</v>
      </c>
      <c r="D1080" s="75">
        <v>0</v>
      </c>
      <c r="E1080" s="77">
        <v>1</v>
      </c>
      <c r="F1080" s="77">
        <v>1</v>
      </c>
      <c r="G1080" s="75">
        <v>32.549999999999997</v>
      </c>
      <c r="H1080" s="59">
        <v>24.4</v>
      </c>
      <c r="I1080" s="59">
        <v>32.5</v>
      </c>
      <c r="J1080" s="59">
        <v>25.450364206403666</v>
      </c>
    </row>
    <row r="1081" spans="1:10" x14ac:dyDescent="0.4">
      <c r="A1081" s="273"/>
      <c r="B1081" s="86" t="s">
        <v>146</v>
      </c>
      <c r="C1081" s="75" t="s">
        <v>147</v>
      </c>
      <c r="D1081" s="75">
        <v>1</v>
      </c>
      <c r="E1081" s="77">
        <v>1</v>
      </c>
      <c r="F1081" s="77">
        <v>1</v>
      </c>
      <c r="G1081" s="75">
        <v>32.549999999999997</v>
      </c>
      <c r="H1081" s="60">
        <v>28.6</v>
      </c>
      <c r="I1081" s="60">
        <v>32.799999999999997</v>
      </c>
      <c r="J1081" s="60">
        <v>31.681985326236472</v>
      </c>
    </row>
    <row r="1082" spans="1:10" x14ac:dyDescent="0.4">
      <c r="A1082" s="273"/>
      <c r="B1082" s="86" t="s">
        <v>148</v>
      </c>
      <c r="C1082" s="75" t="s">
        <v>149</v>
      </c>
      <c r="D1082" s="75">
        <v>0</v>
      </c>
      <c r="E1082" s="77">
        <v>1</v>
      </c>
      <c r="F1082" s="77">
        <v>1</v>
      </c>
      <c r="G1082" s="75">
        <v>32.549999999999997</v>
      </c>
      <c r="H1082" s="60">
        <v>30.1</v>
      </c>
      <c r="I1082" s="60">
        <v>32.5</v>
      </c>
      <c r="J1082" s="60">
        <v>31.839196380938393</v>
      </c>
    </row>
    <row r="1083" spans="1:10" x14ac:dyDescent="0.4">
      <c r="A1083" s="273"/>
      <c r="B1083" s="86" t="s">
        <v>150</v>
      </c>
      <c r="C1083" s="75" t="s">
        <v>151</v>
      </c>
      <c r="D1083" s="75">
        <v>1</v>
      </c>
      <c r="E1083" s="77">
        <v>1</v>
      </c>
      <c r="F1083" s="77">
        <v>1</v>
      </c>
      <c r="G1083" s="75">
        <v>32.549999999999997</v>
      </c>
      <c r="H1083" s="60">
        <v>30.7</v>
      </c>
      <c r="I1083" s="60">
        <v>32.6</v>
      </c>
      <c r="J1083" s="60">
        <v>31.343251116148533</v>
      </c>
    </row>
    <row r="1084" spans="1:10" x14ac:dyDescent="0.4">
      <c r="A1084" s="273"/>
      <c r="B1084" s="86" t="s">
        <v>152</v>
      </c>
      <c r="C1084" s="75" t="s">
        <v>153</v>
      </c>
      <c r="D1084" s="75">
        <v>0</v>
      </c>
      <c r="E1084" s="77">
        <v>1</v>
      </c>
      <c r="F1084" s="77">
        <v>1</v>
      </c>
      <c r="G1084" s="75">
        <v>32.549999999999997</v>
      </c>
      <c r="H1084" s="59"/>
      <c r="I1084" s="59"/>
      <c r="J1084" s="59"/>
    </row>
    <row r="1085" spans="1:10" x14ac:dyDescent="0.4">
      <c r="A1085" s="273"/>
      <c r="B1085" s="86" t="s">
        <v>154</v>
      </c>
      <c r="C1085" s="75" t="s">
        <v>155</v>
      </c>
      <c r="D1085" s="75">
        <v>0</v>
      </c>
      <c r="E1085" s="77">
        <v>1</v>
      </c>
      <c r="F1085" s="77">
        <v>1</v>
      </c>
      <c r="G1085" s="75">
        <v>32.549999999999997</v>
      </c>
      <c r="H1085" s="59">
        <v>28.4</v>
      </c>
      <c r="I1085" s="59">
        <v>29.9</v>
      </c>
      <c r="J1085" s="59">
        <v>29.630716247788403</v>
      </c>
    </row>
    <row r="1086" spans="1:10" x14ac:dyDescent="0.4">
      <c r="A1086" s="273"/>
      <c r="B1086" s="86" t="s">
        <v>156</v>
      </c>
      <c r="C1086" s="75" t="s">
        <v>157</v>
      </c>
      <c r="D1086" s="75">
        <v>0</v>
      </c>
      <c r="E1086" s="77">
        <v>1</v>
      </c>
      <c r="F1086" s="77">
        <v>1</v>
      </c>
      <c r="G1086" s="75">
        <v>32.549999999999997</v>
      </c>
      <c r="H1086" s="59">
        <v>26.3</v>
      </c>
      <c r="I1086" s="59">
        <v>30.6</v>
      </c>
      <c r="J1086" s="59">
        <v>26.935364994203944</v>
      </c>
    </row>
    <row r="1087" spans="1:10" x14ac:dyDescent="0.4">
      <c r="A1087" s="273"/>
      <c r="B1087" s="86" t="s">
        <v>158</v>
      </c>
      <c r="C1087" s="75" t="s">
        <v>159</v>
      </c>
      <c r="D1087" s="75">
        <v>0</v>
      </c>
      <c r="E1087" s="77">
        <v>1</v>
      </c>
      <c r="F1087" s="77">
        <v>1</v>
      </c>
      <c r="G1087" s="75">
        <v>32.549999999999997</v>
      </c>
      <c r="H1087" s="59">
        <v>25.6</v>
      </c>
      <c r="I1087" s="59">
        <v>34</v>
      </c>
      <c r="J1087" s="59">
        <v>30.625999679618541</v>
      </c>
    </row>
    <row r="1088" spans="1:10" x14ac:dyDescent="0.4">
      <c r="A1088" s="273"/>
      <c r="B1088" s="86" t="s">
        <v>160</v>
      </c>
      <c r="C1088" s="75" t="s">
        <v>161</v>
      </c>
      <c r="D1088" s="75">
        <v>0</v>
      </c>
      <c r="E1088" s="77">
        <v>1</v>
      </c>
      <c r="F1088" s="77">
        <v>1</v>
      </c>
      <c r="G1088" s="75">
        <v>32.549999999999997</v>
      </c>
      <c r="H1088" s="59">
        <v>27.7</v>
      </c>
      <c r="I1088" s="59">
        <v>30.4</v>
      </c>
      <c r="J1088" s="59">
        <v>29.382356535905735</v>
      </c>
    </row>
    <row r="1089" spans="1:10" x14ac:dyDescent="0.4">
      <c r="A1089" s="273"/>
      <c r="B1089" s="86" t="s">
        <v>162</v>
      </c>
      <c r="C1089" s="75" t="s">
        <v>163</v>
      </c>
      <c r="D1089" s="75">
        <v>0</v>
      </c>
      <c r="E1089" s="77">
        <v>1</v>
      </c>
      <c r="F1089" s="77">
        <v>1</v>
      </c>
      <c r="G1089" s="75">
        <v>32.549999999999997</v>
      </c>
      <c r="H1089" s="59">
        <v>27</v>
      </c>
      <c r="I1089" s="59">
        <v>30.2</v>
      </c>
      <c r="J1089" s="59">
        <v>28.319564185557223</v>
      </c>
    </row>
    <row r="1090" spans="1:10" x14ac:dyDescent="0.4">
      <c r="A1090" s="273"/>
      <c r="B1090" s="86" t="s">
        <v>164</v>
      </c>
      <c r="C1090" s="75" t="s">
        <v>284</v>
      </c>
      <c r="D1090" s="75">
        <v>0</v>
      </c>
      <c r="E1090" s="77">
        <v>1</v>
      </c>
      <c r="F1090" s="77">
        <v>1</v>
      </c>
      <c r="G1090" s="75">
        <v>24.4</v>
      </c>
      <c r="H1090" s="59">
        <v>26</v>
      </c>
      <c r="I1090" s="59">
        <v>27.5</v>
      </c>
      <c r="J1090" s="59">
        <v>26.918421650104822</v>
      </c>
    </row>
    <row r="1091" spans="1:10" x14ac:dyDescent="0.4">
      <c r="A1091" s="273"/>
      <c r="B1091" s="86" t="s">
        <v>165</v>
      </c>
      <c r="C1091" s="75" t="s">
        <v>166</v>
      </c>
      <c r="D1091" s="75">
        <v>0</v>
      </c>
      <c r="E1091" s="77">
        <v>1</v>
      </c>
      <c r="F1091" s="77">
        <v>1</v>
      </c>
      <c r="G1091" s="75">
        <v>24.4</v>
      </c>
      <c r="H1091" s="59">
        <v>25.5</v>
      </c>
      <c r="I1091" s="59">
        <v>27.5</v>
      </c>
      <c r="J1091" s="59">
        <v>26.559773141544955</v>
      </c>
    </row>
    <row r="1092" spans="1:10" x14ac:dyDescent="0.4">
      <c r="A1092" s="273" t="s">
        <v>285</v>
      </c>
      <c r="B1092" s="86" t="s">
        <v>167</v>
      </c>
      <c r="C1092" s="75" t="s">
        <v>286</v>
      </c>
      <c r="D1092" s="76">
        <v>1</v>
      </c>
      <c r="E1092" s="77">
        <v>1</v>
      </c>
      <c r="F1092" s="274" t="s">
        <v>273</v>
      </c>
      <c r="G1092" s="75">
        <v>105.48</v>
      </c>
      <c r="H1092" s="56">
        <v>25.7</v>
      </c>
      <c r="I1092" s="60">
        <v>39.700000000000003</v>
      </c>
      <c r="J1092" s="60">
        <v>35.190372604446353</v>
      </c>
    </row>
    <row r="1093" spans="1:10" x14ac:dyDescent="0.4">
      <c r="A1093" s="273"/>
      <c r="B1093" s="86" t="s">
        <v>168</v>
      </c>
      <c r="C1093" s="75" t="s">
        <v>169</v>
      </c>
      <c r="D1093" s="76">
        <v>1</v>
      </c>
      <c r="E1093" s="77">
        <v>1</v>
      </c>
      <c r="F1093" s="275"/>
      <c r="G1093" s="75">
        <v>105.48</v>
      </c>
      <c r="H1093" s="56">
        <v>28.7</v>
      </c>
      <c r="I1093" s="61">
        <v>42.6</v>
      </c>
      <c r="J1093" s="61">
        <v>38.274867758099141</v>
      </c>
    </row>
    <row r="1094" spans="1:10" x14ac:dyDescent="0.4">
      <c r="A1094" s="273"/>
      <c r="B1094" s="86" t="s">
        <v>170</v>
      </c>
      <c r="C1094" s="75" t="s">
        <v>171</v>
      </c>
      <c r="D1094" s="76">
        <v>1</v>
      </c>
      <c r="E1094" s="77">
        <v>1</v>
      </c>
      <c r="F1094" s="275"/>
      <c r="G1094" s="75">
        <v>105.48</v>
      </c>
      <c r="H1094" s="56">
        <v>27.4</v>
      </c>
      <c r="I1094" s="57">
        <v>45.8</v>
      </c>
      <c r="J1094" s="57">
        <v>40.447616220029126</v>
      </c>
    </row>
    <row r="1095" spans="1:10" x14ac:dyDescent="0.4">
      <c r="A1095" s="273"/>
      <c r="B1095" s="86" t="s">
        <v>172</v>
      </c>
      <c r="C1095" s="75" t="s">
        <v>173</v>
      </c>
      <c r="D1095" s="76">
        <v>1</v>
      </c>
      <c r="E1095" s="77">
        <v>1</v>
      </c>
      <c r="F1095" s="275"/>
      <c r="G1095" s="75">
        <v>105.48</v>
      </c>
      <c r="H1095" s="56">
        <v>27</v>
      </c>
      <c r="I1095" s="57">
        <v>45.3</v>
      </c>
      <c r="J1095" s="57">
        <v>40.088349265555607</v>
      </c>
    </row>
    <row r="1096" spans="1:10" x14ac:dyDescent="0.4">
      <c r="A1096" s="273"/>
      <c r="B1096" s="86" t="s">
        <v>174</v>
      </c>
      <c r="C1096" s="75" t="s">
        <v>287</v>
      </c>
      <c r="D1096" s="76">
        <v>1</v>
      </c>
      <c r="E1096" s="77">
        <v>1</v>
      </c>
      <c r="F1096" s="275"/>
      <c r="G1096" s="75">
        <v>65</v>
      </c>
      <c r="H1096" s="62">
        <v>30.6</v>
      </c>
      <c r="I1096" s="62">
        <v>40.6</v>
      </c>
      <c r="J1096" s="62">
        <v>37.47478447889106</v>
      </c>
    </row>
    <row r="1097" spans="1:10" x14ac:dyDescent="0.4">
      <c r="A1097" s="273"/>
      <c r="B1097" s="86" t="s">
        <v>175</v>
      </c>
      <c r="C1097" s="75" t="s">
        <v>176</v>
      </c>
      <c r="D1097" s="76">
        <v>1</v>
      </c>
      <c r="E1097" s="77">
        <v>1</v>
      </c>
      <c r="F1097" s="276"/>
      <c r="G1097" s="75">
        <v>65</v>
      </c>
      <c r="H1097" s="62">
        <v>29</v>
      </c>
      <c r="I1097" s="62">
        <v>30</v>
      </c>
      <c r="J1097" s="62">
        <v>29.322365104728199</v>
      </c>
    </row>
    <row r="1098" spans="1:10" x14ac:dyDescent="0.4">
      <c r="A1098" s="273"/>
      <c r="B1098" s="86" t="s">
        <v>177</v>
      </c>
      <c r="C1098" s="75" t="s">
        <v>288</v>
      </c>
      <c r="D1098" s="76">
        <v>1</v>
      </c>
      <c r="E1098" s="77">
        <v>1</v>
      </c>
      <c r="F1098" s="274" t="s">
        <v>282</v>
      </c>
      <c r="G1098" s="75">
        <v>16.3</v>
      </c>
      <c r="H1098" s="62">
        <v>30.5</v>
      </c>
      <c r="I1098" s="62">
        <v>34.5</v>
      </c>
      <c r="J1098" s="62">
        <v>31.691676637256574</v>
      </c>
    </row>
    <row r="1099" spans="1:10" x14ac:dyDescent="0.4">
      <c r="A1099" s="273"/>
      <c r="B1099" s="86" t="s">
        <v>178</v>
      </c>
      <c r="C1099" s="75" t="s">
        <v>179</v>
      </c>
      <c r="D1099" s="76">
        <v>1</v>
      </c>
      <c r="E1099" s="77">
        <v>1</v>
      </c>
      <c r="F1099" s="275"/>
      <c r="G1099" s="75">
        <v>16.3</v>
      </c>
      <c r="H1099" s="62">
        <v>31</v>
      </c>
      <c r="I1099" s="62">
        <v>40.5</v>
      </c>
      <c r="J1099" s="62">
        <v>34.619817345292134</v>
      </c>
    </row>
    <row r="1100" spans="1:10" x14ac:dyDescent="0.4">
      <c r="A1100" s="273"/>
      <c r="B1100" s="86" t="s">
        <v>180</v>
      </c>
      <c r="C1100" s="75" t="s">
        <v>181</v>
      </c>
      <c r="D1100" s="76">
        <v>1</v>
      </c>
      <c r="E1100" s="77">
        <v>1</v>
      </c>
      <c r="F1100" s="275"/>
      <c r="G1100" s="75">
        <v>16.3</v>
      </c>
      <c r="H1100" s="62">
        <v>28</v>
      </c>
      <c r="I1100" s="62">
        <v>45</v>
      </c>
      <c r="J1100" s="62">
        <v>30.126522635332051</v>
      </c>
    </row>
    <row r="1101" spans="1:10" x14ac:dyDescent="0.4">
      <c r="A1101" s="273"/>
      <c r="B1101" s="86" t="s">
        <v>289</v>
      </c>
      <c r="C1101" s="75" t="s">
        <v>182</v>
      </c>
      <c r="D1101" s="76">
        <v>1</v>
      </c>
      <c r="E1101" s="77">
        <v>1</v>
      </c>
      <c r="F1101" s="276"/>
      <c r="G1101" s="75">
        <v>35</v>
      </c>
      <c r="H1101" s="62">
        <v>31.5</v>
      </c>
      <c r="I1101" s="62">
        <v>50.1</v>
      </c>
      <c r="J1101" s="62">
        <v>44.617185412817626</v>
      </c>
    </row>
    <row r="1102" spans="1:10" x14ac:dyDescent="0.4">
      <c r="A1102" s="273" t="s">
        <v>275</v>
      </c>
      <c r="B1102" s="86" t="s">
        <v>126</v>
      </c>
      <c r="C1102" s="75" t="s">
        <v>278</v>
      </c>
      <c r="D1102" s="76">
        <v>1</v>
      </c>
      <c r="E1102" s="77">
        <v>1</v>
      </c>
      <c r="F1102" s="90"/>
      <c r="G1102" s="75">
        <v>70.319999999999993</v>
      </c>
      <c r="H1102" s="62">
        <v>25.2</v>
      </c>
      <c r="I1102" s="62">
        <v>56.1</v>
      </c>
      <c r="J1102" s="62">
        <v>38.445655165716552</v>
      </c>
    </row>
    <row r="1103" spans="1:10" x14ac:dyDescent="0.4">
      <c r="A1103" s="273"/>
      <c r="B1103" s="86" t="s">
        <v>127</v>
      </c>
      <c r="C1103" s="75" t="s">
        <v>128</v>
      </c>
      <c r="D1103" s="76">
        <v>1</v>
      </c>
      <c r="E1103" s="77">
        <v>1</v>
      </c>
      <c r="F1103" s="90"/>
      <c r="G1103" s="75">
        <v>70.319999999999993</v>
      </c>
      <c r="H1103" s="62">
        <v>25</v>
      </c>
      <c r="I1103" s="62">
        <v>56.2</v>
      </c>
      <c r="J1103" s="62">
        <v>37.517854848939081</v>
      </c>
    </row>
    <row r="1104" spans="1:10" x14ac:dyDescent="0.4">
      <c r="A1104" s="273"/>
      <c r="B1104" s="86" t="s">
        <v>129</v>
      </c>
      <c r="C1104" s="75" t="s">
        <v>130</v>
      </c>
      <c r="D1104" s="76">
        <v>1</v>
      </c>
      <c r="E1104" s="77">
        <v>1</v>
      </c>
      <c r="F1104" s="90"/>
      <c r="G1104" s="75">
        <v>70.319999999999993</v>
      </c>
      <c r="H1104" s="62">
        <v>24.9</v>
      </c>
      <c r="I1104" s="62">
        <v>55.1</v>
      </c>
      <c r="J1104" s="62">
        <v>37.871109473847063</v>
      </c>
    </row>
    <row r="1105" spans="1:10" x14ac:dyDescent="0.4">
      <c r="H1105" s="91">
        <f>AVERAGE(H1064:H1075,H1081:H1083,H1092:H1104)</f>
        <v>26.610714285714288</v>
      </c>
      <c r="I1105" s="91">
        <f>AVERAGE(I1064:I1075,I1081:I1083,I1092:I1104)</f>
        <v>45.474999999999987</v>
      </c>
      <c r="J1105" s="114">
        <f>AVERAGE(J1064:J1075,J1081:J1083,J1092:J1104,J1079)</f>
        <v>36.473064994950349</v>
      </c>
    </row>
    <row r="1106" spans="1:10" x14ac:dyDescent="0.4">
      <c r="J1106" s="115" t="s">
        <v>262</v>
      </c>
    </row>
    <row r="1107" spans="1:10" x14ac:dyDescent="0.4">
      <c r="A1107" s="288" t="s">
        <v>290</v>
      </c>
      <c r="B1107" s="288"/>
      <c r="C1107" s="289" t="s">
        <v>187</v>
      </c>
      <c r="D1107" s="290"/>
      <c r="E1107" s="290" t="s">
        <v>188</v>
      </c>
      <c r="F1107" s="290"/>
      <c r="G1107" s="290" t="s">
        <v>189</v>
      </c>
      <c r="H1107" s="290"/>
      <c r="I1107" s="290" t="s">
        <v>190</v>
      </c>
      <c r="J1107" s="290"/>
    </row>
    <row r="1108" spans="1:10" ht="34.799999999999997" x14ac:dyDescent="0.4">
      <c r="A1108" s="288"/>
      <c r="B1108" s="288"/>
      <c r="C1108" s="102" t="s">
        <v>191</v>
      </c>
      <c r="D1108" s="101" t="s">
        <v>192</v>
      </c>
      <c r="E1108" s="101" t="s">
        <v>191</v>
      </c>
      <c r="F1108" s="101" t="s">
        <v>192</v>
      </c>
      <c r="G1108" s="101" t="s">
        <v>191</v>
      </c>
      <c r="H1108" s="101" t="s">
        <v>192</v>
      </c>
      <c r="I1108" s="101" t="s">
        <v>191</v>
      </c>
      <c r="J1108" s="101" t="s">
        <v>192</v>
      </c>
    </row>
    <row r="1109" spans="1:10" x14ac:dyDescent="0.4">
      <c r="A1109" s="277" t="s">
        <v>291</v>
      </c>
      <c r="B1109" s="100" t="s">
        <v>292</v>
      </c>
      <c r="C1109" s="93"/>
      <c r="D1109" s="92"/>
      <c r="E1109" s="93"/>
      <c r="F1109" s="92"/>
      <c r="G1109" s="93"/>
      <c r="H1109" s="92"/>
      <c r="I1109" s="93"/>
      <c r="J1109" s="92"/>
    </row>
    <row r="1110" spans="1:10" x14ac:dyDescent="0.4">
      <c r="A1110" s="278"/>
      <c r="B1110" s="94" t="s">
        <v>193</v>
      </c>
      <c r="C1110" s="93"/>
      <c r="D1110" s="92"/>
      <c r="E1110" s="93"/>
      <c r="F1110" s="92"/>
      <c r="G1110" s="93"/>
      <c r="H1110" s="92"/>
      <c r="I1110" s="93"/>
      <c r="J1110" s="92"/>
    </row>
    <row r="1111" spans="1:10" x14ac:dyDescent="0.4">
      <c r="A1111" s="278"/>
      <c r="B1111" s="94" t="s">
        <v>194</v>
      </c>
      <c r="C1111" s="93"/>
      <c r="D1111" s="92"/>
      <c r="E1111" s="93"/>
      <c r="F1111" s="92"/>
      <c r="G1111" s="93"/>
      <c r="H1111" s="92"/>
      <c r="I1111" s="93"/>
      <c r="J1111" s="92"/>
    </row>
    <row r="1112" spans="1:10" x14ac:dyDescent="0.4">
      <c r="A1112" s="278"/>
      <c r="B1112" s="94" t="s">
        <v>195</v>
      </c>
      <c r="C1112" s="93"/>
      <c r="D1112" s="92"/>
      <c r="E1112" s="93"/>
      <c r="F1112" s="92"/>
      <c r="G1112" s="93"/>
      <c r="H1112" s="92"/>
      <c r="I1112" s="93"/>
      <c r="J1112" s="92"/>
    </row>
    <row r="1113" spans="1:10" x14ac:dyDescent="0.4">
      <c r="A1113" s="278"/>
      <c r="B1113" s="94" t="s">
        <v>196</v>
      </c>
      <c r="C1113" s="93"/>
      <c r="D1113" s="92"/>
      <c r="E1113" s="93"/>
      <c r="F1113" s="92"/>
      <c r="G1113" s="93"/>
      <c r="H1113" s="92"/>
      <c r="I1113" s="93"/>
      <c r="J1113" s="92"/>
    </row>
    <row r="1114" spans="1:10" x14ac:dyDescent="0.4">
      <c r="A1114" s="278"/>
      <c r="B1114" s="94" t="s">
        <v>197</v>
      </c>
      <c r="C1114" s="93"/>
      <c r="D1114" s="92"/>
      <c r="E1114" s="93"/>
      <c r="F1114" s="92"/>
      <c r="G1114" s="93"/>
      <c r="H1114" s="92"/>
      <c r="I1114" s="93"/>
      <c r="J1114" s="92"/>
    </row>
    <row r="1115" spans="1:10" x14ac:dyDescent="0.4">
      <c r="A1115" s="278"/>
      <c r="B1115" s="94" t="s">
        <v>198</v>
      </c>
      <c r="C1115" s="93"/>
      <c r="D1115" s="92"/>
      <c r="E1115" s="93"/>
      <c r="F1115" s="92"/>
      <c r="G1115" s="93"/>
      <c r="H1115" s="92"/>
      <c r="I1115" s="93"/>
      <c r="J1115" s="92"/>
    </row>
    <row r="1116" spans="1:10" x14ac:dyDescent="0.4">
      <c r="A1116" s="278"/>
      <c r="B1116" s="94" t="s">
        <v>199</v>
      </c>
      <c r="C1116" s="93"/>
      <c r="D1116" s="92"/>
      <c r="E1116" s="93"/>
      <c r="F1116" s="92"/>
      <c r="G1116" s="93"/>
      <c r="H1116" s="92"/>
      <c r="I1116" s="93"/>
      <c r="J1116" s="92"/>
    </row>
    <row r="1117" spans="1:10" x14ac:dyDescent="0.4">
      <c r="A1117" s="278"/>
      <c r="B1117" s="94" t="s">
        <v>200</v>
      </c>
      <c r="C1117" s="93"/>
      <c r="D1117" s="92"/>
      <c r="E1117" s="93"/>
      <c r="F1117" s="92"/>
      <c r="G1117" s="93"/>
      <c r="H1117" s="92"/>
      <c r="I1117" s="98"/>
      <c r="J1117" s="99"/>
    </row>
    <row r="1118" spans="1:10" x14ac:dyDescent="0.4">
      <c r="A1118" s="278"/>
      <c r="B1118" s="94" t="s">
        <v>201</v>
      </c>
      <c r="C1118" s="93"/>
      <c r="D1118" s="92"/>
      <c r="E1118" s="98"/>
      <c r="F1118" s="99"/>
      <c r="G1118" s="93"/>
      <c r="H1118" s="92"/>
      <c r="I1118" s="98"/>
      <c r="J1118" s="99"/>
    </row>
    <row r="1119" spans="1:10" x14ac:dyDescent="0.4">
      <c r="A1119" s="278"/>
      <c r="B1119" s="94" t="s">
        <v>202</v>
      </c>
      <c r="C1119" s="93"/>
      <c r="D1119" s="92"/>
      <c r="E1119" s="98"/>
      <c r="F1119" s="99"/>
      <c r="G1119" s="93"/>
      <c r="H1119" s="92"/>
      <c r="I1119" s="98"/>
      <c r="J1119" s="99"/>
    </row>
    <row r="1120" spans="1:10" x14ac:dyDescent="0.4">
      <c r="A1120" s="278"/>
      <c r="B1120" s="94" t="s">
        <v>203</v>
      </c>
      <c r="C1120" s="93"/>
      <c r="D1120" s="92"/>
      <c r="E1120" s="98"/>
      <c r="F1120" s="99"/>
      <c r="G1120" s="93"/>
      <c r="H1120" s="92"/>
      <c r="I1120" s="98"/>
      <c r="J1120" s="99"/>
    </row>
    <row r="1121" spans="1:10" x14ac:dyDescent="0.4">
      <c r="A1121" s="278"/>
      <c r="B1121" s="94" t="s">
        <v>204</v>
      </c>
      <c r="C1121" s="93"/>
      <c r="D1121" s="92"/>
      <c r="E1121" s="98"/>
      <c r="F1121" s="99"/>
      <c r="G1121" s="93"/>
      <c r="H1121" s="92"/>
      <c r="I1121" s="98"/>
      <c r="J1121" s="99"/>
    </row>
    <row r="1122" spans="1:10" x14ac:dyDescent="0.4">
      <c r="A1122" s="278"/>
      <c r="B1122" s="94" t="s">
        <v>205</v>
      </c>
      <c r="C1122" s="98"/>
      <c r="D1122" s="99"/>
      <c r="E1122" s="98"/>
      <c r="F1122" s="99"/>
      <c r="G1122" s="93"/>
      <c r="H1122" s="92"/>
      <c r="I1122" s="98"/>
      <c r="J1122" s="99"/>
    </row>
    <row r="1123" spans="1:10" x14ac:dyDescent="0.4">
      <c r="A1123" s="278"/>
      <c r="B1123" s="94" t="s">
        <v>206</v>
      </c>
      <c r="C1123" s="98"/>
      <c r="D1123" s="99"/>
      <c r="E1123" s="98"/>
      <c r="F1123" s="99"/>
      <c r="G1123" s="93"/>
      <c r="H1123" s="92"/>
      <c r="I1123" s="98"/>
      <c r="J1123" s="99"/>
    </row>
    <row r="1124" spans="1:10" x14ac:dyDescent="0.4">
      <c r="A1124" s="278"/>
      <c r="B1124" s="94" t="s">
        <v>207</v>
      </c>
      <c r="C1124" s="98"/>
      <c r="D1124" s="99"/>
      <c r="E1124" s="98"/>
      <c r="F1124" s="99"/>
      <c r="G1124" s="93"/>
      <c r="H1124" s="92"/>
      <c r="I1124" s="98"/>
      <c r="J1124" s="99"/>
    </row>
    <row r="1125" spans="1:10" x14ac:dyDescent="0.4">
      <c r="A1125" s="278"/>
      <c r="B1125" s="95" t="s">
        <v>293</v>
      </c>
      <c r="C1125" s="93"/>
      <c r="D1125" s="92"/>
      <c r="E1125" s="93"/>
      <c r="F1125" s="92"/>
      <c r="G1125" s="93"/>
      <c r="H1125" s="92"/>
      <c r="I1125" s="93"/>
      <c r="J1125" s="92"/>
    </row>
    <row r="1126" spans="1:10" x14ac:dyDescent="0.4">
      <c r="A1126" s="278"/>
      <c r="B1126" s="95" t="s">
        <v>208</v>
      </c>
      <c r="C1126" s="93"/>
      <c r="D1126" s="92"/>
      <c r="E1126" s="93"/>
      <c r="F1126" s="92"/>
      <c r="G1126" s="93"/>
      <c r="H1126" s="92"/>
      <c r="I1126" s="93"/>
      <c r="J1126" s="92"/>
    </row>
    <row r="1127" spans="1:10" x14ac:dyDescent="0.4">
      <c r="A1127" s="278"/>
      <c r="B1127" s="95" t="s">
        <v>209</v>
      </c>
      <c r="C1127" s="93"/>
      <c r="D1127" s="92"/>
      <c r="E1127" s="93"/>
      <c r="F1127" s="92"/>
      <c r="G1127" s="93"/>
      <c r="H1127" s="92"/>
      <c r="I1127" s="93"/>
      <c r="J1127" s="92"/>
    </row>
    <row r="1128" spans="1:10" x14ac:dyDescent="0.4">
      <c r="A1128" s="278"/>
      <c r="B1128" s="95" t="s">
        <v>210</v>
      </c>
      <c r="C1128" s="93"/>
      <c r="D1128" s="92"/>
      <c r="E1128" s="93"/>
      <c r="F1128" s="92"/>
      <c r="G1128" s="93"/>
      <c r="H1128" s="92"/>
      <c r="I1128" s="93"/>
      <c r="J1128" s="92"/>
    </row>
    <row r="1129" spans="1:10" x14ac:dyDescent="0.4">
      <c r="A1129" s="278"/>
      <c r="B1129" s="95" t="s">
        <v>211</v>
      </c>
      <c r="C1129" s="93"/>
      <c r="D1129" s="92"/>
      <c r="E1129" s="93"/>
      <c r="F1129" s="92"/>
      <c r="G1129" s="93"/>
      <c r="H1129" s="92"/>
      <c r="I1129" s="93"/>
      <c r="J1129" s="92"/>
    </row>
    <row r="1130" spans="1:10" x14ac:dyDescent="0.4">
      <c r="A1130" s="278"/>
      <c r="B1130" s="95" t="s">
        <v>212</v>
      </c>
      <c r="C1130" s="93"/>
      <c r="D1130" s="92"/>
      <c r="E1130" s="93"/>
      <c r="F1130" s="92"/>
      <c r="G1130" s="93"/>
      <c r="H1130" s="92"/>
      <c r="I1130" s="93"/>
      <c r="J1130" s="92"/>
    </row>
    <row r="1131" spans="1:10" x14ac:dyDescent="0.4">
      <c r="A1131" s="278"/>
      <c r="B1131" s="95" t="s">
        <v>213</v>
      </c>
      <c r="C1131" s="93"/>
      <c r="D1131" s="92"/>
      <c r="E1131" s="93"/>
      <c r="F1131" s="92"/>
      <c r="G1131" s="93"/>
      <c r="H1131" s="92"/>
      <c r="I1131" s="93"/>
      <c r="J1131" s="92"/>
    </row>
    <row r="1132" spans="1:10" x14ac:dyDescent="0.4">
      <c r="A1132" s="278"/>
      <c r="B1132" s="95" t="s">
        <v>214</v>
      </c>
      <c r="C1132" s="93"/>
      <c r="D1132" s="92"/>
      <c r="E1132" s="93"/>
      <c r="F1132" s="92"/>
      <c r="G1132" s="93"/>
      <c r="H1132" s="92"/>
      <c r="I1132" s="93"/>
      <c r="J1132" s="92"/>
    </row>
    <row r="1133" spans="1:10" x14ac:dyDescent="0.4">
      <c r="A1133" s="278"/>
      <c r="B1133" s="95" t="s">
        <v>215</v>
      </c>
      <c r="C1133" s="93"/>
      <c r="D1133" s="92"/>
      <c r="E1133" s="93"/>
      <c r="F1133" s="92"/>
      <c r="G1133" s="93"/>
      <c r="H1133" s="92"/>
      <c r="I1133" s="93"/>
      <c r="J1133" s="92"/>
    </row>
    <row r="1134" spans="1:10" x14ac:dyDescent="0.4">
      <c r="A1134" s="278"/>
      <c r="B1134" s="95" t="s">
        <v>216</v>
      </c>
      <c r="C1134" s="93"/>
      <c r="D1134" s="92"/>
      <c r="E1134" s="93"/>
      <c r="F1134" s="92"/>
      <c r="G1134" s="93"/>
      <c r="H1134" s="92"/>
      <c r="I1134" s="93"/>
      <c r="J1134" s="92"/>
    </row>
    <row r="1135" spans="1:10" x14ac:dyDescent="0.4">
      <c r="A1135" s="278"/>
      <c r="B1135" s="95" t="s">
        <v>217</v>
      </c>
      <c r="C1135" s="93"/>
      <c r="D1135" s="92"/>
      <c r="E1135" s="93"/>
      <c r="F1135" s="92"/>
      <c r="G1135" s="93"/>
      <c r="H1135" s="92"/>
      <c r="I1135" s="98"/>
      <c r="J1135" s="99"/>
    </row>
    <row r="1136" spans="1:10" x14ac:dyDescent="0.4">
      <c r="A1136" s="278"/>
      <c r="B1136" s="95" t="s">
        <v>218</v>
      </c>
      <c r="C1136" s="93"/>
      <c r="D1136" s="92"/>
      <c r="E1136" s="93"/>
      <c r="F1136" s="92"/>
      <c r="G1136" s="93"/>
      <c r="H1136" s="92"/>
      <c r="I1136" s="98"/>
      <c r="J1136" s="99"/>
    </row>
    <row r="1137" spans="1:10" x14ac:dyDescent="0.4">
      <c r="A1137" s="278"/>
      <c r="B1137" s="95" t="s">
        <v>219</v>
      </c>
      <c r="C1137" s="93"/>
      <c r="D1137" s="92"/>
      <c r="E1137" s="93"/>
      <c r="F1137" s="92"/>
      <c r="G1137" s="93"/>
      <c r="H1137" s="92"/>
      <c r="I1137" s="98"/>
      <c r="J1137" s="99"/>
    </row>
    <row r="1138" spans="1:10" x14ac:dyDescent="0.4">
      <c r="A1138" s="278"/>
      <c r="B1138" s="95" t="s">
        <v>220</v>
      </c>
      <c r="C1138" s="93"/>
      <c r="D1138" s="92"/>
      <c r="E1138" s="93"/>
      <c r="F1138" s="92"/>
      <c r="G1138" s="98"/>
      <c r="H1138" s="99"/>
      <c r="I1138" s="98"/>
      <c r="J1138" s="99"/>
    </row>
    <row r="1139" spans="1:10" x14ac:dyDescent="0.4">
      <c r="A1139" s="278"/>
      <c r="B1139" s="95" t="s">
        <v>294</v>
      </c>
      <c r="C1139" s="93"/>
      <c r="D1139" s="92"/>
      <c r="E1139" s="98"/>
      <c r="F1139" s="99"/>
      <c r="G1139" s="98"/>
      <c r="H1139" s="99"/>
      <c r="I1139" s="98"/>
      <c r="J1139" s="99"/>
    </row>
    <row r="1140" spans="1:10" x14ac:dyDescent="0.4">
      <c r="A1140" s="278"/>
      <c r="B1140" s="95" t="s">
        <v>221</v>
      </c>
      <c r="C1140" s="93"/>
      <c r="D1140" s="92"/>
      <c r="E1140" s="98"/>
      <c r="F1140" s="99"/>
      <c r="G1140" s="98"/>
      <c r="H1140" s="99"/>
      <c r="I1140" s="98"/>
      <c r="J1140" s="99"/>
    </row>
    <row r="1141" spans="1:10" x14ac:dyDescent="0.4">
      <c r="A1141" s="278"/>
      <c r="B1141" s="96" t="s">
        <v>295</v>
      </c>
      <c r="C1141" s="93"/>
      <c r="D1141" s="92"/>
      <c r="E1141" s="93"/>
      <c r="F1141" s="92"/>
      <c r="G1141" s="93"/>
      <c r="H1141" s="92"/>
      <c r="I1141" s="93"/>
      <c r="J1141" s="92"/>
    </row>
    <row r="1142" spans="1:10" x14ac:dyDescent="0.4">
      <c r="A1142" s="278"/>
      <c r="B1142" s="96" t="s">
        <v>222</v>
      </c>
      <c r="C1142" s="93"/>
      <c r="D1142" s="92"/>
      <c r="E1142" s="93"/>
      <c r="F1142" s="92"/>
      <c r="G1142" s="93"/>
      <c r="H1142" s="92"/>
      <c r="I1142" s="93"/>
      <c r="J1142" s="92"/>
    </row>
    <row r="1143" spans="1:10" x14ac:dyDescent="0.4">
      <c r="A1143" s="278"/>
      <c r="B1143" s="96" t="s">
        <v>223</v>
      </c>
      <c r="C1143" s="93"/>
      <c r="D1143" s="92"/>
      <c r="E1143" s="93"/>
      <c r="F1143" s="92"/>
      <c r="G1143" s="93"/>
      <c r="H1143" s="92"/>
      <c r="I1143" s="93"/>
      <c r="J1143" s="92"/>
    </row>
    <row r="1144" spans="1:10" x14ac:dyDescent="0.4">
      <c r="A1144" s="278"/>
      <c r="B1144" s="96" t="s">
        <v>224</v>
      </c>
      <c r="C1144" s="93"/>
      <c r="D1144" s="92"/>
      <c r="E1144" s="93"/>
      <c r="F1144" s="92"/>
      <c r="G1144" s="93"/>
      <c r="H1144" s="92"/>
      <c r="I1144" s="93"/>
      <c r="J1144" s="92"/>
    </row>
    <row r="1145" spans="1:10" x14ac:dyDescent="0.4">
      <c r="A1145" s="278"/>
      <c r="B1145" s="96" t="s">
        <v>225</v>
      </c>
      <c r="C1145" s="93"/>
      <c r="D1145" s="92"/>
      <c r="E1145" s="93"/>
      <c r="F1145" s="92"/>
      <c r="G1145" s="93"/>
      <c r="H1145" s="92"/>
      <c r="I1145" s="93"/>
      <c r="J1145" s="92"/>
    </row>
    <row r="1146" spans="1:10" x14ac:dyDescent="0.4">
      <c r="A1146" s="278"/>
      <c r="B1146" s="96" t="s">
        <v>226</v>
      </c>
      <c r="C1146" s="93"/>
      <c r="D1146" s="92"/>
      <c r="E1146" s="93"/>
      <c r="F1146" s="92"/>
      <c r="G1146" s="93"/>
      <c r="H1146" s="92"/>
      <c r="I1146" s="93"/>
      <c r="J1146" s="92"/>
    </row>
    <row r="1147" spans="1:10" x14ac:dyDescent="0.4">
      <c r="A1147" s="278"/>
      <c r="B1147" s="96" t="s">
        <v>227</v>
      </c>
      <c r="C1147" s="93"/>
      <c r="D1147" s="92"/>
      <c r="E1147" s="93"/>
      <c r="F1147" s="92"/>
      <c r="G1147" s="93"/>
      <c r="H1147" s="92"/>
      <c r="I1147" s="93"/>
      <c r="J1147" s="92"/>
    </row>
    <row r="1148" spans="1:10" x14ac:dyDescent="0.4">
      <c r="A1148" s="278"/>
      <c r="B1148" s="96" t="s">
        <v>228</v>
      </c>
      <c r="C1148" s="93"/>
      <c r="D1148" s="92"/>
      <c r="E1148" s="93"/>
      <c r="F1148" s="92"/>
      <c r="G1148" s="93"/>
      <c r="H1148" s="92"/>
      <c r="I1148" s="93"/>
      <c r="J1148" s="92"/>
    </row>
    <row r="1149" spans="1:10" x14ac:dyDescent="0.4">
      <c r="A1149" s="278"/>
      <c r="B1149" s="96" t="s">
        <v>229</v>
      </c>
      <c r="C1149" s="93"/>
      <c r="D1149" s="92"/>
      <c r="E1149" s="93"/>
      <c r="F1149" s="92"/>
      <c r="G1149" s="98"/>
      <c r="H1149" s="99"/>
      <c r="I1149" s="93"/>
      <c r="J1149" s="92"/>
    </row>
    <row r="1150" spans="1:10" x14ac:dyDescent="0.4">
      <c r="A1150" s="278"/>
      <c r="B1150" s="96" t="s">
        <v>230</v>
      </c>
      <c r="C1150" s="93"/>
      <c r="D1150" s="92"/>
      <c r="E1150" s="93"/>
      <c r="F1150" s="92"/>
      <c r="G1150" s="98"/>
      <c r="H1150" s="99"/>
      <c r="I1150" s="98"/>
      <c r="J1150" s="99"/>
    </row>
    <row r="1151" spans="1:10" x14ac:dyDescent="0.4">
      <c r="A1151" s="278"/>
      <c r="B1151" s="96" t="s">
        <v>231</v>
      </c>
      <c r="C1151" s="93"/>
      <c r="D1151" s="92"/>
      <c r="E1151" s="93"/>
      <c r="F1151" s="92"/>
      <c r="G1151" s="98"/>
      <c r="H1151" s="99"/>
      <c r="I1151" s="98"/>
      <c r="J1151" s="99"/>
    </row>
    <row r="1152" spans="1:10" x14ac:dyDescent="0.4">
      <c r="A1152" s="278"/>
      <c r="B1152" s="96" t="s">
        <v>232</v>
      </c>
      <c r="C1152" s="93"/>
      <c r="D1152" s="92"/>
      <c r="E1152" s="93"/>
      <c r="F1152" s="92"/>
      <c r="G1152" s="98"/>
      <c r="H1152" s="99"/>
      <c r="I1152" s="98"/>
      <c r="J1152" s="99"/>
    </row>
    <row r="1153" spans="1:10" x14ac:dyDescent="0.4">
      <c r="A1153" s="278"/>
      <c r="B1153" s="96" t="s">
        <v>233</v>
      </c>
      <c r="C1153" s="93"/>
      <c r="D1153" s="92"/>
      <c r="E1153" s="93"/>
      <c r="F1153" s="92"/>
      <c r="G1153" s="98"/>
      <c r="H1153" s="99"/>
      <c r="I1153" s="98"/>
      <c r="J1153" s="99"/>
    </row>
    <row r="1154" spans="1:10" x14ac:dyDescent="0.4">
      <c r="A1154" s="278"/>
      <c r="B1154" s="96" t="s">
        <v>234</v>
      </c>
      <c r="C1154" s="93"/>
      <c r="D1154" s="92"/>
      <c r="E1154" s="93"/>
      <c r="F1154" s="92"/>
      <c r="G1154" s="98"/>
      <c r="H1154" s="99"/>
      <c r="I1154" s="98"/>
      <c r="J1154" s="99"/>
    </row>
    <row r="1155" spans="1:10" x14ac:dyDescent="0.4">
      <c r="A1155" s="278"/>
      <c r="B1155" s="96" t="s">
        <v>235</v>
      </c>
      <c r="C1155" s="93"/>
      <c r="D1155" s="92"/>
      <c r="E1155" s="98"/>
      <c r="F1155" s="99"/>
      <c r="G1155" s="98"/>
      <c r="H1155" s="99"/>
      <c r="I1155" s="98"/>
      <c r="J1155" s="99"/>
    </row>
    <row r="1156" spans="1:10" x14ac:dyDescent="0.4">
      <c r="A1156" s="278"/>
      <c r="B1156" s="96" t="s">
        <v>236</v>
      </c>
      <c r="C1156" s="93"/>
      <c r="D1156" s="92"/>
      <c r="E1156" s="98"/>
      <c r="F1156" s="99"/>
      <c r="G1156" s="98"/>
      <c r="H1156" s="99"/>
      <c r="I1156" s="98"/>
      <c r="J1156" s="99"/>
    </row>
    <row r="1157" spans="1:10" x14ac:dyDescent="0.4">
      <c r="A1157" s="278"/>
      <c r="B1157" s="97" t="s">
        <v>296</v>
      </c>
      <c r="C1157" s="93"/>
      <c r="D1157" s="92"/>
      <c r="E1157" s="93"/>
      <c r="F1157" s="92"/>
      <c r="G1157" s="93"/>
      <c r="H1157" s="92"/>
      <c r="I1157" s="93"/>
      <c r="J1157" s="92"/>
    </row>
    <row r="1158" spans="1:10" x14ac:dyDescent="0.4">
      <c r="A1158" s="278"/>
      <c r="B1158" s="97" t="s">
        <v>237</v>
      </c>
      <c r="C1158" s="93"/>
      <c r="D1158" s="92"/>
      <c r="E1158" s="93"/>
      <c r="F1158" s="92"/>
      <c r="G1158" s="93"/>
      <c r="H1158" s="92"/>
      <c r="I1158" s="93"/>
      <c r="J1158" s="92"/>
    </row>
    <row r="1159" spans="1:10" x14ac:dyDescent="0.4">
      <c r="A1159" s="278"/>
      <c r="B1159" s="97" t="s">
        <v>238</v>
      </c>
      <c r="C1159" s="93"/>
      <c r="D1159" s="92"/>
      <c r="E1159" s="93"/>
      <c r="F1159" s="92"/>
      <c r="G1159" s="93"/>
      <c r="H1159" s="92"/>
      <c r="I1159" s="93"/>
      <c r="J1159" s="92"/>
    </row>
    <row r="1160" spans="1:10" x14ac:dyDescent="0.4">
      <c r="A1160" s="278"/>
      <c r="B1160" s="97" t="s">
        <v>239</v>
      </c>
      <c r="C1160" s="93"/>
      <c r="D1160" s="92"/>
      <c r="E1160" s="93"/>
      <c r="F1160" s="92"/>
      <c r="G1160" s="93"/>
      <c r="H1160" s="92"/>
      <c r="I1160" s="93"/>
      <c r="J1160" s="92"/>
    </row>
    <row r="1161" spans="1:10" x14ac:dyDescent="0.4">
      <c r="A1161" s="278"/>
      <c r="B1161" s="97" t="s">
        <v>240</v>
      </c>
      <c r="C1161" s="93"/>
      <c r="D1161" s="92"/>
      <c r="E1161" s="93"/>
      <c r="F1161" s="92"/>
      <c r="G1161" s="93"/>
      <c r="H1161" s="92"/>
      <c r="I1161" s="93"/>
      <c r="J1161" s="92"/>
    </row>
    <row r="1162" spans="1:10" x14ac:dyDescent="0.4">
      <c r="A1162" s="278"/>
      <c r="B1162" s="97" t="s">
        <v>241</v>
      </c>
      <c r="C1162" s="93"/>
      <c r="D1162" s="92"/>
      <c r="E1162" s="93"/>
      <c r="F1162" s="92"/>
      <c r="G1162" s="93"/>
      <c r="H1162" s="92"/>
      <c r="I1162" s="93"/>
      <c r="J1162" s="92"/>
    </row>
    <row r="1163" spans="1:10" x14ac:dyDescent="0.4">
      <c r="A1163" s="278"/>
      <c r="B1163" s="97" t="s">
        <v>242</v>
      </c>
      <c r="C1163" s="93"/>
      <c r="D1163" s="92"/>
      <c r="E1163" s="93"/>
      <c r="F1163" s="92"/>
      <c r="G1163" s="93"/>
      <c r="H1163" s="92"/>
      <c r="I1163" s="93"/>
      <c r="J1163" s="92"/>
    </row>
    <row r="1164" spans="1:10" x14ac:dyDescent="0.4">
      <c r="A1164" s="278"/>
      <c r="B1164" s="97" t="s">
        <v>243</v>
      </c>
      <c r="C1164" s="93"/>
      <c r="D1164" s="92"/>
      <c r="E1164" s="93"/>
      <c r="F1164" s="92"/>
      <c r="G1164" s="93"/>
      <c r="H1164" s="92"/>
      <c r="I1164" s="93"/>
      <c r="J1164" s="92"/>
    </row>
    <row r="1165" spans="1:10" x14ac:dyDescent="0.4">
      <c r="A1165" s="278"/>
      <c r="B1165" s="97" t="s">
        <v>244</v>
      </c>
      <c r="C1165" s="93"/>
      <c r="D1165" s="92"/>
      <c r="E1165" s="93"/>
      <c r="F1165" s="92"/>
      <c r="G1165" s="93"/>
      <c r="H1165" s="92"/>
      <c r="I1165" s="98"/>
      <c r="J1165" s="99"/>
    </row>
    <row r="1166" spans="1:10" x14ac:dyDescent="0.4">
      <c r="A1166" s="278"/>
      <c r="B1166" s="97" t="s">
        <v>245</v>
      </c>
      <c r="C1166" s="93"/>
      <c r="D1166" s="92"/>
      <c r="E1166" s="93"/>
      <c r="F1166" s="92"/>
      <c r="G1166" s="93"/>
      <c r="H1166" s="92"/>
      <c r="I1166" s="98"/>
      <c r="J1166" s="99"/>
    </row>
    <row r="1167" spans="1:10" x14ac:dyDescent="0.4">
      <c r="A1167" s="278"/>
      <c r="B1167" s="97" t="s">
        <v>246</v>
      </c>
      <c r="C1167" s="98"/>
      <c r="D1167" s="99"/>
      <c r="E1167" s="93"/>
      <c r="F1167" s="92"/>
      <c r="G1167" s="93"/>
      <c r="H1167" s="92"/>
      <c r="I1167" s="98"/>
      <c r="J1167" s="99"/>
    </row>
    <row r="1168" spans="1:10" x14ac:dyDescent="0.4">
      <c r="A1168" s="278"/>
      <c r="B1168" s="97" t="s">
        <v>247</v>
      </c>
      <c r="C1168" s="98"/>
      <c r="D1168" s="99"/>
      <c r="E1168" s="93"/>
      <c r="F1168" s="92"/>
      <c r="G1168" s="93"/>
      <c r="H1168" s="92"/>
      <c r="I1168" s="98"/>
      <c r="J1168" s="99"/>
    </row>
    <row r="1169" spans="1:10" x14ac:dyDescent="0.4">
      <c r="A1169" s="278"/>
      <c r="B1169" s="97" t="s">
        <v>248</v>
      </c>
      <c r="C1169" s="98"/>
      <c r="D1169" s="99"/>
      <c r="E1169" s="98"/>
      <c r="F1169" s="99"/>
      <c r="G1169" s="93"/>
      <c r="H1169" s="92"/>
      <c r="I1169" s="98"/>
      <c r="J1169" s="99"/>
    </row>
    <row r="1170" spans="1:10" x14ac:dyDescent="0.4">
      <c r="A1170" s="278"/>
      <c r="B1170" s="94" t="s">
        <v>297</v>
      </c>
      <c r="C1170" s="98"/>
      <c r="D1170" s="99"/>
      <c r="E1170" s="98"/>
      <c r="F1170" s="99"/>
      <c r="G1170" s="98"/>
      <c r="H1170" s="99"/>
      <c r="I1170" s="93"/>
      <c r="J1170" s="92"/>
    </row>
    <row r="1171" spans="1:10" x14ac:dyDescent="0.4">
      <c r="A1171" s="278"/>
      <c r="B1171" s="94" t="s">
        <v>249</v>
      </c>
      <c r="C1171" s="98"/>
      <c r="D1171" s="99"/>
      <c r="E1171" s="98"/>
      <c r="F1171" s="99"/>
      <c r="G1171" s="98"/>
      <c r="H1171" s="99"/>
      <c r="I1171" s="93"/>
      <c r="J1171" s="92"/>
    </row>
    <row r="1172" spans="1:10" x14ac:dyDescent="0.4">
      <c r="A1172" s="278"/>
      <c r="B1172" s="94" t="s">
        <v>250</v>
      </c>
      <c r="C1172" s="98"/>
      <c r="D1172" s="99"/>
      <c r="E1172" s="98"/>
      <c r="F1172" s="99"/>
      <c r="G1172" s="98"/>
      <c r="H1172" s="99"/>
      <c r="I1172" s="93"/>
      <c r="J1172" s="92"/>
    </row>
    <row r="1173" spans="1:10" x14ac:dyDescent="0.4">
      <c r="A1173" s="278"/>
      <c r="B1173" s="94" t="s">
        <v>251</v>
      </c>
      <c r="C1173" s="98"/>
      <c r="D1173" s="99"/>
      <c r="E1173" s="98"/>
      <c r="F1173" s="99"/>
      <c r="G1173" s="98"/>
      <c r="H1173" s="99"/>
      <c r="I1173" s="93"/>
      <c r="J1173" s="92"/>
    </row>
    <row r="1174" spans="1:10" x14ac:dyDescent="0.4">
      <c r="A1174" s="278"/>
      <c r="B1174" s="94" t="s">
        <v>252</v>
      </c>
      <c r="C1174" s="98"/>
      <c r="D1174" s="99"/>
      <c r="E1174" s="98"/>
      <c r="F1174" s="99"/>
      <c r="G1174" s="98"/>
      <c r="H1174" s="99"/>
      <c r="I1174" s="93"/>
      <c r="J1174" s="92"/>
    </row>
    <row r="1175" spans="1:10" x14ac:dyDescent="0.4">
      <c r="A1175" s="278"/>
      <c r="B1175" s="94" t="s">
        <v>253</v>
      </c>
      <c r="C1175" s="98"/>
      <c r="D1175" s="99"/>
      <c r="E1175" s="98"/>
      <c r="F1175" s="99"/>
      <c r="G1175" s="98"/>
      <c r="H1175" s="99"/>
      <c r="I1175" s="93"/>
      <c r="J1175" s="92"/>
    </row>
    <row r="1176" spans="1:10" x14ac:dyDescent="0.4">
      <c r="A1176" s="278"/>
      <c r="B1176" s="94" t="s">
        <v>254</v>
      </c>
      <c r="C1176" s="98"/>
      <c r="D1176" s="99"/>
      <c r="E1176" s="98"/>
      <c r="F1176" s="99"/>
      <c r="G1176" s="98"/>
      <c r="H1176" s="99"/>
      <c r="I1176" s="93"/>
      <c r="J1176" s="92"/>
    </row>
    <row r="1177" spans="1:10" x14ac:dyDescent="0.4">
      <c r="A1177" s="278"/>
      <c r="B1177" s="94" t="s">
        <v>255</v>
      </c>
      <c r="C1177" s="98"/>
      <c r="D1177" s="99"/>
      <c r="E1177" s="98"/>
      <c r="F1177" s="99"/>
      <c r="G1177" s="98"/>
      <c r="H1177" s="99"/>
      <c r="I1177" s="93"/>
      <c r="J1177" s="92"/>
    </row>
    <row r="1178" spans="1:10" x14ac:dyDescent="0.4">
      <c r="A1178" s="278"/>
      <c r="B1178" s="94" t="s">
        <v>256</v>
      </c>
      <c r="C1178" s="98"/>
      <c r="D1178" s="99"/>
      <c r="E1178" s="98"/>
      <c r="F1178" s="99"/>
      <c r="G1178" s="98"/>
      <c r="H1178" s="99"/>
      <c r="I1178" s="93"/>
      <c r="J1178" s="92"/>
    </row>
    <row r="1179" spans="1:10" x14ac:dyDescent="0.4">
      <c r="A1179" s="278"/>
      <c r="B1179" s="94" t="s">
        <v>257</v>
      </c>
      <c r="C1179" s="98"/>
      <c r="D1179" s="99"/>
      <c r="E1179" s="98"/>
      <c r="F1179" s="99"/>
      <c r="G1179" s="98"/>
      <c r="H1179" s="99"/>
      <c r="I1179" s="93"/>
      <c r="J1179" s="92"/>
    </row>
    <row r="1180" spans="1:10" x14ac:dyDescent="0.4">
      <c r="A1180" s="278"/>
      <c r="B1180" s="94" t="s">
        <v>258</v>
      </c>
      <c r="C1180" s="98"/>
      <c r="D1180" s="99"/>
      <c r="E1180" s="98"/>
      <c r="F1180" s="99"/>
      <c r="G1180" s="98"/>
      <c r="H1180" s="99"/>
      <c r="I1180" s="93"/>
      <c r="J1180" s="92"/>
    </row>
    <row r="1181" spans="1:10" x14ac:dyDescent="0.4">
      <c r="A1181" s="279"/>
      <c r="B1181" s="94" t="s">
        <v>259</v>
      </c>
      <c r="C1181" s="98"/>
      <c r="D1181" s="99"/>
      <c r="E1181" s="98"/>
      <c r="F1181" s="99"/>
      <c r="G1181" s="98"/>
      <c r="H1181" s="99"/>
      <c r="I1181" s="93"/>
      <c r="J1181" s="92"/>
    </row>
    <row r="1182" spans="1:10" x14ac:dyDescent="0.4">
      <c r="A1182" s="115" t="s">
        <v>263</v>
      </c>
      <c r="B1182" s="116" t="e">
        <f>SUM(C1182,E1182,G1182,I1182)</f>
        <v>#DIV/0!</v>
      </c>
      <c r="C1182" s="103" t="e">
        <f>AVERAGE(C1109:C1121,C1125:C1166)</f>
        <v>#DIV/0!</v>
      </c>
      <c r="D1182" s="103" t="e">
        <f>AVERAGE(D1109:D1121,D1125:D1166)</f>
        <v>#DIV/0!</v>
      </c>
      <c r="E1182" s="103" t="e">
        <f>AVERAGE(E1109:E1117,E1125:E1138,E1141:E1154,E1157:E1168)</f>
        <v>#DIV/0!</v>
      </c>
      <c r="F1182" s="103" t="e">
        <f>AVERAGE(F1109:F1117,F1125:F1138,F1141:F1154,F1157:F1168)</f>
        <v>#DIV/0!</v>
      </c>
      <c r="G1182" s="103" t="e">
        <f>AVERAGE(G1109:G1137,G1141:G1148,G1157:G1169)</f>
        <v>#DIV/0!</v>
      </c>
      <c r="H1182" s="103" t="e">
        <f>AVERAGE(H1109:H1137,H1141:H1148,H1157:H1169)</f>
        <v>#DIV/0!</v>
      </c>
      <c r="I1182" s="103" t="e">
        <f>AVERAGE(I1109:I1116,I1125:I1134,I1141:I1149,I1157:I1164,I1170:I1181)</f>
        <v>#DIV/0!</v>
      </c>
      <c r="J1182" s="103" t="e">
        <f>AVERAGE(J1109:J1116,J1125:J1134,J1141:J1149,J1157:J1164,J1170:J1181)</f>
        <v>#DIV/0!</v>
      </c>
    </row>
    <row r="1183" spans="1:10" x14ac:dyDescent="0.4">
      <c r="A1183" s="115" t="s">
        <v>264</v>
      </c>
      <c r="B1183" s="116" t="e">
        <f>SUM(D1182,F1182,H1182,J1182)</f>
        <v>#DIV/0!</v>
      </c>
      <c r="C1183" s="63" t="s">
        <v>265</v>
      </c>
      <c r="D1183" s="117" t="s">
        <v>266</v>
      </c>
      <c r="E1183" s="63" t="s">
        <v>265</v>
      </c>
      <c r="F1183" s="117" t="s">
        <v>266</v>
      </c>
      <c r="G1183" s="63" t="s">
        <v>265</v>
      </c>
      <c r="H1183" s="117" t="s">
        <v>266</v>
      </c>
      <c r="I1183" s="63" t="s">
        <v>265</v>
      </c>
      <c r="J1183" s="117" t="s">
        <v>266</v>
      </c>
    </row>
    <row r="1186" spans="1:11" x14ac:dyDescent="0.4">
      <c r="A1186" s="280" t="s">
        <v>107</v>
      </c>
      <c r="B1186" s="280"/>
      <c r="C1186" s="280"/>
      <c r="D1186" s="280"/>
      <c r="E1186" s="280"/>
      <c r="F1186" s="280"/>
      <c r="G1186" s="280"/>
      <c r="H1186" s="280"/>
      <c r="I1186" s="280"/>
      <c r="J1186" s="281"/>
      <c r="K1186" s="108">
        <v>8</v>
      </c>
    </row>
    <row r="1187" spans="1:11" ht="34.799999999999997" x14ac:dyDescent="0.4">
      <c r="A1187" s="73" t="s">
        <v>267</v>
      </c>
      <c r="B1187" s="73" t="s">
        <v>268</v>
      </c>
      <c r="C1187" s="73" t="s">
        <v>269</v>
      </c>
      <c r="D1187" s="73" t="s">
        <v>108</v>
      </c>
      <c r="E1187" s="73" t="s">
        <v>109</v>
      </c>
      <c r="F1187" s="74" t="s">
        <v>270</v>
      </c>
      <c r="G1187" s="73" t="s">
        <v>110</v>
      </c>
      <c r="H1187" s="73" t="s">
        <v>111</v>
      </c>
      <c r="I1187" s="73" t="s">
        <v>112</v>
      </c>
      <c r="J1187" s="73" t="s">
        <v>113</v>
      </c>
    </row>
    <row r="1188" spans="1:11" x14ac:dyDescent="0.4">
      <c r="A1188" s="282" t="s">
        <v>271</v>
      </c>
      <c r="B1188" s="86" t="s">
        <v>114</v>
      </c>
      <c r="C1188" s="75" t="s">
        <v>272</v>
      </c>
      <c r="D1188" s="76">
        <v>1</v>
      </c>
      <c r="E1188" s="77">
        <v>1</v>
      </c>
      <c r="F1188" s="274" t="s">
        <v>273</v>
      </c>
      <c r="G1188" s="75">
        <v>105.48</v>
      </c>
      <c r="H1188" s="51">
        <v>25.5</v>
      </c>
      <c r="I1188" s="52">
        <v>26.6</v>
      </c>
      <c r="J1188" s="52">
        <v>25.947168858331978</v>
      </c>
    </row>
    <row r="1189" spans="1:11" x14ac:dyDescent="0.4">
      <c r="A1189" s="283"/>
      <c r="B1189" s="86" t="s">
        <v>115</v>
      </c>
      <c r="C1189" s="75" t="s">
        <v>274</v>
      </c>
      <c r="D1189" s="76">
        <v>1</v>
      </c>
      <c r="E1189" s="77">
        <v>1</v>
      </c>
      <c r="F1189" s="275"/>
      <c r="G1189" s="75">
        <v>105.48</v>
      </c>
      <c r="H1189" s="51">
        <v>26</v>
      </c>
      <c r="I1189" s="52">
        <v>27.1</v>
      </c>
      <c r="J1189" s="52">
        <v>26.534160006693167</v>
      </c>
    </row>
    <row r="1190" spans="1:11" x14ac:dyDescent="0.4">
      <c r="A1190" s="283"/>
      <c r="B1190" s="86" t="s">
        <v>116</v>
      </c>
      <c r="C1190" s="75" t="s">
        <v>117</v>
      </c>
      <c r="D1190" s="76">
        <v>1</v>
      </c>
      <c r="E1190" s="77">
        <v>1</v>
      </c>
      <c r="F1190" s="78"/>
      <c r="G1190" s="75">
        <v>105.48</v>
      </c>
      <c r="H1190" s="51">
        <v>26</v>
      </c>
      <c r="I1190" s="52">
        <v>27.1</v>
      </c>
      <c r="J1190" s="52">
        <v>26.612712003992765</v>
      </c>
    </row>
    <row r="1191" spans="1:11" x14ac:dyDescent="0.4">
      <c r="A1191" s="284"/>
      <c r="B1191" s="86" t="s">
        <v>118</v>
      </c>
      <c r="C1191" s="75" t="s">
        <v>119</v>
      </c>
      <c r="D1191" s="76">
        <v>1</v>
      </c>
      <c r="E1191" s="77">
        <v>1</v>
      </c>
      <c r="F1191" s="78"/>
      <c r="G1191" s="75">
        <v>105.48</v>
      </c>
      <c r="H1191" s="51">
        <v>25.9</v>
      </c>
      <c r="I1191" s="52">
        <v>27</v>
      </c>
      <c r="J1191" s="52">
        <v>26.551582992080178</v>
      </c>
    </row>
    <row r="1192" spans="1:11" x14ac:dyDescent="0.4">
      <c r="A1192" s="282" t="s">
        <v>275</v>
      </c>
      <c r="B1192" s="86" t="s">
        <v>120</v>
      </c>
      <c r="C1192" s="75" t="s">
        <v>276</v>
      </c>
      <c r="D1192" s="76">
        <v>1</v>
      </c>
      <c r="E1192" s="77">
        <v>1</v>
      </c>
      <c r="F1192" s="274" t="s">
        <v>273</v>
      </c>
      <c r="G1192" s="75">
        <v>105.48</v>
      </c>
      <c r="H1192" s="51">
        <v>19.5</v>
      </c>
      <c r="I1192" s="52">
        <v>28</v>
      </c>
      <c r="J1192" s="52">
        <v>26.562861558467784</v>
      </c>
    </row>
    <row r="1193" spans="1:11" x14ac:dyDescent="0.4">
      <c r="A1193" s="283"/>
      <c r="B1193" s="86" t="s">
        <v>121</v>
      </c>
      <c r="C1193" s="75" t="s">
        <v>277</v>
      </c>
      <c r="D1193" s="76">
        <v>1</v>
      </c>
      <c r="E1193" s="77">
        <v>1</v>
      </c>
      <c r="F1193" s="275"/>
      <c r="G1193" s="75">
        <v>105.48</v>
      </c>
      <c r="H1193" s="51">
        <v>24.3</v>
      </c>
      <c r="I1193" s="52">
        <v>27.7</v>
      </c>
      <c r="J1193" s="52">
        <v>26.468817329979629</v>
      </c>
    </row>
    <row r="1194" spans="1:11" x14ac:dyDescent="0.4">
      <c r="A1194" s="283"/>
      <c r="B1194" s="86" t="s">
        <v>122</v>
      </c>
      <c r="C1194" s="75" t="s">
        <v>123</v>
      </c>
      <c r="D1194" s="76">
        <v>1</v>
      </c>
      <c r="E1194" s="77">
        <v>1</v>
      </c>
      <c r="F1194" s="275"/>
      <c r="G1194" s="75">
        <v>105.48</v>
      </c>
      <c r="H1194" s="51">
        <v>17</v>
      </c>
      <c r="I1194" s="52">
        <v>27</v>
      </c>
      <c r="J1194" s="52">
        <v>21.191033060811872</v>
      </c>
    </row>
    <row r="1195" spans="1:11" x14ac:dyDescent="0.4">
      <c r="A1195" s="283"/>
      <c r="B1195" s="86" t="s">
        <v>124</v>
      </c>
      <c r="C1195" s="75" t="s">
        <v>125</v>
      </c>
      <c r="D1195" s="76">
        <v>1</v>
      </c>
      <c r="E1195" s="77">
        <v>1</v>
      </c>
      <c r="F1195" s="275"/>
      <c r="G1195" s="75">
        <v>105.48</v>
      </c>
      <c r="H1195" s="51">
        <v>24.9</v>
      </c>
      <c r="I1195" s="52">
        <v>27.5</v>
      </c>
      <c r="J1195" s="52">
        <v>26.191250294344051</v>
      </c>
    </row>
    <row r="1196" spans="1:11" x14ac:dyDescent="0.4">
      <c r="A1196" s="283"/>
      <c r="B1196" s="86" t="s">
        <v>126</v>
      </c>
      <c r="C1196" s="75" t="s">
        <v>278</v>
      </c>
      <c r="D1196" s="76">
        <v>1</v>
      </c>
      <c r="E1196" s="77">
        <v>1</v>
      </c>
      <c r="F1196" s="78"/>
      <c r="G1196" s="75">
        <v>70.319999999999993</v>
      </c>
      <c r="H1196" s="51">
        <v>13.9</v>
      </c>
      <c r="I1196" s="52">
        <v>26.3</v>
      </c>
      <c r="J1196" s="52">
        <v>24.473978140810075</v>
      </c>
    </row>
    <row r="1197" spans="1:11" x14ac:dyDescent="0.4">
      <c r="A1197" s="283"/>
      <c r="B1197" s="86" t="s">
        <v>127</v>
      </c>
      <c r="C1197" s="75" t="s">
        <v>128</v>
      </c>
      <c r="D1197" s="76">
        <v>1</v>
      </c>
      <c r="E1197" s="77">
        <v>1</v>
      </c>
      <c r="F1197" s="78"/>
      <c r="G1197" s="75">
        <v>70.319999999999993</v>
      </c>
      <c r="H1197" s="51">
        <v>14.1</v>
      </c>
      <c r="I1197" s="52">
        <v>26.1</v>
      </c>
      <c r="J1197" s="52">
        <v>24.513090894548593</v>
      </c>
    </row>
    <row r="1198" spans="1:11" x14ac:dyDescent="0.4">
      <c r="A1198" s="284"/>
      <c r="B1198" s="86" t="s">
        <v>129</v>
      </c>
      <c r="C1198" s="75" t="s">
        <v>130</v>
      </c>
      <c r="D1198" s="76">
        <v>1</v>
      </c>
      <c r="E1198" s="77">
        <v>1</v>
      </c>
      <c r="F1198" s="78"/>
      <c r="G1198" s="75">
        <v>70.319999999999993</v>
      </c>
      <c r="H1198" s="51">
        <v>14.8</v>
      </c>
      <c r="I1198" s="52">
        <v>26</v>
      </c>
      <c r="J1198" s="52">
        <v>24.625210701474238</v>
      </c>
    </row>
    <row r="1199" spans="1:11" x14ac:dyDescent="0.4">
      <c r="A1199" s="273" t="s">
        <v>279</v>
      </c>
      <c r="B1199" s="86" t="s">
        <v>131</v>
      </c>
      <c r="C1199" s="75" t="s">
        <v>280</v>
      </c>
      <c r="D1199" s="76">
        <v>1</v>
      </c>
      <c r="E1199" s="77">
        <v>1</v>
      </c>
      <c r="F1199" s="274" t="s">
        <v>273</v>
      </c>
      <c r="G1199" s="75">
        <v>105.48</v>
      </c>
      <c r="H1199" s="51">
        <v>24</v>
      </c>
      <c r="I1199" s="52">
        <v>25.5</v>
      </c>
      <c r="J1199" s="52">
        <v>24.86613436981952</v>
      </c>
    </row>
    <row r="1200" spans="1:11" x14ac:dyDescent="0.4">
      <c r="A1200" s="273"/>
      <c r="B1200" s="86" t="s">
        <v>132</v>
      </c>
      <c r="C1200" s="75" t="s">
        <v>133</v>
      </c>
      <c r="D1200" s="76">
        <v>1</v>
      </c>
      <c r="E1200" s="77">
        <v>1</v>
      </c>
      <c r="F1200" s="275"/>
      <c r="G1200" s="75">
        <v>105.48</v>
      </c>
      <c r="H1200" s="51">
        <v>24.4</v>
      </c>
      <c r="I1200" s="52">
        <v>25.9</v>
      </c>
      <c r="J1200" s="52">
        <v>25.221151651472233</v>
      </c>
    </row>
    <row r="1201" spans="1:10" x14ac:dyDescent="0.4">
      <c r="A1201" s="273"/>
      <c r="B1201" s="86" t="s">
        <v>134</v>
      </c>
      <c r="C1201" s="75" t="s">
        <v>135</v>
      </c>
      <c r="D1201" s="76">
        <v>1</v>
      </c>
      <c r="E1201" s="77">
        <v>1</v>
      </c>
      <c r="F1201" s="275"/>
      <c r="G1201" s="79">
        <v>105.48</v>
      </c>
      <c r="H1201" s="51">
        <v>24.5</v>
      </c>
      <c r="I1201" s="52">
        <v>26.4</v>
      </c>
      <c r="J1201" s="52">
        <v>25.252246982879878</v>
      </c>
    </row>
    <row r="1202" spans="1:10" x14ac:dyDescent="0.4">
      <c r="A1202" s="273"/>
      <c r="B1202" s="86" t="s">
        <v>136</v>
      </c>
      <c r="C1202" s="75" t="s">
        <v>137</v>
      </c>
      <c r="D1202" s="76">
        <v>1</v>
      </c>
      <c r="E1202" s="77">
        <v>1</v>
      </c>
      <c r="F1202" s="275"/>
      <c r="G1202" s="79">
        <v>105.48</v>
      </c>
      <c r="H1202" s="51">
        <v>24.1</v>
      </c>
      <c r="I1202" s="52">
        <v>26</v>
      </c>
      <c r="J1202" s="52">
        <v>24.844128275320063</v>
      </c>
    </row>
    <row r="1203" spans="1:10" x14ac:dyDescent="0.4">
      <c r="A1203" s="273"/>
      <c r="B1203" s="86" t="s">
        <v>138</v>
      </c>
      <c r="C1203" s="75" t="s">
        <v>281</v>
      </c>
      <c r="D1203" s="76">
        <v>0</v>
      </c>
      <c r="E1203" s="77">
        <v>1</v>
      </c>
      <c r="F1203" s="274" t="s">
        <v>282</v>
      </c>
      <c r="G1203" s="75">
        <v>32.549999999999997</v>
      </c>
      <c r="H1203" s="111">
        <v>25.3</v>
      </c>
      <c r="I1203" s="111">
        <v>33.5</v>
      </c>
      <c r="J1203" s="111">
        <v>32.598777177207168</v>
      </c>
    </row>
    <row r="1204" spans="1:10" x14ac:dyDescent="0.4">
      <c r="A1204" s="273"/>
      <c r="B1204" s="86" t="s">
        <v>139</v>
      </c>
      <c r="C1204" s="75" t="s">
        <v>140</v>
      </c>
      <c r="D1204" s="76">
        <v>0</v>
      </c>
      <c r="E1204" s="77">
        <v>1</v>
      </c>
      <c r="F1204" s="276"/>
      <c r="G1204" s="75">
        <v>32.549999999999997</v>
      </c>
      <c r="H1204" s="112">
        <v>23.4</v>
      </c>
      <c r="I1204" s="112">
        <v>27.2</v>
      </c>
      <c r="J1204" s="112">
        <v>26.023714421315294</v>
      </c>
    </row>
    <row r="1205" spans="1:10" x14ac:dyDescent="0.4">
      <c r="A1205" s="273"/>
      <c r="B1205" s="86" t="s">
        <v>141</v>
      </c>
      <c r="C1205" s="75" t="s">
        <v>283</v>
      </c>
      <c r="D1205" s="76">
        <v>0</v>
      </c>
      <c r="E1205" s="77">
        <v>1</v>
      </c>
      <c r="F1205" s="274" t="s">
        <v>282</v>
      </c>
      <c r="G1205" s="75">
        <v>32.549999999999997</v>
      </c>
      <c r="H1205" s="112">
        <v>21.8</v>
      </c>
      <c r="I1205" s="112">
        <v>32.700000000000003</v>
      </c>
      <c r="J1205" s="112">
        <v>31.101890811719603</v>
      </c>
    </row>
    <row r="1206" spans="1:10" x14ac:dyDescent="0.4">
      <c r="A1206" s="273"/>
      <c r="B1206" s="86" t="s">
        <v>142</v>
      </c>
      <c r="C1206" s="75" t="s">
        <v>143</v>
      </c>
      <c r="D1206" s="76">
        <v>1</v>
      </c>
      <c r="E1206" s="77">
        <v>1</v>
      </c>
      <c r="F1206" s="275"/>
      <c r="G1206" s="75">
        <v>32.549999999999997</v>
      </c>
      <c r="H1206" s="53">
        <v>22.5</v>
      </c>
      <c r="I1206" s="53">
        <v>27.8</v>
      </c>
      <c r="J1206" s="53">
        <v>26.137480201432698</v>
      </c>
    </row>
    <row r="1207" spans="1:10" x14ac:dyDescent="0.4">
      <c r="A1207" s="273"/>
      <c r="B1207" s="86" t="s">
        <v>144</v>
      </c>
      <c r="C1207" s="75" t="s">
        <v>145</v>
      </c>
      <c r="D1207" s="76">
        <v>0</v>
      </c>
      <c r="E1207" s="77">
        <v>1</v>
      </c>
      <c r="F1207" s="275"/>
      <c r="G1207" s="75">
        <v>32.549999999999997</v>
      </c>
      <c r="H1207" s="112">
        <v>17.8</v>
      </c>
      <c r="I1207" s="112">
        <v>29.5</v>
      </c>
      <c r="J1207" s="112">
        <v>27.936542597126117</v>
      </c>
    </row>
    <row r="1208" spans="1:10" x14ac:dyDescent="0.4">
      <c r="A1208" s="273"/>
      <c r="B1208" s="86" t="s">
        <v>146</v>
      </c>
      <c r="C1208" s="75" t="s">
        <v>147</v>
      </c>
      <c r="D1208" s="76">
        <v>1</v>
      </c>
      <c r="E1208" s="77">
        <v>1</v>
      </c>
      <c r="F1208" s="275"/>
      <c r="G1208" s="75">
        <v>32.549999999999997</v>
      </c>
      <c r="H1208" s="53">
        <v>21.4</v>
      </c>
      <c r="I1208" s="53">
        <v>26.9</v>
      </c>
      <c r="J1208" s="53">
        <v>24.703474713280034</v>
      </c>
    </row>
    <row r="1209" spans="1:10" x14ac:dyDescent="0.4">
      <c r="A1209" s="273"/>
      <c r="B1209" s="86" t="s">
        <v>148</v>
      </c>
      <c r="C1209" s="75" t="s">
        <v>149</v>
      </c>
      <c r="D1209" s="76">
        <v>0</v>
      </c>
      <c r="E1209" s="77">
        <v>1</v>
      </c>
      <c r="F1209" s="275"/>
      <c r="G1209" s="75">
        <v>32.549999999999997</v>
      </c>
      <c r="H1209" s="53">
        <v>20.3</v>
      </c>
      <c r="I1209" s="53">
        <v>24.4</v>
      </c>
      <c r="J1209" s="53">
        <v>21.562160054259266</v>
      </c>
    </row>
    <row r="1210" spans="1:10" x14ac:dyDescent="0.4">
      <c r="A1210" s="273"/>
      <c r="B1210" s="86" t="s">
        <v>150</v>
      </c>
      <c r="C1210" s="75" t="s">
        <v>151</v>
      </c>
      <c r="D1210" s="76">
        <v>1</v>
      </c>
      <c r="E1210" s="77">
        <v>1</v>
      </c>
      <c r="F1210" s="275"/>
      <c r="G1210" s="75">
        <v>32.549999999999997</v>
      </c>
      <c r="H1210" s="53">
        <v>21.2</v>
      </c>
      <c r="I1210" s="53">
        <v>24.2</v>
      </c>
      <c r="J1210" s="53">
        <v>23.427404201133758</v>
      </c>
    </row>
    <row r="1211" spans="1:10" x14ac:dyDescent="0.4">
      <c r="A1211" s="273"/>
      <c r="B1211" s="86" t="s">
        <v>152</v>
      </c>
      <c r="C1211" s="75" t="s">
        <v>153</v>
      </c>
      <c r="D1211" s="76">
        <v>0</v>
      </c>
      <c r="E1211" s="77">
        <v>1</v>
      </c>
      <c r="F1211" s="275"/>
      <c r="G1211" s="75">
        <v>32.549999999999997</v>
      </c>
      <c r="H1211" s="112"/>
      <c r="I1211" s="112"/>
      <c r="J1211" s="112"/>
    </row>
    <row r="1212" spans="1:10" x14ac:dyDescent="0.4">
      <c r="A1212" s="273"/>
      <c r="B1212" s="86" t="s">
        <v>154</v>
      </c>
      <c r="C1212" s="75" t="s">
        <v>155</v>
      </c>
      <c r="D1212" s="76">
        <v>0</v>
      </c>
      <c r="E1212" s="77">
        <v>1</v>
      </c>
      <c r="F1212" s="275"/>
      <c r="G1212" s="75">
        <v>32.549999999999997</v>
      </c>
      <c r="H1212" s="112">
        <v>18.399999999999999</v>
      </c>
      <c r="I1212" s="112">
        <v>99.5</v>
      </c>
      <c r="J1212" s="112">
        <v>22.382754481136075</v>
      </c>
    </row>
    <row r="1213" spans="1:10" x14ac:dyDescent="0.4">
      <c r="A1213" s="273"/>
      <c r="B1213" s="86" t="s">
        <v>156</v>
      </c>
      <c r="C1213" s="75" t="s">
        <v>157</v>
      </c>
      <c r="D1213" s="76">
        <v>0</v>
      </c>
      <c r="E1213" s="77">
        <v>1</v>
      </c>
      <c r="F1213" s="275"/>
      <c r="G1213" s="75">
        <v>32.549999999999997</v>
      </c>
      <c r="H1213" s="112">
        <v>18.399999999999999</v>
      </c>
      <c r="I1213" s="112">
        <v>25.1</v>
      </c>
      <c r="J1213" s="112">
        <v>23.977183057851555</v>
      </c>
    </row>
    <row r="1214" spans="1:10" x14ac:dyDescent="0.4">
      <c r="A1214" s="273"/>
      <c r="B1214" s="86" t="s">
        <v>158</v>
      </c>
      <c r="C1214" s="75" t="s">
        <v>159</v>
      </c>
      <c r="D1214" s="76">
        <v>0</v>
      </c>
      <c r="E1214" s="77">
        <v>1</v>
      </c>
      <c r="F1214" s="275"/>
      <c r="G1214" s="75">
        <v>32.549999999999997</v>
      </c>
      <c r="H1214" s="112">
        <v>17.7</v>
      </c>
      <c r="I1214" s="112">
        <v>29.2</v>
      </c>
      <c r="J1214" s="112">
        <v>21.609415322508042</v>
      </c>
    </row>
    <row r="1215" spans="1:10" x14ac:dyDescent="0.4">
      <c r="A1215" s="273"/>
      <c r="B1215" s="86" t="s">
        <v>160</v>
      </c>
      <c r="C1215" s="75" t="s">
        <v>161</v>
      </c>
      <c r="D1215" s="76">
        <v>0</v>
      </c>
      <c r="E1215" s="77">
        <v>1</v>
      </c>
      <c r="F1215" s="275"/>
      <c r="G1215" s="75">
        <v>32.549999999999997</v>
      </c>
      <c r="H1215" s="112">
        <v>21.2</v>
      </c>
      <c r="I1215" s="112">
        <v>25.6</v>
      </c>
      <c r="J1215" s="112">
        <v>22.483006882817978</v>
      </c>
    </row>
    <row r="1216" spans="1:10" x14ac:dyDescent="0.4">
      <c r="A1216" s="273"/>
      <c r="B1216" s="86" t="s">
        <v>162</v>
      </c>
      <c r="C1216" s="75" t="s">
        <v>163</v>
      </c>
      <c r="D1216" s="76">
        <v>0</v>
      </c>
      <c r="E1216" s="77">
        <v>1</v>
      </c>
      <c r="F1216" s="276"/>
      <c r="G1216" s="75">
        <v>32.549999999999997</v>
      </c>
      <c r="H1216" s="112">
        <v>19</v>
      </c>
      <c r="I1216" s="112">
        <v>23.8</v>
      </c>
      <c r="J1216" s="112">
        <v>21.875528539539498</v>
      </c>
    </row>
    <row r="1217" spans="1:10" x14ac:dyDescent="0.4">
      <c r="A1217" s="273"/>
      <c r="B1217" s="86" t="s">
        <v>164</v>
      </c>
      <c r="C1217" s="75" t="s">
        <v>284</v>
      </c>
      <c r="D1217" s="76">
        <v>0</v>
      </c>
      <c r="E1217" s="77">
        <v>1</v>
      </c>
      <c r="F1217" s="274" t="s">
        <v>282</v>
      </c>
      <c r="G1217" s="75">
        <v>24.4</v>
      </c>
      <c r="H1217" s="112">
        <v>27.5</v>
      </c>
      <c r="I1217" s="112">
        <v>30</v>
      </c>
      <c r="J1217" s="112">
        <v>28.669886471256667</v>
      </c>
    </row>
    <row r="1218" spans="1:10" x14ac:dyDescent="0.4">
      <c r="A1218" s="273"/>
      <c r="B1218" s="86" t="s">
        <v>165</v>
      </c>
      <c r="C1218" s="75" t="s">
        <v>166</v>
      </c>
      <c r="D1218" s="76">
        <v>0</v>
      </c>
      <c r="E1218" s="77">
        <v>1</v>
      </c>
      <c r="F1218" s="276"/>
      <c r="G1218" s="75">
        <v>24.4</v>
      </c>
      <c r="H1218" s="112">
        <v>26</v>
      </c>
      <c r="I1218" s="112">
        <v>28.5</v>
      </c>
      <c r="J1218" s="112">
        <v>27.101774468195114</v>
      </c>
    </row>
    <row r="1219" spans="1:10" x14ac:dyDescent="0.4">
      <c r="A1219" s="273" t="s">
        <v>285</v>
      </c>
      <c r="B1219" s="86" t="s">
        <v>167</v>
      </c>
      <c r="C1219" s="75" t="s">
        <v>286</v>
      </c>
      <c r="D1219" s="76">
        <v>1</v>
      </c>
      <c r="E1219" s="77">
        <v>1</v>
      </c>
      <c r="F1219" s="274" t="s">
        <v>273</v>
      </c>
      <c r="G1219" s="75">
        <v>105.48</v>
      </c>
      <c r="H1219" s="51">
        <v>24.8</v>
      </c>
      <c r="I1219" s="53">
        <v>26</v>
      </c>
      <c r="J1219" s="53">
        <v>25.5657765485998</v>
      </c>
    </row>
    <row r="1220" spans="1:10" x14ac:dyDescent="0.4">
      <c r="A1220" s="273"/>
      <c r="B1220" s="86" t="s">
        <v>168</v>
      </c>
      <c r="C1220" s="75" t="s">
        <v>169</v>
      </c>
      <c r="D1220" s="76">
        <v>1</v>
      </c>
      <c r="E1220" s="77">
        <v>1</v>
      </c>
      <c r="F1220" s="275"/>
      <c r="G1220" s="75">
        <v>105.48</v>
      </c>
      <c r="H1220" s="51">
        <v>24.6</v>
      </c>
      <c r="I1220" s="54">
        <v>25.8</v>
      </c>
      <c r="J1220" s="54">
        <v>25.342871866513704</v>
      </c>
    </row>
    <row r="1221" spans="1:10" x14ac:dyDescent="0.4">
      <c r="A1221" s="273"/>
      <c r="B1221" s="86" t="s">
        <v>170</v>
      </c>
      <c r="C1221" s="75" t="s">
        <v>171</v>
      </c>
      <c r="D1221" s="76">
        <v>1</v>
      </c>
      <c r="E1221" s="77">
        <v>1</v>
      </c>
      <c r="F1221" s="275"/>
      <c r="G1221" s="75">
        <v>105.48</v>
      </c>
      <c r="H1221" s="51">
        <v>23.9</v>
      </c>
      <c r="I1221" s="52">
        <v>25.8</v>
      </c>
      <c r="J1221" s="52">
        <v>24.947314233142599</v>
      </c>
    </row>
    <row r="1222" spans="1:10" x14ac:dyDescent="0.4">
      <c r="A1222" s="273"/>
      <c r="B1222" s="86" t="s">
        <v>172</v>
      </c>
      <c r="C1222" s="75" t="s">
        <v>173</v>
      </c>
      <c r="D1222" s="76">
        <v>1</v>
      </c>
      <c r="E1222" s="77">
        <v>1</v>
      </c>
      <c r="F1222" s="275"/>
      <c r="G1222" s="75">
        <v>105.48</v>
      </c>
      <c r="H1222" s="51">
        <v>24</v>
      </c>
      <c r="I1222" s="52">
        <v>25.7</v>
      </c>
      <c r="J1222" s="52">
        <v>24.962164505328346</v>
      </c>
    </row>
    <row r="1223" spans="1:10" x14ac:dyDescent="0.4">
      <c r="A1223" s="273"/>
      <c r="B1223" s="86" t="s">
        <v>174</v>
      </c>
      <c r="C1223" s="75" t="s">
        <v>287</v>
      </c>
      <c r="D1223" s="76">
        <v>1</v>
      </c>
      <c r="E1223" s="77">
        <v>1</v>
      </c>
      <c r="F1223" s="275"/>
      <c r="G1223" s="75">
        <v>65</v>
      </c>
      <c r="H1223" s="55">
        <v>26.1</v>
      </c>
      <c r="I1223" s="55">
        <v>28.3</v>
      </c>
      <c r="J1223" s="55">
        <v>27.236223419018422</v>
      </c>
    </row>
    <row r="1224" spans="1:10" x14ac:dyDescent="0.4">
      <c r="A1224" s="273"/>
      <c r="B1224" s="86" t="s">
        <v>175</v>
      </c>
      <c r="C1224" s="75" t="s">
        <v>176</v>
      </c>
      <c r="D1224" s="76">
        <v>1</v>
      </c>
      <c r="E1224" s="77">
        <v>1</v>
      </c>
      <c r="F1224" s="276"/>
      <c r="G1224" s="75">
        <v>65</v>
      </c>
      <c r="H1224" s="55">
        <v>24</v>
      </c>
      <c r="I1224" s="55">
        <v>26</v>
      </c>
      <c r="J1224" s="55">
        <v>24.516666666666666</v>
      </c>
    </row>
    <row r="1225" spans="1:10" x14ac:dyDescent="0.4">
      <c r="A1225" s="273"/>
      <c r="B1225" s="86" t="s">
        <v>177</v>
      </c>
      <c r="C1225" s="75" t="s">
        <v>288</v>
      </c>
      <c r="D1225" s="76">
        <v>1</v>
      </c>
      <c r="E1225" s="77">
        <v>1</v>
      </c>
      <c r="F1225" s="274" t="s">
        <v>282</v>
      </c>
      <c r="G1225" s="75">
        <v>16.3</v>
      </c>
      <c r="H1225" s="55">
        <v>23.5</v>
      </c>
      <c r="I1225" s="55">
        <v>26</v>
      </c>
      <c r="J1225" s="55">
        <v>24.533991418670009</v>
      </c>
    </row>
    <row r="1226" spans="1:10" x14ac:dyDescent="0.4">
      <c r="A1226" s="273"/>
      <c r="B1226" s="86" t="s">
        <v>178</v>
      </c>
      <c r="C1226" s="75" t="s">
        <v>179</v>
      </c>
      <c r="D1226" s="76">
        <v>1</v>
      </c>
      <c r="E1226" s="77">
        <v>1</v>
      </c>
      <c r="F1226" s="275"/>
      <c r="G1226" s="75">
        <v>16.3</v>
      </c>
      <c r="H1226" s="55">
        <v>21</v>
      </c>
      <c r="I1226" s="55">
        <v>24.5</v>
      </c>
      <c r="J1226" s="55">
        <v>22.917691723309261</v>
      </c>
    </row>
    <row r="1227" spans="1:10" x14ac:dyDescent="0.4">
      <c r="A1227" s="273"/>
      <c r="B1227" s="86" t="s">
        <v>180</v>
      </c>
      <c r="C1227" s="75" t="s">
        <v>181</v>
      </c>
      <c r="D1227" s="76">
        <v>1</v>
      </c>
      <c r="E1227" s="77">
        <v>1</v>
      </c>
      <c r="F1227" s="275"/>
      <c r="G1227" s="75">
        <v>16.3</v>
      </c>
      <c r="H1227" s="55">
        <v>18</v>
      </c>
      <c r="I1227" s="55">
        <v>29.5</v>
      </c>
      <c r="J1227" s="55">
        <v>26.953550372958549</v>
      </c>
    </row>
    <row r="1228" spans="1:10" x14ac:dyDescent="0.4">
      <c r="A1228" s="273"/>
      <c r="B1228" s="86" t="s">
        <v>289</v>
      </c>
      <c r="C1228" s="75" t="s">
        <v>182</v>
      </c>
      <c r="D1228" s="76">
        <v>1</v>
      </c>
      <c r="E1228" s="77">
        <v>1</v>
      </c>
      <c r="F1228" s="276"/>
      <c r="G1228" s="75">
        <v>35</v>
      </c>
      <c r="H1228" s="55">
        <v>24</v>
      </c>
      <c r="I1228" s="55">
        <v>26</v>
      </c>
      <c r="J1228" s="55">
        <v>24.855475787683329</v>
      </c>
    </row>
    <row r="1229" spans="1:10" x14ac:dyDescent="0.4">
      <c r="H1229" s="65">
        <f>AVERAGE(H1188:H1202,H1208:H1210,H1219:H1228)</f>
        <v>22.346428571428572</v>
      </c>
      <c r="I1229" s="65">
        <f t="shared" ref="I1229" si="7">AVERAGE(I1188:I1202,I1208:I1210,I1219:I1228)</f>
        <v>26.403571428571421</v>
      </c>
      <c r="J1229" s="113">
        <f>AVERAGE(J1188:J1202,J1208:J1210,J1219:J1228,J1206)</f>
        <v>25.086819752862844</v>
      </c>
    </row>
    <row r="1230" spans="1:10" x14ac:dyDescent="0.4">
      <c r="J1230" s="64" t="s">
        <v>261</v>
      </c>
    </row>
    <row r="1231" spans="1:10" x14ac:dyDescent="0.4">
      <c r="A1231" s="280" t="s">
        <v>183</v>
      </c>
      <c r="B1231" s="280"/>
      <c r="C1231" s="280"/>
      <c r="D1231" s="280"/>
      <c r="E1231" s="280"/>
      <c r="F1231" s="280"/>
      <c r="G1231" s="280"/>
      <c r="H1231" s="280"/>
      <c r="I1231" s="280"/>
      <c r="J1231" s="281"/>
    </row>
    <row r="1232" spans="1:10" ht="34.799999999999997" x14ac:dyDescent="0.4">
      <c r="A1232" s="73" t="s">
        <v>267</v>
      </c>
      <c r="B1232" s="73" t="s">
        <v>268</v>
      </c>
      <c r="C1232" s="73" t="s">
        <v>269</v>
      </c>
      <c r="D1232" s="73" t="s">
        <v>108</v>
      </c>
      <c r="E1232" s="73" t="s">
        <v>109</v>
      </c>
      <c r="F1232" s="74" t="s">
        <v>270</v>
      </c>
      <c r="G1232" s="73" t="s">
        <v>110</v>
      </c>
      <c r="H1232" s="73" t="s">
        <v>184</v>
      </c>
      <c r="I1232" s="73" t="s">
        <v>185</v>
      </c>
      <c r="J1232" s="73" t="s">
        <v>186</v>
      </c>
    </row>
    <row r="1233" spans="1:10" x14ac:dyDescent="0.4">
      <c r="A1233" s="285" t="s">
        <v>271</v>
      </c>
      <c r="B1233" s="87" t="s">
        <v>114</v>
      </c>
      <c r="C1233" s="88" t="s">
        <v>272</v>
      </c>
      <c r="D1233" s="89">
        <v>1</v>
      </c>
      <c r="E1233" s="88">
        <v>1</v>
      </c>
      <c r="F1233" s="274" t="s">
        <v>273</v>
      </c>
      <c r="G1233" s="75">
        <v>105.48</v>
      </c>
      <c r="H1233" s="56">
        <v>24.1</v>
      </c>
      <c r="I1233" s="57">
        <v>46.6</v>
      </c>
      <c r="J1233" s="57">
        <v>36.875899645011756</v>
      </c>
    </row>
    <row r="1234" spans="1:10" x14ac:dyDescent="0.4">
      <c r="A1234" s="286"/>
      <c r="B1234" s="87" t="s">
        <v>115</v>
      </c>
      <c r="C1234" s="88" t="s">
        <v>274</v>
      </c>
      <c r="D1234" s="89">
        <v>1</v>
      </c>
      <c r="E1234" s="88">
        <v>1</v>
      </c>
      <c r="F1234" s="275"/>
      <c r="G1234" s="75">
        <v>105.48</v>
      </c>
      <c r="H1234" s="56">
        <v>24.5</v>
      </c>
      <c r="I1234" s="57">
        <v>46.8</v>
      </c>
      <c r="J1234" s="57">
        <v>37.004108173574643</v>
      </c>
    </row>
    <row r="1235" spans="1:10" x14ac:dyDescent="0.4">
      <c r="A1235" s="286"/>
      <c r="B1235" s="87" t="s">
        <v>116</v>
      </c>
      <c r="C1235" s="88" t="s">
        <v>117</v>
      </c>
      <c r="D1235" s="89">
        <v>1</v>
      </c>
      <c r="E1235" s="88">
        <v>1</v>
      </c>
      <c r="F1235" s="78"/>
      <c r="G1235" s="75">
        <v>105.48</v>
      </c>
      <c r="H1235" s="56">
        <v>25.7</v>
      </c>
      <c r="I1235" s="57">
        <v>45.6</v>
      </c>
      <c r="J1235" s="57">
        <v>36.984516441492424</v>
      </c>
    </row>
    <row r="1236" spans="1:10" x14ac:dyDescent="0.4">
      <c r="A1236" s="287"/>
      <c r="B1236" s="87" t="s">
        <v>118</v>
      </c>
      <c r="C1236" s="88" t="s">
        <v>119</v>
      </c>
      <c r="D1236" s="89">
        <v>1</v>
      </c>
      <c r="E1236" s="88">
        <v>1</v>
      </c>
      <c r="F1236" s="78"/>
      <c r="G1236" s="75">
        <v>105.48</v>
      </c>
      <c r="H1236" s="56">
        <v>23.2</v>
      </c>
      <c r="I1236" s="57">
        <v>44.2</v>
      </c>
      <c r="J1236" s="57">
        <v>35.156717090807682</v>
      </c>
    </row>
    <row r="1237" spans="1:10" x14ac:dyDescent="0.4">
      <c r="A1237" s="273" t="s">
        <v>275</v>
      </c>
      <c r="B1237" s="86" t="s">
        <v>120</v>
      </c>
      <c r="C1237" s="75" t="s">
        <v>276</v>
      </c>
      <c r="D1237" s="76">
        <v>1</v>
      </c>
      <c r="E1237" s="77">
        <v>1</v>
      </c>
      <c r="F1237" s="274" t="s">
        <v>273</v>
      </c>
      <c r="G1237" s="75">
        <v>105.48</v>
      </c>
      <c r="H1237" s="56">
        <v>22.8</v>
      </c>
      <c r="I1237" s="57">
        <v>73.8</v>
      </c>
      <c r="J1237" s="57">
        <v>37.251804931220235</v>
      </c>
    </row>
    <row r="1238" spans="1:10" x14ac:dyDescent="0.4">
      <c r="A1238" s="273"/>
      <c r="B1238" s="86" t="s">
        <v>121</v>
      </c>
      <c r="C1238" s="75" t="s">
        <v>277</v>
      </c>
      <c r="D1238" s="76">
        <v>1</v>
      </c>
      <c r="E1238" s="77">
        <v>1</v>
      </c>
      <c r="F1238" s="275"/>
      <c r="G1238" s="75">
        <v>105.48</v>
      </c>
      <c r="H1238" s="56">
        <v>22.8</v>
      </c>
      <c r="I1238" s="57">
        <v>53.2</v>
      </c>
      <c r="J1238" s="57">
        <v>37.175433774739822</v>
      </c>
    </row>
    <row r="1239" spans="1:10" x14ac:dyDescent="0.4">
      <c r="A1239" s="273"/>
      <c r="B1239" s="86" t="s">
        <v>122</v>
      </c>
      <c r="C1239" s="75" t="s">
        <v>123</v>
      </c>
      <c r="D1239" s="76">
        <v>1</v>
      </c>
      <c r="E1239" s="77">
        <v>1</v>
      </c>
      <c r="F1239" s="275"/>
      <c r="G1239" s="75">
        <v>105.48</v>
      </c>
      <c r="H1239" s="56">
        <v>37.299999999999997</v>
      </c>
      <c r="I1239" s="57">
        <v>66</v>
      </c>
      <c r="J1239" s="57">
        <v>49.840352179488214</v>
      </c>
    </row>
    <row r="1240" spans="1:10" x14ac:dyDescent="0.4">
      <c r="A1240" s="273"/>
      <c r="B1240" s="86" t="s">
        <v>124</v>
      </c>
      <c r="C1240" s="75" t="s">
        <v>125</v>
      </c>
      <c r="D1240" s="76">
        <v>1</v>
      </c>
      <c r="E1240" s="77">
        <v>1</v>
      </c>
      <c r="F1240" s="275"/>
      <c r="G1240" s="75">
        <v>105.48</v>
      </c>
      <c r="H1240" s="56">
        <v>24</v>
      </c>
      <c r="I1240" s="57">
        <v>47.5</v>
      </c>
      <c r="J1240" s="57">
        <v>40.07350006711988</v>
      </c>
    </row>
    <row r="1241" spans="1:10" x14ac:dyDescent="0.4">
      <c r="A1241" s="273" t="s">
        <v>279</v>
      </c>
      <c r="B1241" s="86" t="s">
        <v>131</v>
      </c>
      <c r="C1241" s="75" t="s">
        <v>280</v>
      </c>
      <c r="D1241" s="76">
        <v>1</v>
      </c>
      <c r="E1241" s="77">
        <v>1</v>
      </c>
      <c r="F1241" s="274" t="s">
        <v>273</v>
      </c>
      <c r="G1241" s="75">
        <v>105.48</v>
      </c>
      <c r="H1241" s="56">
        <v>22.5</v>
      </c>
      <c r="I1241" s="57">
        <v>45.8</v>
      </c>
      <c r="J1241" s="57">
        <v>38.195485835971027</v>
      </c>
    </row>
    <row r="1242" spans="1:10" x14ac:dyDescent="0.4">
      <c r="A1242" s="273"/>
      <c r="B1242" s="86" t="s">
        <v>132</v>
      </c>
      <c r="C1242" s="75" t="s">
        <v>133</v>
      </c>
      <c r="D1242" s="76">
        <v>1</v>
      </c>
      <c r="E1242" s="77">
        <v>1</v>
      </c>
      <c r="F1242" s="275"/>
      <c r="G1242" s="75">
        <v>105.48</v>
      </c>
      <c r="H1242" s="56">
        <v>21.9</v>
      </c>
      <c r="I1242" s="57">
        <v>44.3</v>
      </c>
      <c r="J1242" s="57">
        <v>37.074655494835682</v>
      </c>
    </row>
    <row r="1243" spans="1:10" x14ac:dyDescent="0.4">
      <c r="A1243" s="273"/>
      <c r="B1243" s="86" t="s">
        <v>134</v>
      </c>
      <c r="C1243" s="75" t="s">
        <v>135</v>
      </c>
      <c r="D1243" s="76">
        <v>1</v>
      </c>
      <c r="E1243" s="77">
        <v>1</v>
      </c>
      <c r="F1243" s="275"/>
      <c r="G1243" s="79">
        <v>105.48</v>
      </c>
      <c r="H1243" s="56">
        <v>20.9</v>
      </c>
      <c r="I1243" s="57">
        <v>39.5</v>
      </c>
      <c r="J1243" s="57">
        <v>34.962139230837934</v>
      </c>
    </row>
    <row r="1244" spans="1:10" x14ac:dyDescent="0.4">
      <c r="A1244" s="273"/>
      <c r="B1244" s="86" t="s">
        <v>136</v>
      </c>
      <c r="C1244" s="75" t="s">
        <v>137</v>
      </c>
      <c r="D1244" s="76">
        <v>1</v>
      </c>
      <c r="E1244" s="77">
        <v>1</v>
      </c>
      <c r="F1244" s="275"/>
      <c r="G1244" s="79">
        <v>105.48</v>
      </c>
      <c r="H1244" s="56">
        <v>21.5</v>
      </c>
      <c r="I1244" s="57">
        <v>40.6</v>
      </c>
      <c r="J1244" s="57">
        <v>35.881135303974233</v>
      </c>
    </row>
    <row r="1245" spans="1:10" x14ac:dyDescent="0.4">
      <c r="A1245" s="273"/>
      <c r="B1245" s="86" t="s">
        <v>138</v>
      </c>
      <c r="C1245" s="75" t="s">
        <v>281</v>
      </c>
      <c r="D1245" s="75">
        <v>0</v>
      </c>
      <c r="E1245" s="77">
        <v>1</v>
      </c>
      <c r="F1245" s="77">
        <v>1</v>
      </c>
      <c r="G1245" s="75">
        <v>32.549999999999997</v>
      </c>
      <c r="H1245" s="58">
        <v>25.8</v>
      </c>
      <c r="I1245" s="58">
        <v>31.6</v>
      </c>
      <c r="J1245" s="58">
        <v>26.354365316483779</v>
      </c>
    </row>
    <row r="1246" spans="1:10" x14ac:dyDescent="0.4">
      <c r="A1246" s="273"/>
      <c r="B1246" s="86" t="s">
        <v>139</v>
      </c>
      <c r="C1246" s="75" t="s">
        <v>140</v>
      </c>
      <c r="D1246" s="75">
        <v>0</v>
      </c>
      <c r="E1246" s="77">
        <v>1</v>
      </c>
      <c r="F1246" s="77">
        <v>1</v>
      </c>
      <c r="G1246" s="75">
        <v>32.549999999999997</v>
      </c>
      <c r="H1246" s="59">
        <v>27.8</v>
      </c>
      <c r="I1246" s="59">
        <v>30.6</v>
      </c>
      <c r="J1246" s="59">
        <v>28.507460941612955</v>
      </c>
    </row>
    <row r="1247" spans="1:10" x14ac:dyDescent="0.4">
      <c r="A1247" s="273"/>
      <c r="B1247" s="86" t="s">
        <v>141</v>
      </c>
      <c r="C1247" s="75" t="s">
        <v>283</v>
      </c>
      <c r="D1247" s="75">
        <v>0</v>
      </c>
      <c r="E1247" s="77">
        <v>1</v>
      </c>
      <c r="F1247" s="77">
        <v>1</v>
      </c>
      <c r="G1247" s="75">
        <v>32.549999999999997</v>
      </c>
      <c r="H1247" s="59">
        <v>24.4</v>
      </c>
      <c r="I1247" s="59">
        <v>31.6</v>
      </c>
      <c r="J1247" s="59">
        <v>25.308625390828567</v>
      </c>
    </row>
    <row r="1248" spans="1:10" x14ac:dyDescent="0.4">
      <c r="A1248" s="273"/>
      <c r="B1248" s="86" t="s">
        <v>142</v>
      </c>
      <c r="C1248" s="75" t="s">
        <v>143</v>
      </c>
      <c r="D1248" s="75">
        <v>1</v>
      </c>
      <c r="E1248" s="77">
        <v>1</v>
      </c>
      <c r="F1248" s="77">
        <v>1</v>
      </c>
      <c r="G1248" s="75">
        <v>32.549999999999997</v>
      </c>
      <c r="H1248" s="60">
        <v>29</v>
      </c>
      <c r="I1248" s="60">
        <v>32.799999999999997</v>
      </c>
      <c r="J1248" s="60">
        <v>30.690526910212576</v>
      </c>
    </row>
    <row r="1249" spans="1:10" x14ac:dyDescent="0.4">
      <c r="A1249" s="273"/>
      <c r="B1249" s="86" t="s">
        <v>144</v>
      </c>
      <c r="C1249" s="75" t="s">
        <v>145</v>
      </c>
      <c r="D1249" s="75">
        <v>0</v>
      </c>
      <c r="E1249" s="77">
        <v>1</v>
      </c>
      <c r="F1249" s="77">
        <v>1</v>
      </c>
      <c r="G1249" s="75">
        <v>32.549999999999997</v>
      </c>
      <c r="H1249" s="59">
        <v>24.4</v>
      </c>
      <c r="I1249" s="59">
        <v>32.5</v>
      </c>
      <c r="J1249" s="59">
        <v>25.450364206403666</v>
      </c>
    </row>
    <row r="1250" spans="1:10" x14ac:dyDescent="0.4">
      <c r="A1250" s="273"/>
      <c r="B1250" s="86" t="s">
        <v>146</v>
      </c>
      <c r="C1250" s="75" t="s">
        <v>147</v>
      </c>
      <c r="D1250" s="75">
        <v>1</v>
      </c>
      <c r="E1250" s="77">
        <v>1</v>
      </c>
      <c r="F1250" s="77">
        <v>1</v>
      </c>
      <c r="G1250" s="75">
        <v>32.549999999999997</v>
      </c>
      <c r="H1250" s="60">
        <v>28.6</v>
      </c>
      <c r="I1250" s="60">
        <v>32.799999999999997</v>
      </c>
      <c r="J1250" s="60">
        <v>31.681985326236472</v>
      </c>
    </row>
    <row r="1251" spans="1:10" x14ac:dyDescent="0.4">
      <c r="A1251" s="273"/>
      <c r="B1251" s="86" t="s">
        <v>148</v>
      </c>
      <c r="C1251" s="75" t="s">
        <v>149</v>
      </c>
      <c r="D1251" s="75">
        <v>0</v>
      </c>
      <c r="E1251" s="77">
        <v>1</v>
      </c>
      <c r="F1251" s="77">
        <v>1</v>
      </c>
      <c r="G1251" s="75">
        <v>32.549999999999997</v>
      </c>
      <c r="H1251" s="60">
        <v>30.1</v>
      </c>
      <c r="I1251" s="60">
        <v>32.5</v>
      </c>
      <c r="J1251" s="60">
        <v>31.839196380938393</v>
      </c>
    </row>
    <row r="1252" spans="1:10" x14ac:dyDescent="0.4">
      <c r="A1252" s="273"/>
      <c r="B1252" s="86" t="s">
        <v>150</v>
      </c>
      <c r="C1252" s="75" t="s">
        <v>151</v>
      </c>
      <c r="D1252" s="75">
        <v>1</v>
      </c>
      <c r="E1252" s="77">
        <v>1</v>
      </c>
      <c r="F1252" s="77">
        <v>1</v>
      </c>
      <c r="G1252" s="75">
        <v>32.549999999999997</v>
      </c>
      <c r="H1252" s="60">
        <v>30.7</v>
      </c>
      <c r="I1252" s="60">
        <v>32.6</v>
      </c>
      <c r="J1252" s="60">
        <v>31.343251116148533</v>
      </c>
    </row>
    <row r="1253" spans="1:10" x14ac:dyDescent="0.4">
      <c r="A1253" s="273"/>
      <c r="B1253" s="86" t="s">
        <v>152</v>
      </c>
      <c r="C1253" s="75" t="s">
        <v>153</v>
      </c>
      <c r="D1253" s="75">
        <v>0</v>
      </c>
      <c r="E1253" s="77">
        <v>1</v>
      </c>
      <c r="F1253" s="77">
        <v>1</v>
      </c>
      <c r="G1253" s="75">
        <v>32.549999999999997</v>
      </c>
      <c r="H1253" s="59"/>
      <c r="I1253" s="59"/>
      <c r="J1253" s="59"/>
    </row>
    <row r="1254" spans="1:10" x14ac:dyDescent="0.4">
      <c r="A1254" s="273"/>
      <c r="B1254" s="86" t="s">
        <v>154</v>
      </c>
      <c r="C1254" s="75" t="s">
        <v>155</v>
      </c>
      <c r="D1254" s="75">
        <v>0</v>
      </c>
      <c r="E1254" s="77">
        <v>1</v>
      </c>
      <c r="F1254" s="77">
        <v>1</v>
      </c>
      <c r="G1254" s="75">
        <v>32.549999999999997</v>
      </c>
      <c r="H1254" s="59">
        <v>28.4</v>
      </c>
      <c r="I1254" s="59">
        <v>29.9</v>
      </c>
      <c r="J1254" s="59">
        <v>29.630716247788403</v>
      </c>
    </row>
    <row r="1255" spans="1:10" x14ac:dyDescent="0.4">
      <c r="A1255" s="273"/>
      <c r="B1255" s="86" t="s">
        <v>156</v>
      </c>
      <c r="C1255" s="75" t="s">
        <v>157</v>
      </c>
      <c r="D1255" s="75">
        <v>0</v>
      </c>
      <c r="E1255" s="77">
        <v>1</v>
      </c>
      <c r="F1255" s="77">
        <v>1</v>
      </c>
      <c r="G1255" s="75">
        <v>32.549999999999997</v>
      </c>
      <c r="H1255" s="59">
        <v>26.3</v>
      </c>
      <c r="I1255" s="59">
        <v>30.6</v>
      </c>
      <c r="J1255" s="59">
        <v>26.935364994203944</v>
      </c>
    </row>
    <row r="1256" spans="1:10" x14ac:dyDescent="0.4">
      <c r="A1256" s="273"/>
      <c r="B1256" s="86" t="s">
        <v>158</v>
      </c>
      <c r="C1256" s="75" t="s">
        <v>159</v>
      </c>
      <c r="D1256" s="75">
        <v>0</v>
      </c>
      <c r="E1256" s="77">
        <v>1</v>
      </c>
      <c r="F1256" s="77">
        <v>1</v>
      </c>
      <c r="G1256" s="75">
        <v>32.549999999999997</v>
      </c>
      <c r="H1256" s="59">
        <v>25.6</v>
      </c>
      <c r="I1256" s="59">
        <v>34</v>
      </c>
      <c r="J1256" s="59">
        <v>30.625999679618541</v>
      </c>
    </row>
    <row r="1257" spans="1:10" x14ac:dyDescent="0.4">
      <c r="A1257" s="273"/>
      <c r="B1257" s="86" t="s">
        <v>160</v>
      </c>
      <c r="C1257" s="75" t="s">
        <v>161</v>
      </c>
      <c r="D1257" s="75">
        <v>0</v>
      </c>
      <c r="E1257" s="77">
        <v>1</v>
      </c>
      <c r="F1257" s="77">
        <v>1</v>
      </c>
      <c r="G1257" s="75">
        <v>32.549999999999997</v>
      </c>
      <c r="H1257" s="59">
        <v>27.7</v>
      </c>
      <c r="I1257" s="59">
        <v>30.4</v>
      </c>
      <c r="J1257" s="59">
        <v>29.382356535905735</v>
      </c>
    </row>
    <row r="1258" spans="1:10" x14ac:dyDescent="0.4">
      <c r="A1258" s="273"/>
      <c r="B1258" s="86" t="s">
        <v>162</v>
      </c>
      <c r="C1258" s="75" t="s">
        <v>163</v>
      </c>
      <c r="D1258" s="75">
        <v>0</v>
      </c>
      <c r="E1258" s="77">
        <v>1</v>
      </c>
      <c r="F1258" s="77">
        <v>1</v>
      </c>
      <c r="G1258" s="75">
        <v>32.549999999999997</v>
      </c>
      <c r="H1258" s="59">
        <v>27</v>
      </c>
      <c r="I1258" s="59">
        <v>30.2</v>
      </c>
      <c r="J1258" s="59">
        <v>28.319564185557223</v>
      </c>
    </row>
    <row r="1259" spans="1:10" x14ac:dyDescent="0.4">
      <c r="A1259" s="273"/>
      <c r="B1259" s="86" t="s">
        <v>164</v>
      </c>
      <c r="C1259" s="75" t="s">
        <v>284</v>
      </c>
      <c r="D1259" s="75">
        <v>0</v>
      </c>
      <c r="E1259" s="77">
        <v>1</v>
      </c>
      <c r="F1259" s="77">
        <v>1</v>
      </c>
      <c r="G1259" s="75">
        <v>24.4</v>
      </c>
      <c r="H1259" s="59">
        <v>26</v>
      </c>
      <c r="I1259" s="59">
        <v>27.5</v>
      </c>
      <c r="J1259" s="59">
        <v>26.918421650104822</v>
      </c>
    </row>
    <row r="1260" spans="1:10" x14ac:dyDescent="0.4">
      <c r="A1260" s="273"/>
      <c r="B1260" s="86" t="s">
        <v>165</v>
      </c>
      <c r="C1260" s="75" t="s">
        <v>166</v>
      </c>
      <c r="D1260" s="75">
        <v>0</v>
      </c>
      <c r="E1260" s="77">
        <v>1</v>
      </c>
      <c r="F1260" s="77">
        <v>1</v>
      </c>
      <c r="G1260" s="75">
        <v>24.4</v>
      </c>
      <c r="H1260" s="59">
        <v>25.5</v>
      </c>
      <c r="I1260" s="59">
        <v>27.5</v>
      </c>
      <c r="J1260" s="59">
        <v>26.559773141544955</v>
      </c>
    </row>
    <row r="1261" spans="1:10" x14ac:dyDescent="0.4">
      <c r="A1261" s="273" t="s">
        <v>285</v>
      </c>
      <c r="B1261" s="86" t="s">
        <v>167</v>
      </c>
      <c r="C1261" s="75" t="s">
        <v>286</v>
      </c>
      <c r="D1261" s="76">
        <v>1</v>
      </c>
      <c r="E1261" s="77">
        <v>1</v>
      </c>
      <c r="F1261" s="274" t="s">
        <v>273</v>
      </c>
      <c r="G1261" s="75">
        <v>105.48</v>
      </c>
      <c r="H1261" s="56">
        <v>25.7</v>
      </c>
      <c r="I1261" s="60">
        <v>39.700000000000003</v>
      </c>
      <c r="J1261" s="60">
        <v>35.190372604446353</v>
      </c>
    </row>
    <row r="1262" spans="1:10" x14ac:dyDescent="0.4">
      <c r="A1262" s="273"/>
      <c r="B1262" s="86" t="s">
        <v>168</v>
      </c>
      <c r="C1262" s="75" t="s">
        <v>169</v>
      </c>
      <c r="D1262" s="76">
        <v>1</v>
      </c>
      <c r="E1262" s="77">
        <v>1</v>
      </c>
      <c r="F1262" s="275"/>
      <c r="G1262" s="75">
        <v>105.48</v>
      </c>
      <c r="H1262" s="56">
        <v>28.7</v>
      </c>
      <c r="I1262" s="61">
        <v>42.6</v>
      </c>
      <c r="J1262" s="61">
        <v>38.274867758099141</v>
      </c>
    </row>
    <row r="1263" spans="1:10" x14ac:dyDescent="0.4">
      <c r="A1263" s="273"/>
      <c r="B1263" s="86" t="s">
        <v>170</v>
      </c>
      <c r="C1263" s="75" t="s">
        <v>171</v>
      </c>
      <c r="D1263" s="76">
        <v>1</v>
      </c>
      <c r="E1263" s="77">
        <v>1</v>
      </c>
      <c r="F1263" s="275"/>
      <c r="G1263" s="75">
        <v>105.48</v>
      </c>
      <c r="H1263" s="56">
        <v>27.4</v>
      </c>
      <c r="I1263" s="57">
        <v>45.8</v>
      </c>
      <c r="J1263" s="57">
        <v>40.447616220029126</v>
      </c>
    </row>
    <row r="1264" spans="1:10" x14ac:dyDescent="0.4">
      <c r="A1264" s="273"/>
      <c r="B1264" s="86" t="s">
        <v>172</v>
      </c>
      <c r="C1264" s="75" t="s">
        <v>173</v>
      </c>
      <c r="D1264" s="76">
        <v>1</v>
      </c>
      <c r="E1264" s="77">
        <v>1</v>
      </c>
      <c r="F1264" s="275"/>
      <c r="G1264" s="75">
        <v>105.48</v>
      </c>
      <c r="H1264" s="56">
        <v>27</v>
      </c>
      <c r="I1264" s="57">
        <v>45.3</v>
      </c>
      <c r="J1264" s="57">
        <v>40.088349265555607</v>
      </c>
    </row>
    <row r="1265" spans="1:10" x14ac:dyDescent="0.4">
      <c r="A1265" s="273"/>
      <c r="B1265" s="86" t="s">
        <v>174</v>
      </c>
      <c r="C1265" s="75" t="s">
        <v>287</v>
      </c>
      <c r="D1265" s="76">
        <v>1</v>
      </c>
      <c r="E1265" s="77">
        <v>1</v>
      </c>
      <c r="F1265" s="275"/>
      <c r="G1265" s="75">
        <v>65</v>
      </c>
      <c r="H1265" s="62">
        <v>30.6</v>
      </c>
      <c r="I1265" s="62">
        <v>40.6</v>
      </c>
      <c r="J1265" s="62">
        <v>37.47478447889106</v>
      </c>
    </row>
    <row r="1266" spans="1:10" x14ac:dyDescent="0.4">
      <c r="A1266" s="273"/>
      <c r="B1266" s="86" t="s">
        <v>175</v>
      </c>
      <c r="C1266" s="75" t="s">
        <v>176</v>
      </c>
      <c r="D1266" s="76">
        <v>1</v>
      </c>
      <c r="E1266" s="77">
        <v>1</v>
      </c>
      <c r="F1266" s="276"/>
      <c r="G1266" s="75">
        <v>65</v>
      </c>
      <c r="H1266" s="62">
        <v>29</v>
      </c>
      <c r="I1266" s="62">
        <v>30</v>
      </c>
      <c r="J1266" s="62">
        <v>29.322365104728199</v>
      </c>
    </row>
    <row r="1267" spans="1:10" x14ac:dyDescent="0.4">
      <c r="A1267" s="273"/>
      <c r="B1267" s="86" t="s">
        <v>177</v>
      </c>
      <c r="C1267" s="75" t="s">
        <v>288</v>
      </c>
      <c r="D1267" s="76">
        <v>1</v>
      </c>
      <c r="E1267" s="77">
        <v>1</v>
      </c>
      <c r="F1267" s="274" t="s">
        <v>282</v>
      </c>
      <c r="G1267" s="75">
        <v>16.3</v>
      </c>
      <c r="H1267" s="62">
        <v>30.5</v>
      </c>
      <c r="I1267" s="62">
        <v>34.5</v>
      </c>
      <c r="J1267" s="62">
        <v>31.691676637256574</v>
      </c>
    </row>
    <row r="1268" spans="1:10" x14ac:dyDescent="0.4">
      <c r="A1268" s="273"/>
      <c r="B1268" s="86" t="s">
        <v>178</v>
      </c>
      <c r="C1268" s="75" t="s">
        <v>179</v>
      </c>
      <c r="D1268" s="76">
        <v>1</v>
      </c>
      <c r="E1268" s="77">
        <v>1</v>
      </c>
      <c r="F1268" s="275"/>
      <c r="G1268" s="75">
        <v>16.3</v>
      </c>
      <c r="H1268" s="62">
        <v>31</v>
      </c>
      <c r="I1268" s="62">
        <v>40.5</v>
      </c>
      <c r="J1268" s="62">
        <v>34.619817345292134</v>
      </c>
    </row>
    <row r="1269" spans="1:10" x14ac:dyDescent="0.4">
      <c r="A1269" s="273"/>
      <c r="B1269" s="86" t="s">
        <v>180</v>
      </c>
      <c r="C1269" s="75" t="s">
        <v>181</v>
      </c>
      <c r="D1269" s="76">
        <v>1</v>
      </c>
      <c r="E1269" s="77">
        <v>1</v>
      </c>
      <c r="F1269" s="275"/>
      <c r="G1269" s="75">
        <v>16.3</v>
      </c>
      <c r="H1269" s="62">
        <v>28</v>
      </c>
      <c r="I1269" s="62">
        <v>45</v>
      </c>
      <c r="J1269" s="62">
        <v>30.126522635332051</v>
      </c>
    </row>
    <row r="1270" spans="1:10" x14ac:dyDescent="0.4">
      <c r="A1270" s="273"/>
      <c r="B1270" s="86" t="s">
        <v>289</v>
      </c>
      <c r="C1270" s="75" t="s">
        <v>182</v>
      </c>
      <c r="D1270" s="76">
        <v>1</v>
      </c>
      <c r="E1270" s="77">
        <v>1</v>
      </c>
      <c r="F1270" s="276"/>
      <c r="G1270" s="75">
        <v>35</v>
      </c>
      <c r="H1270" s="62">
        <v>31.5</v>
      </c>
      <c r="I1270" s="62">
        <v>50.1</v>
      </c>
      <c r="J1270" s="62">
        <v>44.617185412817626</v>
      </c>
    </row>
    <row r="1271" spans="1:10" x14ac:dyDescent="0.4">
      <c r="A1271" s="273" t="s">
        <v>275</v>
      </c>
      <c r="B1271" s="86" t="s">
        <v>126</v>
      </c>
      <c r="C1271" s="75" t="s">
        <v>278</v>
      </c>
      <c r="D1271" s="76">
        <v>1</v>
      </c>
      <c r="E1271" s="77">
        <v>1</v>
      </c>
      <c r="F1271" s="90"/>
      <c r="G1271" s="75">
        <v>70.319999999999993</v>
      </c>
      <c r="H1271" s="62">
        <v>25.2</v>
      </c>
      <c r="I1271" s="62">
        <v>56.1</v>
      </c>
      <c r="J1271" s="62">
        <v>38.445655165716552</v>
      </c>
    </row>
    <row r="1272" spans="1:10" x14ac:dyDescent="0.4">
      <c r="A1272" s="273"/>
      <c r="B1272" s="86" t="s">
        <v>127</v>
      </c>
      <c r="C1272" s="75" t="s">
        <v>128</v>
      </c>
      <c r="D1272" s="76">
        <v>1</v>
      </c>
      <c r="E1272" s="77">
        <v>1</v>
      </c>
      <c r="F1272" s="90"/>
      <c r="G1272" s="75">
        <v>70.319999999999993</v>
      </c>
      <c r="H1272" s="62">
        <v>25</v>
      </c>
      <c r="I1272" s="62">
        <v>56.2</v>
      </c>
      <c r="J1272" s="62">
        <v>37.517854848939081</v>
      </c>
    </row>
    <row r="1273" spans="1:10" x14ac:dyDescent="0.4">
      <c r="A1273" s="273"/>
      <c r="B1273" s="86" t="s">
        <v>129</v>
      </c>
      <c r="C1273" s="75" t="s">
        <v>130</v>
      </c>
      <c r="D1273" s="76">
        <v>1</v>
      </c>
      <c r="E1273" s="77">
        <v>1</v>
      </c>
      <c r="F1273" s="90"/>
      <c r="G1273" s="75">
        <v>70.319999999999993</v>
      </c>
      <c r="H1273" s="62">
        <v>24.9</v>
      </c>
      <c r="I1273" s="62">
        <v>55.1</v>
      </c>
      <c r="J1273" s="62">
        <v>37.871109473847063</v>
      </c>
    </row>
    <row r="1274" spans="1:10" x14ac:dyDescent="0.4">
      <c r="H1274" s="91">
        <f>AVERAGE(H1233:H1244,H1250:H1252,H1261:H1273)</f>
        <v>26.610714285714288</v>
      </c>
      <c r="I1274" s="91">
        <f>AVERAGE(I1233:I1244,I1250:I1252,I1261:I1273)</f>
        <v>45.474999999999987</v>
      </c>
      <c r="J1274" s="114">
        <f>AVERAGE(J1233:J1244,J1250:J1252,J1261:J1273,J1248)</f>
        <v>36.473064994950349</v>
      </c>
    </row>
    <row r="1275" spans="1:10" x14ac:dyDescent="0.4">
      <c r="J1275" s="115" t="s">
        <v>262</v>
      </c>
    </row>
    <row r="1276" spans="1:10" x14ac:dyDescent="0.4">
      <c r="A1276" s="288" t="s">
        <v>290</v>
      </c>
      <c r="B1276" s="288"/>
      <c r="C1276" s="289" t="s">
        <v>187</v>
      </c>
      <c r="D1276" s="290"/>
      <c r="E1276" s="290" t="s">
        <v>188</v>
      </c>
      <c r="F1276" s="290"/>
      <c r="G1276" s="290" t="s">
        <v>189</v>
      </c>
      <c r="H1276" s="290"/>
      <c r="I1276" s="290" t="s">
        <v>190</v>
      </c>
      <c r="J1276" s="290"/>
    </row>
    <row r="1277" spans="1:10" ht="34.799999999999997" x14ac:dyDescent="0.4">
      <c r="A1277" s="288"/>
      <c r="B1277" s="288"/>
      <c r="C1277" s="102" t="s">
        <v>191</v>
      </c>
      <c r="D1277" s="101" t="s">
        <v>192</v>
      </c>
      <c r="E1277" s="101" t="s">
        <v>191</v>
      </c>
      <c r="F1277" s="101" t="s">
        <v>192</v>
      </c>
      <c r="G1277" s="101" t="s">
        <v>191</v>
      </c>
      <c r="H1277" s="101" t="s">
        <v>192</v>
      </c>
      <c r="I1277" s="101" t="s">
        <v>191</v>
      </c>
      <c r="J1277" s="101" t="s">
        <v>192</v>
      </c>
    </row>
    <row r="1278" spans="1:10" x14ac:dyDescent="0.4">
      <c r="A1278" s="277" t="s">
        <v>291</v>
      </c>
      <c r="B1278" s="100" t="s">
        <v>292</v>
      </c>
      <c r="C1278" s="93"/>
      <c r="D1278" s="92"/>
      <c r="E1278" s="93"/>
      <c r="F1278" s="92"/>
      <c r="G1278" s="93"/>
      <c r="H1278" s="92"/>
      <c r="I1278" s="93"/>
      <c r="J1278" s="92"/>
    </row>
    <row r="1279" spans="1:10" x14ac:dyDescent="0.4">
      <c r="A1279" s="278"/>
      <c r="B1279" s="94" t="s">
        <v>193</v>
      </c>
      <c r="C1279" s="93"/>
      <c r="D1279" s="92"/>
      <c r="E1279" s="93"/>
      <c r="F1279" s="92"/>
      <c r="G1279" s="93"/>
      <c r="H1279" s="92"/>
      <c r="I1279" s="93"/>
      <c r="J1279" s="92"/>
    </row>
    <row r="1280" spans="1:10" x14ac:dyDescent="0.4">
      <c r="A1280" s="278"/>
      <c r="B1280" s="94" t="s">
        <v>194</v>
      </c>
      <c r="C1280" s="93"/>
      <c r="D1280" s="92"/>
      <c r="E1280" s="93"/>
      <c r="F1280" s="92"/>
      <c r="G1280" s="93"/>
      <c r="H1280" s="92"/>
      <c r="I1280" s="93"/>
      <c r="J1280" s="92"/>
    </row>
    <row r="1281" spans="1:10" x14ac:dyDescent="0.4">
      <c r="A1281" s="278"/>
      <c r="B1281" s="94" t="s">
        <v>195</v>
      </c>
      <c r="C1281" s="93"/>
      <c r="D1281" s="92"/>
      <c r="E1281" s="93"/>
      <c r="F1281" s="92"/>
      <c r="G1281" s="93"/>
      <c r="H1281" s="92"/>
      <c r="I1281" s="93"/>
      <c r="J1281" s="92"/>
    </row>
    <row r="1282" spans="1:10" x14ac:dyDescent="0.4">
      <c r="A1282" s="278"/>
      <c r="B1282" s="94" t="s">
        <v>196</v>
      </c>
      <c r="C1282" s="93"/>
      <c r="D1282" s="92"/>
      <c r="E1282" s="93"/>
      <c r="F1282" s="92"/>
      <c r="G1282" s="93"/>
      <c r="H1282" s="92"/>
      <c r="I1282" s="93"/>
      <c r="J1282" s="92"/>
    </row>
    <row r="1283" spans="1:10" x14ac:dyDescent="0.4">
      <c r="A1283" s="278"/>
      <c r="B1283" s="94" t="s">
        <v>197</v>
      </c>
      <c r="C1283" s="93"/>
      <c r="D1283" s="92"/>
      <c r="E1283" s="93"/>
      <c r="F1283" s="92"/>
      <c r="G1283" s="93"/>
      <c r="H1283" s="92"/>
      <c r="I1283" s="93"/>
      <c r="J1283" s="92"/>
    </row>
    <row r="1284" spans="1:10" x14ac:dyDescent="0.4">
      <c r="A1284" s="278"/>
      <c r="B1284" s="94" t="s">
        <v>198</v>
      </c>
      <c r="C1284" s="93"/>
      <c r="D1284" s="92"/>
      <c r="E1284" s="93"/>
      <c r="F1284" s="92"/>
      <c r="G1284" s="93"/>
      <c r="H1284" s="92"/>
      <c r="I1284" s="93"/>
      <c r="J1284" s="92"/>
    </row>
    <row r="1285" spans="1:10" x14ac:dyDescent="0.4">
      <c r="A1285" s="278"/>
      <c r="B1285" s="94" t="s">
        <v>199</v>
      </c>
      <c r="C1285" s="93"/>
      <c r="D1285" s="92"/>
      <c r="E1285" s="93"/>
      <c r="F1285" s="92"/>
      <c r="G1285" s="93"/>
      <c r="H1285" s="92"/>
      <c r="I1285" s="93"/>
      <c r="J1285" s="92"/>
    </row>
    <row r="1286" spans="1:10" x14ac:dyDescent="0.4">
      <c r="A1286" s="278"/>
      <c r="B1286" s="94" t="s">
        <v>200</v>
      </c>
      <c r="C1286" s="93"/>
      <c r="D1286" s="92"/>
      <c r="E1286" s="93"/>
      <c r="F1286" s="92"/>
      <c r="G1286" s="93"/>
      <c r="H1286" s="92"/>
      <c r="I1286" s="98"/>
      <c r="J1286" s="99"/>
    </row>
    <row r="1287" spans="1:10" x14ac:dyDescent="0.4">
      <c r="A1287" s="278"/>
      <c r="B1287" s="94" t="s">
        <v>201</v>
      </c>
      <c r="C1287" s="93"/>
      <c r="D1287" s="92"/>
      <c r="E1287" s="98"/>
      <c r="F1287" s="99"/>
      <c r="G1287" s="93"/>
      <c r="H1287" s="92"/>
      <c r="I1287" s="98"/>
      <c r="J1287" s="99"/>
    </row>
    <row r="1288" spans="1:10" x14ac:dyDescent="0.4">
      <c r="A1288" s="278"/>
      <c r="B1288" s="94" t="s">
        <v>202</v>
      </c>
      <c r="C1288" s="93"/>
      <c r="D1288" s="92"/>
      <c r="E1288" s="98"/>
      <c r="F1288" s="99"/>
      <c r="G1288" s="93"/>
      <c r="H1288" s="92"/>
      <c r="I1288" s="98"/>
      <c r="J1288" s="99"/>
    </row>
    <row r="1289" spans="1:10" x14ac:dyDescent="0.4">
      <c r="A1289" s="278"/>
      <c r="B1289" s="94" t="s">
        <v>203</v>
      </c>
      <c r="C1289" s="93"/>
      <c r="D1289" s="92"/>
      <c r="E1289" s="98"/>
      <c r="F1289" s="99"/>
      <c r="G1289" s="93"/>
      <c r="H1289" s="92"/>
      <c r="I1289" s="98"/>
      <c r="J1289" s="99"/>
    </row>
    <row r="1290" spans="1:10" x14ac:dyDescent="0.4">
      <c r="A1290" s="278"/>
      <c r="B1290" s="94" t="s">
        <v>204</v>
      </c>
      <c r="C1290" s="93"/>
      <c r="D1290" s="92"/>
      <c r="E1290" s="98"/>
      <c r="F1290" s="99"/>
      <c r="G1290" s="93"/>
      <c r="H1290" s="92"/>
      <c r="I1290" s="98"/>
      <c r="J1290" s="99"/>
    </row>
    <row r="1291" spans="1:10" x14ac:dyDescent="0.4">
      <c r="A1291" s="278"/>
      <c r="B1291" s="94" t="s">
        <v>205</v>
      </c>
      <c r="C1291" s="98"/>
      <c r="D1291" s="99"/>
      <c r="E1291" s="98"/>
      <c r="F1291" s="99"/>
      <c r="G1291" s="93"/>
      <c r="H1291" s="92"/>
      <c r="I1291" s="98"/>
      <c r="J1291" s="99"/>
    </row>
    <row r="1292" spans="1:10" x14ac:dyDescent="0.4">
      <c r="A1292" s="278"/>
      <c r="B1292" s="94" t="s">
        <v>206</v>
      </c>
      <c r="C1292" s="98"/>
      <c r="D1292" s="99"/>
      <c r="E1292" s="98"/>
      <c r="F1292" s="99"/>
      <c r="G1292" s="93"/>
      <c r="H1292" s="92"/>
      <c r="I1292" s="98"/>
      <c r="J1292" s="99"/>
    </row>
    <row r="1293" spans="1:10" x14ac:dyDescent="0.4">
      <c r="A1293" s="278"/>
      <c r="B1293" s="94" t="s">
        <v>207</v>
      </c>
      <c r="C1293" s="98"/>
      <c r="D1293" s="99"/>
      <c r="E1293" s="98"/>
      <c r="F1293" s="99"/>
      <c r="G1293" s="93"/>
      <c r="H1293" s="92"/>
      <c r="I1293" s="98"/>
      <c r="J1293" s="99"/>
    </row>
    <row r="1294" spans="1:10" x14ac:dyDescent="0.4">
      <c r="A1294" s="278"/>
      <c r="B1294" s="95" t="s">
        <v>293</v>
      </c>
      <c r="C1294" s="93"/>
      <c r="D1294" s="92"/>
      <c r="E1294" s="93"/>
      <c r="F1294" s="92"/>
      <c r="G1294" s="93"/>
      <c r="H1294" s="92"/>
      <c r="I1294" s="93"/>
      <c r="J1294" s="92"/>
    </row>
    <row r="1295" spans="1:10" x14ac:dyDescent="0.4">
      <c r="A1295" s="278"/>
      <c r="B1295" s="95" t="s">
        <v>208</v>
      </c>
      <c r="C1295" s="93"/>
      <c r="D1295" s="92"/>
      <c r="E1295" s="93"/>
      <c r="F1295" s="92"/>
      <c r="G1295" s="93"/>
      <c r="H1295" s="92"/>
      <c r="I1295" s="93"/>
      <c r="J1295" s="92"/>
    </row>
    <row r="1296" spans="1:10" x14ac:dyDescent="0.4">
      <c r="A1296" s="278"/>
      <c r="B1296" s="95" t="s">
        <v>209</v>
      </c>
      <c r="C1296" s="93"/>
      <c r="D1296" s="92"/>
      <c r="E1296" s="93"/>
      <c r="F1296" s="92"/>
      <c r="G1296" s="93"/>
      <c r="H1296" s="92"/>
      <c r="I1296" s="93"/>
      <c r="J1296" s="92"/>
    </row>
    <row r="1297" spans="1:10" x14ac:dyDescent="0.4">
      <c r="A1297" s="278"/>
      <c r="B1297" s="95" t="s">
        <v>210</v>
      </c>
      <c r="C1297" s="93"/>
      <c r="D1297" s="92"/>
      <c r="E1297" s="93"/>
      <c r="F1297" s="92"/>
      <c r="G1297" s="93"/>
      <c r="H1297" s="92"/>
      <c r="I1297" s="93"/>
      <c r="J1297" s="92"/>
    </row>
    <row r="1298" spans="1:10" x14ac:dyDescent="0.4">
      <c r="A1298" s="278"/>
      <c r="B1298" s="95" t="s">
        <v>211</v>
      </c>
      <c r="C1298" s="93"/>
      <c r="D1298" s="92"/>
      <c r="E1298" s="93"/>
      <c r="F1298" s="92"/>
      <c r="G1298" s="93"/>
      <c r="H1298" s="92"/>
      <c r="I1298" s="93"/>
      <c r="J1298" s="92"/>
    </row>
    <row r="1299" spans="1:10" x14ac:dyDescent="0.4">
      <c r="A1299" s="278"/>
      <c r="B1299" s="95" t="s">
        <v>212</v>
      </c>
      <c r="C1299" s="93"/>
      <c r="D1299" s="92"/>
      <c r="E1299" s="93"/>
      <c r="F1299" s="92"/>
      <c r="G1299" s="93"/>
      <c r="H1299" s="92"/>
      <c r="I1299" s="93"/>
      <c r="J1299" s="92"/>
    </row>
    <row r="1300" spans="1:10" x14ac:dyDescent="0.4">
      <c r="A1300" s="278"/>
      <c r="B1300" s="95" t="s">
        <v>213</v>
      </c>
      <c r="C1300" s="93"/>
      <c r="D1300" s="92"/>
      <c r="E1300" s="93"/>
      <c r="F1300" s="92"/>
      <c r="G1300" s="93"/>
      <c r="H1300" s="92"/>
      <c r="I1300" s="93"/>
      <c r="J1300" s="92"/>
    </row>
    <row r="1301" spans="1:10" x14ac:dyDescent="0.4">
      <c r="A1301" s="278"/>
      <c r="B1301" s="95" t="s">
        <v>214</v>
      </c>
      <c r="C1301" s="93"/>
      <c r="D1301" s="92"/>
      <c r="E1301" s="93"/>
      <c r="F1301" s="92"/>
      <c r="G1301" s="93"/>
      <c r="H1301" s="92"/>
      <c r="I1301" s="93"/>
      <c r="J1301" s="92"/>
    </row>
    <row r="1302" spans="1:10" x14ac:dyDescent="0.4">
      <c r="A1302" s="278"/>
      <c r="B1302" s="95" t="s">
        <v>215</v>
      </c>
      <c r="C1302" s="93"/>
      <c r="D1302" s="92"/>
      <c r="E1302" s="93"/>
      <c r="F1302" s="92"/>
      <c r="G1302" s="93"/>
      <c r="H1302" s="92"/>
      <c r="I1302" s="93"/>
      <c r="J1302" s="92"/>
    </row>
    <row r="1303" spans="1:10" x14ac:dyDescent="0.4">
      <c r="A1303" s="278"/>
      <c r="B1303" s="95" t="s">
        <v>216</v>
      </c>
      <c r="C1303" s="93"/>
      <c r="D1303" s="92"/>
      <c r="E1303" s="93"/>
      <c r="F1303" s="92"/>
      <c r="G1303" s="93"/>
      <c r="H1303" s="92"/>
      <c r="I1303" s="93"/>
      <c r="J1303" s="92"/>
    </row>
    <row r="1304" spans="1:10" x14ac:dyDescent="0.4">
      <c r="A1304" s="278"/>
      <c r="B1304" s="95" t="s">
        <v>217</v>
      </c>
      <c r="C1304" s="93"/>
      <c r="D1304" s="92"/>
      <c r="E1304" s="93"/>
      <c r="F1304" s="92"/>
      <c r="G1304" s="93"/>
      <c r="H1304" s="92"/>
      <c r="I1304" s="98"/>
      <c r="J1304" s="99"/>
    </row>
    <row r="1305" spans="1:10" x14ac:dyDescent="0.4">
      <c r="A1305" s="278"/>
      <c r="B1305" s="95" t="s">
        <v>218</v>
      </c>
      <c r="C1305" s="93"/>
      <c r="D1305" s="92"/>
      <c r="E1305" s="93"/>
      <c r="F1305" s="92"/>
      <c r="G1305" s="93"/>
      <c r="H1305" s="92"/>
      <c r="I1305" s="98"/>
      <c r="J1305" s="99"/>
    </row>
    <row r="1306" spans="1:10" x14ac:dyDescent="0.4">
      <c r="A1306" s="278"/>
      <c r="B1306" s="95" t="s">
        <v>219</v>
      </c>
      <c r="C1306" s="93"/>
      <c r="D1306" s="92"/>
      <c r="E1306" s="93"/>
      <c r="F1306" s="92"/>
      <c r="G1306" s="93"/>
      <c r="H1306" s="92"/>
      <c r="I1306" s="98"/>
      <c r="J1306" s="99"/>
    </row>
    <row r="1307" spans="1:10" x14ac:dyDescent="0.4">
      <c r="A1307" s="278"/>
      <c r="B1307" s="95" t="s">
        <v>220</v>
      </c>
      <c r="C1307" s="93"/>
      <c r="D1307" s="92"/>
      <c r="E1307" s="93"/>
      <c r="F1307" s="92"/>
      <c r="G1307" s="98"/>
      <c r="H1307" s="99"/>
      <c r="I1307" s="98"/>
      <c r="J1307" s="99"/>
    </row>
    <row r="1308" spans="1:10" x14ac:dyDescent="0.4">
      <c r="A1308" s="278"/>
      <c r="B1308" s="95" t="s">
        <v>294</v>
      </c>
      <c r="C1308" s="93"/>
      <c r="D1308" s="92"/>
      <c r="E1308" s="98"/>
      <c r="F1308" s="99"/>
      <c r="G1308" s="98"/>
      <c r="H1308" s="99"/>
      <c r="I1308" s="98"/>
      <c r="J1308" s="99"/>
    </row>
    <row r="1309" spans="1:10" x14ac:dyDescent="0.4">
      <c r="A1309" s="278"/>
      <c r="B1309" s="95" t="s">
        <v>221</v>
      </c>
      <c r="C1309" s="93"/>
      <c r="D1309" s="92"/>
      <c r="E1309" s="98"/>
      <c r="F1309" s="99"/>
      <c r="G1309" s="98"/>
      <c r="H1309" s="99"/>
      <c r="I1309" s="98"/>
      <c r="J1309" s="99"/>
    </row>
    <row r="1310" spans="1:10" x14ac:dyDescent="0.4">
      <c r="A1310" s="278"/>
      <c r="B1310" s="96" t="s">
        <v>295</v>
      </c>
      <c r="C1310" s="93"/>
      <c r="D1310" s="92"/>
      <c r="E1310" s="93"/>
      <c r="F1310" s="92"/>
      <c r="G1310" s="93"/>
      <c r="H1310" s="92"/>
      <c r="I1310" s="93"/>
      <c r="J1310" s="92"/>
    </row>
    <row r="1311" spans="1:10" x14ac:dyDescent="0.4">
      <c r="A1311" s="278"/>
      <c r="B1311" s="96" t="s">
        <v>222</v>
      </c>
      <c r="C1311" s="93"/>
      <c r="D1311" s="92"/>
      <c r="E1311" s="93"/>
      <c r="F1311" s="92"/>
      <c r="G1311" s="93"/>
      <c r="H1311" s="92"/>
      <c r="I1311" s="93"/>
      <c r="J1311" s="92"/>
    </row>
    <row r="1312" spans="1:10" x14ac:dyDescent="0.4">
      <c r="A1312" s="278"/>
      <c r="B1312" s="96" t="s">
        <v>223</v>
      </c>
      <c r="C1312" s="93"/>
      <c r="D1312" s="92"/>
      <c r="E1312" s="93"/>
      <c r="F1312" s="92"/>
      <c r="G1312" s="93"/>
      <c r="H1312" s="92"/>
      <c r="I1312" s="93"/>
      <c r="J1312" s="92"/>
    </row>
    <row r="1313" spans="1:10" x14ac:dyDescent="0.4">
      <c r="A1313" s="278"/>
      <c r="B1313" s="96" t="s">
        <v>224</v>
      </c>
      <c r="C1313" s="93"/>
      <c r="D1313" s="92"/>
      <c r="E1313" s="93"/>
      <c r="F1313" s="92"/>
      <c r="G1313" s="93"/>
      <c r="H1313" s="92"/>
      <c r="I1313" s="93"/>
      <c r="J1313" s="92"/>
    </row>
    <row r="1314" spans="1:10" x14ac:dyDescent="0.4">
      <c r="A1314" s="278"/>
      <c r="B1314" s="96" t="s">
        <v>225</v>
      </c>
      <c r="C1314" s="93"/>
      <c r="D1314" s="92"/>
      <c r="E1314" s="93"/>
      <c r="F1314" s="92"/>
      <c r="G1314" s="93"/>
      <c r="H1314" s="92"/>
      <c r="I1314" s="93"/>
      <c r="J1314" s="92"/>
    </row>
    <row r="1315" spans="1:10" x14ac:dyDescent="0.4">
      <c r="A1315" s="278"/>
      <c r="B1315" s="96" t="s">
        <v>226</v>
      </c>
      <c r="C1315" s="93"/>
      <c r="D1315" s="92"/>
      <c r="E1315" s="93"/>
      <c r="F1315" s="92"/>
      <c r="G1315" s="93"/>
      <c r="H1315" s="92"/>
      <c r="I1315" s="93"/>
      <c r="J1315" s="92"/>
    </row>
    <row r="1316" spans="1:10" x14ac:dyDescent="0.4">
      <c r="A1316" s="278"/>
      <c r="B1316" s="96" t="s">
        <v>227</v>
      </c>
      <c r="C1316" s="93"/>
      <c r="D1316" s="92"/>
      <c r="E1316" s="93"/>
      <c r="F1316" s="92"/>
      <c r="G1316" s="93"/>
      <c r="H1316" s="92"/>
      <c r="I1316" s="93"/>
      <c r="J1316" s="92"/>
    </row>
    <row r="1317" spans="1:10" x14ac:dyDescent="0.4">
      <c r="A1317" s="278"/>
      <c r="B1317" s="96" t="s">
        <v>228</v>
      </c>
      <c r="C1317" s="93"/>
      <c r="D1317" s="92"/>
      <c r="E1317" s="93"/>
      <c r="F1317" s="92"/>
      <c r="G1317" s="93"/>
      <c r="H1317" s="92"/>
      <c r="I1317" s="93"/>
      <c r="J1317" s="92"/>
    </row>
    <row r="1318" spans="1:10" x14ac:dyDescent="0.4">
      <c r="A1318" s="278"/>
      <c r="B1318" s="96" t="s">
        <v>229</v>
      </c>
      <c r="C1318" s="93"/>
      <c r="D1318" s="92"/>
      <c r="E1318" s="93"/>
      <c r="F1318" s="92"/>
      <c r="G1318" s="98"/>
      <c r="H1318" s="99"/>
      <c r="I1318" s="93"/>
      <c r="J1318" s="92"/>
    </row>
    <row r="1319" spans="1:10" x14ac:dyDescent="0.4">
      <c r="A1319" s="278"/>
      <c r="B1319" s="96" t="s">
        <v>230</v>
      </c>
      <c r="C1319" s="93"/>
      <c r="D1319" s="92"/>
      <c r="E1319" s="93"/>
      <c r="F1319" s="92"/>
      <c r="G1319" s="98"/>
      <c r="H1319" s="99"/>
      <c r="I1319" s="98"/>
      <c r="J1319" s="99"/>
    </row>
    <row r="1320" spans="1:10" x14ac:dyDescent="0.4">
      <c r="A1320" s="278"/>
      <c r="B1320" s="96" t="s">
        <v>231</v>
      </c>
      <c r="C1320" s="93"/>
      <c r="D1320" s="92"/>
      <c r="E1320" s="93"/>
      <c r="F1320" s="92"/>
      <c r="G1320" s="98"/>
      <c r="H1320" s="99"/>
      <c r="I1320" s="98"/>
      <c r="J1320" s="99"/>
    </row>
    <row r="1321" spans="1:10" x14ac:dyDescent="0.4">
      <c r="A1321" s="278"/>
      <c r="B1321" s="96" t="s">
        <v>232</v>
      </c>
      <c r="C1321" s="93"/>
      <c r="D1321" s="92"/>
      <c r="E1321" s="93"/>
      <c r="F1321" s="92"/>
      <c r="G1321" s="98"/>
      <c r="H1321" s="99"/>
      <c r="I1321" s="98"/>
      <c r="J1321" s="99"/>
    </row>
    <row r="1322" spans="1:10" x14ac:dyDescent="0.4">
      <c r="A1322" s="278"/>
      <c r="B1322" s="96" t="s">
        <v>233</v>
      </c>
      <c r="C1322" s="93"/>
      <c r="D1322" s="92"/>
      <c r="E1322" s="93"/>
      <c r="F1322" s="92"/>
      <c r="G1322" s="98"/>
      <c r="H1322" s="99"/>
      <c r="I1322" s="98"/>
      <c r="J1322" s="99"/>
    </row>
    <row r="1323" spans="1:10" x14ac:dyDescent="0.4">
      <c r="A1323" s="278"/>
      <c r="B1323" s="96" t="s">
        <v>234</v>
      </c>
      <c r="C1323" s="93"/>
      <c r="D1323" s="92"/>
      <c r="E1323" s="93"/>
      <c r="F1323" s="92"/>
      <c r="G1323" s="98"/>
      <c r="H1323" s="99"/>
      <c r="I1323" s="98"/>
      <c r="J1323" s="99"/>
    </row>
    <row r="1324" spans="1:10" x14ac:dyDescent="0.4">
      <c r="A1324" s="278"/>
      <c r="B1324" s="96" t="s">
        <v>235</v>
      </c>
      <c r="C1324" s="93"/>
      <c r="D1324" s="92"/>
      <c r="E1324" s="98"/>
      <c r="F1324" s="99"/>
      <c r="G1324" s="98"/>
      <c r="H1324" s="99"/>
      <c r="I1324" s="98"/>
      <c r="J1324" s="99"/>
    </row>
    <row r="1325" spans="1:10" x14ac:dyDescent="0.4">
      <c r="A1325" s="278"/>
      <c r="B1325" s="96" t="s">
        <v>236</v>
      </c>
      <c r="C1325" s="93"/>
      <c r="D1325" s="92"/>
      <c r="E1325" s="98"/>
      <c r="F1325" s="99"/>
      <c r="G1325" s="98"/>
      <c r="H1325" s="99"/>
      <c r="I1325" s="98"/>
      <c r="J1325" s="99"/>
    </row>
    <row r="1326" spans="1:10" x14ac:dyDescent="0.4">
      <c r="A1326" s="278"/>
      <c r="B1326" s="97" t="s">
        <v>296</v>
      </c>
      <c r="C1326" s="93"/>
      <c r="D1326" s="92"/>
      <c r="E1326" s="93"/>
      <c r="F1326" s="92"/>
      <c r="G1326" s="93"/>
      <c r="H1326" s="92"/>
      <c r="I1326" s="93"/>
      <c r="J1326" s="92"/>
    </row>
    <row r="1327" spans="1:10" x14ac:dyDescent="0.4">
      <c r="A1327" s="278"/>
      <c r="B1327" s="97" t="s">
        <v>237</v>
      </c>
      <c r="C1327" s="93"/>
      <c r="D1327" s="92"/>
      <c r="E1327" s="93"/>
      <c r="F1327" s="92"/>
      <c r="G1327" s="93"/>
      <c r="H1327" s="92"/>
      <c r="I1327" s="93"/>
      <c r="J1327" s="92"/>
    </row>
    <row r="1328" spans="1:10" x14ac:dyDescent="0.4">
      <c r="A1328" s="278"/>
      <c r="B1328" s="97" t="s">
        <v>238</v>
      </c>
      <c r="C1328" s="93"/>
      <c r="D1328" s="92"/>
      <c r="E1328" s="93"/>
      <c r="F1328" s="92"/>
      <c r="G1328" s="93"/>
      <c r="H1328" s="92"/>
      <c r="I1328" s="93"/>
      <c r="J1328" s="92"/>
    </row>
    <row r="1329" spans="1:10" x14ac:dyDescent="0.4">
      <c r="A1329" s="278"/>
      <c r="B1329" s="97" t="s">
        <v>239</v>
      </c>
      <c r="C1329" s="93"/>
      <c r="D1329" s="92"/>
      <c r="E1329" s="93"/>
      <c r="F1329" s="92"/>
      <c r="G1329" s="93"/>
      <c r="H1329" s="92"/>
      <c r="I1329" s="93"/>
      <c r="J1329" s="92"/>
    </row>
    <row r="1330" spans="1:10" x14ac:dyDescent="0.4">
      <c r="A1330" s="278"/>
      <c r="B1330" s="97" t="s">
        <v>240</v>
      </c>
      <c r="C1330" s="93"/>
      <c r="D1330" s="92"/>
      <c r="E1330" s="93"/>
      <c r="F1330" s="92"/>
      <c r="G1330" s="93"/>
      <c r="H1330" s="92"/>
      <c r="I1330" s="93"/>
      <c r="J1330" s="92"/>
    </row>
    <row r="1331" spans="1:10" x14ac:dyDescent="0.4">
      <c r="A1331" s="278"/>
      <c r="B1331" s="97" t="s">
        <v>241</v>
      </c>
      <c r="C1331" s="93"/>
      <c r="D1331" s="92"/>
      <c r="E1331" s="93"/>
      <c r="F1331" s="92"/>
      <c r="G1331" s="93"/>
      <c r="H1331" s="92"/>
      <c r="I1331" s="93"/>
      <c r="J1331" s="92"/>
    </row>
    <row r="1332" spans="1:10" x14ac:dyDescent="0.4">
      <c r="A1332" s="278"/>
      <c r="B1332" s="97" t="s">
        <v>242</v>
      </c>
      <c r="C1332" s="93"/>
      <c r="D1332" s="92"/>
      <c r="E1332" s="93"/>
      <c r="F1332" s="92"/>
      <c r="G1332" s="93"/>
      <c r="H1332" s="92"/>
      <c r="I1332" s="93"/>
      <c r="J1332" s="92"/>
    </row>
    <row r="1333" spans="1:10" x14ac:dyDescent="0.4">
      <c r="A1333" s="278"/>
      <c r="B1333" s="97" t="s">
        <v>243</v>
      </c>
      <c r="C1333" s="93"/>
      <c r="D1333" s="92"/>
      <c r="E1333" s="93"/>
      <c r="F1333" s="92"/>
      <c r="G1333" s="93"/>
      <c r="H1333" s="92"/>
      <c r="I1333" s="93"/>
      <c r="J1333" s="92"/>
    </row>
    <row r="1334" spans="1:10" x14ac:dyDescent="0.4">
      <c r="A1334" s="278"/>
      <c r="B1334" s="97" t="s">
        <v>244</v>
      </c>
      <c r="C1334" s="93"/>
      <c r="D1334" s="92"/>
      <c r="E1334" s="93"/>
      <c r="F1334" s="92"/>
      <c r="G1334" s="93"/>
      <c r="H1334" s="92"/>
      <c r="I1334" s="98"/>
      <c r="J1334" s="99"/>
    </row>
    <row r="1335" spans="1:10" x14ac:dyDescent="0.4">
      <c r="A1335" s="278"/>
      <c r="B1335" s="97" t="s">
        <v>245</v>
      </c>
      <c r="C1335" s="93"/>
      <c r="D1335" s="92"/>
      <c r="E1335" s="93"/>
      <c r="F1335" s="92"/>
      <c r="G1335" s="93"/>
      <c r="H1335" s="92"/>
      <c r="I1335" s="98"/>
      <c r="J1335" s="99"/>
    </row>
    <row r="1336" spans="1:10" x14ac:dyDescent="0.4">
      <c r="A1336" s="278"/>
      <c r="B1336" s="97" t="s">
        <v>246</v>
      </c>
      <c r="C1336" s="98"/>
      <c r="D1336" s="99"/>
      <c r="E1336" s="93"/>
      <c r="F1336" s="92"/>
      <c r="G1336" s="93"/>
      <c r="H1336" s="92"/>
      <c r="I1336" s="98"/>
      <c r="J1336" s="99"/>
    </row>
    <row r="1337" spans="1:10" x14ac:dyDescent="0.4">
      <c r="A1337" s="278"/>
      <c r="B1337" s="97" t="s">
        <v>247</v>
      </c>
      <c r="C1337" s="98"/>
      <c r="D1337" s="99"/>
      <c r="E1337" s="93"/>
      <c r="F1337" s="92"/>
      <c r="G1337" s="93"/>
      <c r="H1337" s="92"/>
      <c r="I1337" s="98"/>
      <c r="J1337" s="99"/>
    </row>
    <row r="1338" spans="1:10" x14ac:dyDescent="0.4">
      <c r="A1338" s="278"/>
      <c r="B1338" s="97" t="s">
        <v>248</v>
      </c>
      <c r="C1338" s="98"/>
      <c r="D1338" s="99"/>
      <c r="E1338" s="98"/>
      <c r="F1338" s="99"/>
      <c r="G1338" s="93"/>
      <c r="H1338" s="92"/>
      <c r="I1338" s="98"/>
      <c r="J1338" s="99"/>
    </row>
    <row r="1339" spans="1:10" x14ac:dyDescent="0.4">
      <c r="A1339" s="278"/>
      <c r="B1339" s="94" t="s">
        <v>297</v>
      </c>
      <c r="C1339" s="98"/>
      <c r="D1339" s="99"/>
      <c r="E1339" s="98"/>
      <c r="F1339" s="99"/>
      <c r="G1339" s="98"/>
      <c r="H1339" s="99"/>
      <c r="I1339" s="93"/>
      <c r="J1339" s="92"/>
    </row>
    <row r="1340" spans="1:10" x14ac:dyDescent="0.4">
      <c r="A1340" s="278"/>
      <c r="B1340" s="94" t="s">
        <v>249</v>
      </c>
      <c r="C1340" s="98"/>
      <c r="D1340" s="99"/>
      <c r="E1340" s="98"/>
      <c r="F1340" s="99"/>
      <c r="G1340" s="98"/>
      <c r="H1340" s="99"/>
      <c r="I1340" s="93"/>
      <c r="J1340" s="92"/>
    </row>
    <row r="1341" spans="1:10" x14ac:dyDescent="0.4">
      <c r="A1341" s="278"/>
      <c r="B1341" s="94" t="s">
        <v>250</v>
      </c>
      <c r="C1341" s="98"/>
      <c r="D1341" s="99"/>
      <c r="E1341" s="98"/>
      <c r="F1341" s="99"/>
      <c r="G1341" s="98"/>
      <c r="H1341" s="99"/>
      <c r="I1341" s="93"/>
      <c r="J1341" s="92"/>
    </row>
    <row r="1342" spans="1:10" x14ac:dyDescent="0.4">
      <c r="A1342" s="278"/>
      <c r="B1342" s="94" t="s">
        <v>251</v>
      </c>
      <c r="C1342" s="98"/>
      <c r="D1342" s="99"/>
      <c r="E1342" s="98"/>
      <c r="F1342" s="99"/>
      <c r="G1342" s="98"/>
      <c r="H1342" s="99"/>
      <c r="I1342" s="93"/>
      <c r="J1342" s="92"/>
    </row>
    <row r="1343" spans="1:10" x14ac:dyDescent="0.4">
      <c r="A1343" s="278"/>
      <c r="B1343" s="94" t="s">
        <v>252</v>
      </c>
      <c r="C1343" s="98"/>
      <c r="D1343" s="99"/>
      <c r="E1343" s="98"/>
      <c r="F1343" s="99"/>
      <c r="G1343" s="98"/>
      <c r="H1343" s="99"/>
      <c r="I1343" s="93"/>
      <c r="J1343" s="92"/>
    </row>
    <row r="1344" spans="1:10" x14ac:dyDescent="0.4">
      <c r="A1344" s="278"/>
      <c r="B1344" s="94" t="s">
        <v>253</v>
      </c>
      <c r="C1344" s="98"/>
      <c r="D1344" s="99"/>
      <c r="E1344" s="98"/>
      <c r="F1344" s="99"/>
      <c r="G1344" s="98"/>
      <c r="H1344" s="99"/>
      <c r="I1344" s="93"/>
      <c r="J1344" s="92"/>
    </row>
    <row r="1345" spans="1:11" x14ac:dyDescent="0.4">
      <c r="A1345" s="278"/>
      <c r="B1345" s="94" t="s">
        <v>254</v>
      </c>
      <c r="C1345" s="98"/>
      <c r="D1345" s="99"/>
      <c r="E1345" s="98"/>
      <c r="F1345" s="99"/>
      <c r="G1345" s="98"/>
      <c r="H1345" s="99"/>
      <c r="I1345" s="93"/>
      <c r="J1345" s="92"/>
    </row>
    <row r="1346" spans="1:11" x14ac:dyDescent="0.4">
      <c r="A1346" s="278"/>
      <c r="B1346" s="94" t="s">
        <v>255</v>
      </c>
      <c r="C1346" s="98"/>
      <c r="D1346" s="99"/>
      <c r="E1346" s="98"/>
      <c r="F1346" s="99"/>
      <c r="G1346" s="98"/>
      <c r="H1346" s="99"/>
      <c r="I1346" s="93"/>
      <c r="J1346" s="92"/>
    </row>
    <row r="1347" spans="1:11" x14ac:dyDescent="0.4">
      <c r="A1347" s="278"/>
      <c r="B1347" s="94" t="s">
        <v>256</v>
      </c>
      <c r="C1347" s="98"/>
      <c r="D1347" s="99"/>
      <c r="E1347" s="98"/>
      <c r="F1347" s="99"/>
      <c r="G1347" s="98"/>
      <c r="H1347" s="99"/>
      <c r="I1347" s="93"/>
      <c r="J1347" s="92"/>
    </row>
    <row r="1348" spans="1:11" x14ac:dyDescent="0.4">
      <c r="A1348" s="278"/>
      <c r="B1348" s="94" t="s">
        <v>257</v>
      </c>
      <c r="C1348" s="98"/>
      <c r="D1348" s="99"/>
      <c r="E1348" s="98"/>
      <c r="F1348" s="99"/>
      <c r="G1348" s="98"/>
      <c r="H1348" s="99"/>
      <c r="I1348" s="93"/>
      <c r="J1348" s="92"/>
    </row>
    <row r="1349" spans="1:11" x14ac:dyDescent="0.4">
      <c r="A1349" s="278"/>
      <c r="B1349" s="94" t="s">
        <v>258</v>
      </c>
      <c r="C1349" s="98"/>
      <c r="D1349" s="99"/>
      <c r="E1349" s="98"/>
      <c r="F1349" s="99"/>
      <c r="G1349" s="98"/>
      <c r="H1349" s="99"/>
      <c r="I1349" s="93"/>
      <c r="J1349" s="92"/>
    </row>
    <row r="1350" spans="1:11" x14ac:dyDescent="0.4">
      <c r="A1350" s="279"/>
      <c r="B1350" s="94" t="s">
        <v>259</v>
      </c>
      <c r="C1350" s="98"/>
      <c r="D1350" s="99"/>
      <c r="E1350" s="98"/>
      <c r="F1350" s="99"/>
      <c r="G1350" s="98"/>
      <c r="H1350" s="99"/>
      <c r="I1350" s="93"/>
      <c r="J1350" s="92"/>
    </row>
    <row r="1351" spans="1:11" x14ac:dyDescent="0.4">
      <c r="A1351" s="115" t="s">
        <v>263</v>
      </c>
      <c r="B1351" s="116" t="e">
        <f>SUM(C1351,E1351,G1351,I1351)</f>
        <v>#DIV/0!</v>
      </c>
      <c r="C1351" s="103" t="e">
        <f>AVERAGE(C1278:C1290,C1294:C1335)</f>
        <v>#DIV/0!</v>
      </c>
      <c r="D1351" s="103" t="e">
        <f>AVERAGE(D1278:D1290,D1294:D1335)</f>
        <v>#DIV/0!</v>
      </c>
      <c r="E1351" s="103" t="e">
        <f>AVERAGE(E1278:E1286,E1294:E1307,E1310:E1323,E1326:E1337)</f>
        <v>#DIV/0!</v>
      </c>
      <c r="F1351" s="103" t="e">
        <f>AVERAGE(F1278:F1286,F1294:F1307,F1310:F1323,F1326:F1337)</f>
        <v>#DIV/0!</v>
      </c>
      <c r="G1351" s="103" t="e">
        <f>AVERAGE(G1278:G1306,G1310:G1317,G1326:G1338)</f>
        <v>#DIV/0!</v>
      </c>
      <c r="H1351" s="103" t="e">
        <f>AVERAGE(H1278:H1306,H1310:H1317,H1326:H1338)</f>
        <v>#DIV/0!</v>
      </c>
      <c r="I1351" s="103" t="e">
        <f>AVERAGE(I1278:I1285,I1294:I1303,I1310:I1318,I1326:I1333,I1339:I1350)</f>
        <v>#DIV/0!</v>
      </c>
      <c r="J1351" s="103" t="e">
        <f>AVERAGE(J1278:J1285,J1294:J1303,J1310:J1318,J1326:J1333,J1339:J1350)</f>
        <v>#DIV/0!</v>
      </c>
    </row>
    <row r="1352" spans="1:11" x14ac:dyDescent="0.4">
      <c r="A1352" s="115" t="s">
        <v>264</v>
      </c>
      <c r="B1352" s="116" t="e">
        <f>SUM(D1351,F1351,H1351,J1351)</f>
        <v>#DIV/0!</v>
      </c>
      <c r="C1352" s="63" t="s">
        <v>265</v>
      </c>
      <c r="D1352" s="117" t="s">
        <v>266</v>
      </c>
      <c r="E1352" s="63" t="s">
        <v>265</v>
      </c>
      <c r="F1352" s="117" t="s">
        <v>266</v>
      </c>
      <c r="G1352" s="63" t="s">
        <v>265</v>
      </c>
      <c r="H1352" s="117" t="s">
        <v>266</v>
      </c>
      <c r="I1352" s="63" t="s">
        <v>265</v>
      </c>
      <c r="J1352" s="117" t="s">
        <v>266</v>
      </c>
    </row>
    <row r="1355" spans="1:11" x14ac:dyDescent="0.4">
      <c r="A1355" s="280" t="s">
        <v>107</v>
      </c>
      <c r="B1355" s="280"/>
      <c r="C1355" s="280"/>
      <c r="D1355" s="280"/>
      <c r="E1355" s="280"/>
      <c r="F1355" s="280"/>
      <c r="G1355" s="280"/>
      <c r="H1355" s="280"/>
      <c r="I1355" s="280"/>
      <c r="J1355" s="281"/>
      <c r="K1355" s="108">
        <v>9</v>
      </c>
    </row>
    <row r="1356" spans="1:11" ht="34.799999999999997" x14ac:dyDescent="0.4">
      <c r="A1356" s="73" t="s">
        <v>267</v>
      </c>
      <c r="B1356" s="73" t="s">
        <v>268</v>
      </c>
      <c r="C1356" s="73" t="s">
        <v>269</v>
      </c>
      <c r="D1356" s="73" t="s">
        <v>108</v>
      </c>
      <c r="E1356" s="73" t="s">
        <v>109</v>
      </c>
      <c r="F1356" s="74" t="s">
        <v>270</v>
      </c>
      <c r="G1356" s="73" t="s">
        <v>110</v>
      </c>
      <c r="H1356" s="73" t="s">
        <v>111</v>
      </c>
      <c r="I1356" s="73" t="s">
        <v>112</v>
      </c>
      <c r="J1356" s="73" t="s">
        <v>113</v>
      </c>
    </row>
    <row r="1357" spans="1:11" x14ac:dyDescent="0.4">
      <c r="A1357" s="282" t="s">
        <v>271</v>
      </c>
      <c r="B1357" s="86" t="s">
        <v>114</v>
      </c>
      <c r="C1357" s="75" t="s">
        <v>272</v>
      </c>
      <c r="D1357" s="76">
        <v>1</v>
      </c>
      <c r="E1357" s="77">
        <v>1</v>
      </c>
      <c r="F1357" s="274" t="s">
        <v>273</v>
      </c>
      <c r="G1357" s="75">
        <v>105.48</v>
      </c>
      <c r="H1357" s="66"/>
      <c r="I1357" s="67"/>
      <c r="J1357" s="67"/>
    </row>
    <row r="1358" spans="1:11" x14ac:dyDescent="0.4">
      <c r="A1358" s="283"/>
      <c r="B1358" s="86" t="s">
        <v>115</v>
      </c>
      <c r="C1358" s="75" t="s">
        <v>274</v>
      </c>
      <c r="D1358" s="76">
        <v>1</v>
      </c>
      <c r="E1358" s="77">
        <v>1</v>
      </c>
      <c r="F1358" s="275"/>
      <c r="G1358" s="75">
        <v>105.48</v>
      </c>
      <c r="H1358" s="66"/>
      <c r="I1358" s="67"/>
      <c r="J1358" s="67"/>
    </row>
    <row r="1359" spans="1:11" x14ac:dyDescent="0.4">
      <c r="A1359" s="283"/>
      <c r="B1359" s="86" t="s">
        <v>116</v>
      </c>
      <c r="C1359" s="75" t="s">
        <v>117</v>
      </c>
      <c r="D1359" s="76">
        <v>1</v>
      </c>
      <c r="E1359" s="77">
        <v>1</v>
      </c>
      <c r="F1359" s="78"/>
      <c r="G1359" s="75">
        <v>105.48</v>
      </c>
      <c r="H1359" s="66"/>
      <c r="I1359" s="67"/>
      <c r="J1359" s="67"/>
    </row>
    <row r="1360" spans="1:11" x14ac:dyDescent="0.4">
      <c r="A1360" s="284"/>
      <c r="B1360" s="86" t="s">
        <v>118</v>
      </c>
      <c r="C1360" s="75" t="s">
        <v>119</v>
      </c>
      <c r="D1360" s="76">
        <v>1</v>
      </c>
      <c r="E1360" s="77">
        <v>1</v>
      </c>
      <c r="F1360" s="78"/>
      <c r="G1360" s="75">
        <v>105.48</v>
      </c>
      <c r="H1360" s="66"/>
      <c r="I1360" s="67"/>
      <c r="J1360" s="67"/>
    </row>
    <row r="1361" spans="1:10" x14ac:dyDescent="0.4">
      <c r="A1361" s="282" t="s">
        <v>275</v>
      </c>
      <c r="B1361" s="86" t="s">
        <v>120</v>
      </c>
      <c r="C1361" s="75" t="s">
        <v>276</v>
      </c>
      <c r="D1361" s="76">
        <v>1</v>
      </c>
      <c r="E1361" s="77">
        <v>1</v>
      </c>
      <c r="F1361" s="274" t="s">
        <v>273</v>
      </c>
      <c r="G1361" s="75">
        <v>105.48</v>
      </c>
      <c r="H1361" s="66"/>
      <c r="I1361" s="67"/>
      <c r="J1361" s="67"/>
    </row>
    <row r="1362" spans="1:10" x14ac:dyDescent="0.4">
      <c r="A1362" s="283"/>
      <c r="B1362" s="86" t="s">
        <v>121</v>
      </c>
      <c r="C1362" s="75" t="s">
        <v>277</v>
      </c>
      <c r="D1362" s="76">
        <v>1</v>
      </c>
      <c r="E1362" s="77">
        <v>1</v>
      </c>
      <c r="F1362" s="275"/>
      <c r="G1362" s="75">
        <v>105.48</v>
      </c>
      <c r="H1362" s="66"/>
      <c r="I1362" s="67"/>
      <c r="J1362" s="67"/>
    </row>
    <row r="1363" spans="1:10" x14ac:dyDescent="0.4">
      <c r="A1363" s="283"/>
      <c r="B1363" s="86" t="s">
        <v>122</v>
      </c>
      <c r="C1363" s="75" t="s">
        <v>123</v>
      </c>
      <c r="D1363" s="76">
        <v>1</v>
      </c>
      <c r="E1363" s="77">
        <v>1</v>
      </c>
      <c r="F1363" s="275"/>
      <c r="G1363" s="75">
        <v>105.48</v>
      </c>
      <c r="H1363" s="66"/>
      <c r="I1363" s="67"/>
      <c r="J1363" s="67"/>
    </row>
    <row r="1364" spans="1:10" x14ac:dyDescent="0.4">
      <c r="A1364" s="283"/>
      <c r="B1364" s="86" t="s">
        <v>124</v>
      </c>
      <c r="C1364" s="75" t="s">
        <v>125</v>
      </c>
      <c r="D1364" s="76">
        <v>1</v>
      </c>
      <c r="E1364" s="77">
        <v>1</v>
      </c>
      <c r="F1364" s="275"/>
      <c r="G1364" s="75">
        <v>105.48</v>
      </c>
      <c r="H1364" s="66"/>
      <c r="I1364" s="67"/>
      <c r="J1364" s="67"/>
    </row>
    <row r="1365" spans="1:10" x14ac:dyDescent="0.4">
      <c r="A1365" s="283"/>
      <c r="B1365" s="86" t="s">
        <v>126</v>
      </c>
      <c r="C1365" s="75" t="s">
        <v>278</v>
      </c>
      <c r="D1365" s="76">
        <v>1</v>
      </c>
      <c r="E1365" s="77">
        <v>1</v>
      </c>
      <c r="F1365" s="78"/>
      <c r="G1365" s="75">
        <v>70.319999999999993</v>
      </c>
      <c r="H1365" s="66"/>
      <c r="I1365" s="67"/>
      <c r="J1365" s="67"/>
    </row>
    <row r="1366" spans="1:10" x14ac:dyDescent="0.4">
      <c r="A1366" s="283"/>
      <c r="B1366" s="86" t="s">
        <v>127</v>
      </c>
      <c r="C1366" s="75" t="s">
        <v>128</v>
      </c>
      <c r="D1366" s="76">
        <v>1</v>
      </c>
      <c r="E1366" s="77">
        <v>1</v>
      </c>
      <c r="F1366" s="78"/>
      <c r="G1366" s="75">
        <v>70.319999999999993</v>
      </c>
      <c r="H1366" s="66"/>
      <c r="I1366" s="67"/>
      <c r="J1366" s="67"/>
    </row>
    <row r="1367" spans="1:10" x14ac:dyDescent="0.4">
      <c r="A1367" s="284"/>
      <c r="B1367" s="86" t="s">
        <v>129</v>
      </c>
      <c r="C1367" s="75" t="s">
        <v>130</v>
      </c>
      <c r="D1367" s="76">
        <v>1</v>
      </c>
      <c r="E1367" s="77">
        <v>1</v>
      </c>
      <c r="F1367" s="78"/>
      <c r="G1367" s="75">
        <v>70.319999999999993</v>
      </c>
      <c r="H1367" s="66"/>
      <c r="I1367" s="67"/>
      <c r="J1367" s="67"/>
    </row>
    <row r="1368" spans="1:10" x14ac:dyDescent="0.4">
      <c r="A1368" s="273" t="s">
        <v>279</v>
      </c>
      <c r="B1368" s="86" t="s">
        <v>131</v>
      </c>
      <c r="C1368" s="75" t="s">
        <v>280</v>
      </c>
      <c r="D1368" s="76">
        <v>1</v>
      </c>
      <c r="E1368" s="77">
        <v>1</v>
      </c>
      <c r="F1368" s="274" t="s">
        <v>273</v>
      </c>
      <c r="G1368" s="75">
        <v>105.48</v>
      </c>
      <c r="H1368" s="66"/>
      <c r="I1368" s="67"/>
      <c r="J1368" s="67"/>
    </row>
    <row r="1369" spans="1:10" x14ac:dyDescent="0.4">
      <c r="A1369" s="273"/>
      <c r="B1369" s="86" t="s">
        <v>132</v>
      </c>
      <c r="C1369" s="75" t="s">
        <v>133</v>
      </c>
      <c r="D1369" s="76">
        <v>1</v>
      </c>
      <c r="E1369" s="77">
        <v>1</v>
      </c>
      <c r="F1369" s="275"/>
      <c r="G1369" s="75">
        <v>105.48</v>
      </c>
      <c r="H1369" s="66"/>
      <c r="I1369" s="67"/>
      <c r="J1369" s="67"/>
    </row>
    <row r="1370" spans="1:10" x14ac:dyDescent="0.4">
      <c r="A1370" s="273"/>
      <c r="B1370" s="86" t="s">
        <v>134</v>
      </c>
      <c r="C1370" s="75" t="s">
        <v>135</v>
      </c>
      <c r="D1370" s="76">
        <v>1</v>
      </c>
      <c r="E1370" s="77">
        <v>1</v>
      </c>
      <c r="F1370" s="275"/>
      <c r="G1370" s="79">
        <v>105.48</v>
      </c>
      <c r="H1370" s="66"/>
      <c r="I1370" s="67"/>
      <c r="J1370" s="67"/>
    </row>
    <row r="1371" spans="1:10" x14ac:dyDescent="0.4">
      <c r="A1371" s="273"/>
      <c r="B1371" s="86" t="s">
        <v>136</v>
      </c>
      <c r="C1371" s="75" t="s">
        <v>137</v>
      </c>
      <c r="D1371" s="76">
        <v>1</v>
      </c>
      <c r="E1371" s="77">
        <v>1</v>
      </c>
      <c r="F1371" s="275"/>
      <c r="G1371" s="79">
        <v>105.48</v>
      </c>
      <c r="H1371" s="66"/>
      <c r="I1371" s="67"/>
      <c r="J1371" s="67"/>
    </row>
    <row r="1372" spans="1:10" x14ac:dyDescent="0.4">
      <c r="A1372" s="273"/>
      <c r="B1372" s="86" t="s">
        <v>138</v>
      </c>
      <c r="C1372" s="75" t="s">
        <v>281</v>
      </c>
      <c r="D1372" s="76">
        <v>0</v>
      </c>
      <c r="E1372" s="77">
        <v>1</v>
      </c>
      <c r="F1372" s="274" t="s">
        <v>282</v>
      </c>
      <c r="G1372" s="75">
        <v>32.549999999999997</v>
      </c>
      <c r="H1372" s="68"/>
      <c r="I1372" s="68"/>
      <c r="J1372" s="68"/>
    </row>
    <row r="1373" spans="1:10" x14ac:dyDescent="0.4">
      <c r="A1373" s="273"/>
      <c r="B1373" s="86" t="s">
        <v>139</v>
      </c>
      <c r="C1373" s="75" t="s">
        <v>140</v>
      </c>
      <c r="D1373" s="76">
        <v>0</v>
      </c>
      <c r="E1373" s="77">
        <v>1</v>
      </c>
      <c r="F1373" s="276"/>
      <c r="G1373" s="75">
        <v>32.549999999999997</v>
      </c>
      <c r="H1373" s="69"/>
      <c r="I1373" s="69"/>
      <c r="J1373" s="69"/>
    </row>
    <row r="1374" spans="1:10" x14ac:dyDescent="0.4">
      <c r="A1374" s="273"/>
      <c r="B1374" s="86" t="s">
        <v>141</v>
      </c>
      <c r="C1374" s="75" t="s">
        <v>283</v>
      </c>
      <c r="D1374" s="76">
        <v>0</v>
      </c>
      <c r="E1374" s="77">
        <v>1</v>
      </c>
      <c r="F1374" s="274" t="s">
        <v>282</v>
      </c>
      <c r="G1374" s="75">
        <v>32.549999999999997</v>
      </c>
      <c r="H1374" s="69"/>
      <c r="I1374" s="69"/>
      <c r="J1374" s="69"/>
    </row>
    <row r="1375" spans="1:10" x14ac:dyDescent="0.4">
      <c r="A1375" s="273"/>
      <c r="B1375" s="86" t="s">
        <v>142</v>
      </c>
      <c r="C1375" s="75" t="s">
        <v>143</v>
      </c>
      <c r="D1375" s="76">
        <v>1</v>
      </c>
      <c r="E1375" s="77">
        <v>1</v>
      </c>
      <c r="F1375" s="275"/>
      <c r="G1375" s="75">
        <v>32.549999999999997</v>
      </c>
      <c r="H1375" s="70"/>
      <c r="I1375" s="70"/>
      <c r="J1375" s="70"/>
    </row>
    <row r="1376" spans="1:10" x14ac:dyDescent="0.4">
      <c r="A1376" s="273"/>
      <c r="B1376" s="86" t="s">
        <v>144</v>
      </c>
      <c r="C1376" s="75" t="s">
        <v>145</v>
      </c>
      <c r="D1376" s="76">
        <v>0</v>
      </c>
      <c r="E1376" s="77">
        <v>1</v>
      </c>
      <c r="F1376" s="275"/>
      <c r="G1376" s="75">
        <v>32.549999999999997</v>
      </c>
      <c r="H1376" s="69"/>
      <c r="I1376" s="69"/>
      <c r="J1376" s="69"/>
    </row>
    <row r="1377" spans="1:10" x14ac:dyDescent="0.4">
      <c r="A1377" s="273"/>
      <c r="B1377" s="86" t="s">
        <v>146</v>
      </c>
      <c r="C1377" s="75" t="s">
        <v>147</v>
      </c>
      <c r="D1377" s="76">
        <v>1</v>
      </c>
      <c r="E1377" s="77">
        <v>1</v>
      </c>
      <c r="F1377" s="275"/>
      <c r="G1377" s="75">
        <v>32.549999999999997</v>
      </c>
      <c r="H1377" s="70"/>
      <c r="I1377" s="70"/>
      <c r="J1377" s="70"/>
    </row>
    <row r="1378" spans="1:10" x14ac:dyDescent="0.4">
      <c r="A1378" s="273"/>
      <c r="B1378" s="86" t="s">
        <v>148</v>
      </c>
      <c r="C1378" s="75" t="s">
        <v>149</v>
      </c>
      <c r="D1378" s="76">
        <v>0</v>
      </c>
      <c r="E1378" s="77">
        <v>1</v>
      </c>
      <c r="F1378" s="275"/>
      <c r="G1378" s="75">
        <v>32.549999999999997</v>
      </c>
      <c r="H1378" s="70"/>
      <c r="I1378" s="70"/>
      <c r="J1378" s="70"/>
    </row>
    <row r="1379" spans="1:10" x14ac:dyDescent="0.4">
      <c r="A1379" s="273"/>
      <c r="B1379" s="86" t="s">
        <v>150</v>
      </c>
      <c r="C1379" s="75" t="s">
        <v>151</v>
      </c>
      <c r="D1379" s="76">
        <v>1</v>
      </c>
      <c r="E1379" s="77">
        <v>1</v>
      </c>
      <c r="F1379" s="275"/>
      <c r="G1379" s="75">
        <v>32.549999999999997</v>
      </c>
      <c r="H1379" s="70"/>
      <c r="I1379" s="70"/>
      <c r="J1379" s="70"/>
    </row>
    <row r="1380" spans="1:10" x14ac:dyDescent="0.4">
      <c r="A1380" s="273"/>
      <c r="B1380" s="86" t="s">
        <v>152</v>
      </c>
      <c r="C1380" s="75" t="s">
        <v>153</v>
      </c>
      <c r="D1380" s="76">
        <v>0</v>
      </c>
      <c r="E1380" s="77">
        <v>1</v>
      </c>
      <c r="F1380" s="275"/>
      <c r="G1380" s="75">
        <v>32.549999999999997</v>
      </c>
      <c r="H1380" s="69"/>
      <c r="I1380" s="69"/>
      <c r="J1380" s="69"/>
    </row>
    <row r="1381" spans="1:10" x14ac:dyDescent="0.4">
      <c r="A1381" s="273"/>
      <c r="B1381" s="86" t="s">
        <v>154</v>
      </c>
      <c r="C1381" s="75" t="s">
        <v>155</v>
      </c>
      <c r="D1381" s="76">
        <v>0</v>
      </c>
      <c r="E1381" s="77">
        <v>1</v>
      </c>
      <c r="F1381" s="275"/>
      <c r="G1381" s="75">
        <v>32.549999999999997</v>
      </c>
      <c r="H1381" s="69"/>
      <c r="I1381" s="69"/>
      <c r="J1381" s="69"/>
    </row>
    <row r="1382" spans="1:10" x14ac:dyDescent="0.4">
      <c r="A1382" s="273"/>
      <c r="B1382" s="86" t="s">
        <v>156</v>
      </c>
      <c r="C1382" s="75" t="s">
        <v>157</v>
      </c>
      <c r="D1382" s="76">
        <v>0</v>
      </c>
      <c r="E1382" s="77">
        <v>1</v>
      </c>
      <c r="F1382" s="275"/>
      <c r="G1382" s="75">
        <v>32.549999999999997</v>
      </c>
      <c r="H1382" s="69"/>
      <c r="I1382" s="69"/>
      <c r="J1382" s="69"/>
    </row>
    <row r="1383" spans="1:10" x14ac:dyDescent="0.4">
      <c r="A1383" s="273"/>
      <c r="B1383" s="86" t="s">
        <v>158</v>
      </c>
      <c r="C1383" s="75" t="s">
        <v>159</v>
      </c>
      <c r="D1383" s="76">
        <v>0</v>
      </c>
      <c r="E1383" s="77">
        <v>1</v>
      </c>
      <c r="F1383" s="275"/>
      <c r="G1383" s="75">
        <v>32.549999999999997</v>
      </c>
      <c r="H1383" s="69"/>
      <c r="I1383" s="69"/>
      <c r="J1383" s="69"/>
    </row>
    <row r="1384" spans="1:10" x14ac:dyDescent="0.4">
      <c r="A1384" s="273"/>
      <c r="B1384" s="86" t="s">
        <v>160</v>
      </c>
      <c r="C1384" s="75" t="s">
        <v>161</v>
      </c>
      <c r="D1384" s="76">
        <v>0</v>
      </c>
      <c r="E1384" s="77">
        <v>1</v>
      </c>
      <c r="F1384" s="275"/>
      <c r="G1384" s="75">
        <v>32.549999999999997</v>
      </c>
      <c r="H1384" s="69"/>
      <c r="I1384" s="69"/>
      <c r="J1384" s="69"/>
    </row>
    <row r="1385" spans="1:10" x14ac:dyDescent="0.4">
      <c r="A1385" s="273"/>
      <c r="B1385" s="86" t="s">
        <v>162</v>
      </c>
      <c r="C1385" s="75" t="s">
        <v>163</v>
      </c>
      <c r="D1385" s="76">
        <v>0</v>
      </c>
      <c r="E1385" s="77">
        <v>1</v>
      </c>
      <c r="F1385" s="276"/>
      <c r="G1385" s="75">
        <v>32.549999999999997</v>
      </c>
      <c r="H1385" s="69"/>
      <c r="I1385" s="69"/>
      <c r="J1385" s="69"/>
    </row>
    <row r="1386" spans="1:10" x14ac:dyDescent="0.4">
      <c r="A1386" s="273"/>
      <c r="B1386" s="86" t="s">
        <v>164</v>
      </c>
      <c r="C1386" s="75" t="s">
        <v>284</v>
      </c>
      <c r="D1386" s="76">
        <v>0</v>
      </c>
      <c r="E1386" s="77">
        <v>1</v>
      </c>
      <c r="F1386" s="274" t="s">
        <v>282</v>
      </c>
      <c r="G1386" s="75">
        <v>24.4</v>
      </c>
      <c r="H1386" s="69"/>
      <c r="I1386" s="69"/>
      <c r="J1386" s="69"/>
    </row>
    <row r="1387" spans="1:10" x14ac:dyDescent="0.4">
      <c r="A1387" s="273"/>
      <c r="B1387" s="86" t="s">
        <v>165</v>
      </c>
      <c r="C1387" s="75" t="s">
        <v>166</v>
      </c>
      <c r="D1387" s="76">
        <v>0</v>
      </c>
      <c r="E1387" s="77">
        <v>1</v>
      </c>
      <c r="F1387" s="276"/>
      <c r="G1387" s="75">
        <v>24.4</v>
      </c>
      <c r="H1387" s="69"/>
      <c r="I1387" s="69"/>
      <c r="J1387" s="69"/>
    </row>
    <row r="1388" spans="1:10" x14ac:dyDescent="0.4">
      <c r="A1388" s="273" t="s">
        <v>285</v>
      </c>
      <c r="B1388" s="86" t="s">
        <v>167</v>
      </c>
      <c r="C1388" s="75" t="s">
        <v>286</v>
      </c>
      <c r="D1388" s="76">
        <v>1</v>
      </c>
      <c r="E1388" s="77">
        <v>1</v>
      </c>
      <c r="F1388" s="274" t="s">
        <v>273</v>
      </c>
      <c r="G1388" s="75">
        <v>105.48</v>
      </c>
      <c r="H1388" s="66"/>
      <c r="I1388" s="70"/>
      <c r="J1388" s="70"/>
    </row>
    <row r="1389" spans="1:10" x14ac:dyDescent="0.4">
      <c r="A1389" s="273"/>
      <c r="B1389" s="86" t="s">
        <v>168</v>
      </c>
      <c r="C1389" s="75" t="s">
        <v>169</v>
      </c>
      <c r="D1389" s="76">
        <v>1</v>
      </c>
      <c r="E1389" s="77">
        <v>1</v>
      </c>
      <c r="F1389" s="275"/>
      <c r="G1389" s="75">
        <v>105.48</v>
      </c>
      <c r="H1389" s="66"/>
      <c r="I1389" s="71"/>
      <c r="J1389" s="71"/>
    </row>
    <row r="1390" spans="1:10" x14ac:dyDescent="0.4">
      <c r="A1390" s="273"/>
      <c r="B1390" s="86" t="s">
        <v>170</v>
      </c>
      <c r="C1390" s="75" t="s">
        <v>171</v>
      </c>
      <c r="D1390" s="76">
        <v>1</v>
      </c>
      <c r="E1390" s="77">
        <v>1</v>
      </c>
      <c r="F1390" s="275"/>
      <c r="G1390" s="75">
        <v>105.48</v>
      </c>
      <c r="H1390" s="66"/>
      <c r="I1390" s="67"/>
      <c r="J1390" s="67"/>
    </row>
    <row r="1391" spans="1:10" x14ac:dyDescent="0.4">
      <c r="A1391" s="273"/>
      <c r="B1391" s="86" t="s">
        <v>172</v>
      </c>
      <c r="C1391" s="75" t="s">
        <v>173</v>
      </c>
      <c r="D1391" s="76">
        <v>1</v>
      </c>
      <c r="E1391" s="77">
        <v>1</v>
      </c>
      <c r="F1391" s="275"/>
      <c r="G1391" s="75">
        <v>105.48</v>
      </c>
      <c r="H1391" s="66"/>
      <c r="I1391" s="67"/>
      <c r="J1391" s="67"/>
    </row>
    <row r="1392" spans="1:10" x14ac:dyDescent="0.4">
      <c r="A1392" s="273"/>
      <c r="B1392" s="86" t="s">
        <v>174</v>
      </c>
      <c r="C1392" s="75" t="s">
        <v>287</v>
      </c>
      <c r="D1392" s="76">
        <v>1</v>
      </c>
      <c r="E1392" s="77">
        <v>1</v>
      </c>
      <c r="F1392" s="275"/>
      <c r="G1392" s="75">
        <v>65</v>
      </c>
      <c r="H1392" s="72"/>
      <c r="I1392" s="72"/>
      <c r="J1392" s="72"/>
    </row>
    <row r="1393" spans="1:10" x14ac:dyDescent="0.4">
      <c r="A1393" s="273"/>
      <c r="B1393" s="86" t="s">
        <v>175</v>
      </c>
      <c r="C1393" s="75" t="s">
        <v>176</v>
      </c>
      <c r="D1393" s="76">
        <v>1</v>
      </c>
      <c r="E1393" s="77">
        <v>1</v>
      </c>
      <c r="F1393" s="276"/>
      <c r="G1393" s="75">
        <v>65</v>
      </c>
      <c r="H1393" s="72"/>
      <c r="I1393" s="72"/>
      <c r="J1393" s="72"/>
    </row>
    <row r="1394" spans="1:10" x14ac:dyDescent="0.4">
      <c r="A1394" s="273"/>
      <c r="B1394" s="86" t="s">
        <v>177</v>
      </c>
      <c r="C1394" s="75" t="s">
        <v>288</v>
      </c>
      <c r="D1394" s="76">
        <v>1</v>
      </c>
      <c r="E1394" s="77">
        <v>1</v>
      </c>
      <c r="F1394" s="274" t="s">
        <v>282</v>
      </c>
      <c r="G1394" s="75">
        <v>16.3</v>
      </c>
      <c r="H1394" s="72"/>
      <c r="I1394" s="72"/>
      <c r="J1394" s="72"/>
    </row>
    <row r="1395" spans="1:10" x14ac:dyDescent="0.4">
      <c r="A1395" s="273"/>
      <c r="B1395" s="86" t="s">
        <v>178</v>
      </c>
      <c r="C1395" s="75" t="s">
        <v>179</v>
      </c>
      <c r="D1395" s="76">
        <v>1</v>
      </c>
      <c r="E1395" s="77">
        <v>1</v>
      </c>
      <c r="F1395" s="275"/>
      <c r="G1395" s="75">
        <v>16.3</v>
      </c>
      <c r="H1395" s="72"/>
      <c r="I1395" s="72"/>
      <c r="J1395" s="72"/>
    </row>
    <row r="1396" spans="1:10" x14ac:dyDescent="0.4">
      <c r="A1396" s="273"/>
      <c r="B1396" s="86" t="s">
        <v>180</v>
      </c>
      <c r="C1396" s="75" t="s">
        <v>181</v>
      </c>
      <c r="D1396" s="76">
        <v>1</v>
      </c>
      <c r="E1396" s="77">
        <v>1</v>
      </c>
      <c r="F1396" s="275"/>
      <c r="G1396" s="75">
        <v>16.3</v>
      </c>
      <c r="H1396" s="72"/>
      <c r="I1396" s="72"/>
      <c r="J1396" s="72"/>
    </row>
    <row r="1397" spans="1:10" x14ac:dyDescent="0.4">
      <c r="A1397" s="273"/>
      <c r="B1397" s="86" t="s">
        <v>289</v>
      </c>
      <c r="C1397" s="75" t="s">
        <v>182</v>
      </c>
      <c r="D1397" s="76">
        <v>1</v>
      </c>
      <c r="E1397" s="77">
        <v>1</v>
      </c>
      <c r="F1397" s="276"/>
      <c r="G1397" s="75">
        <v>35</v>
      </c>
      <c r="H1397" s="72"/>
      <c r="I1397" s="72"/>
      <c r="J1397" s="72"/>
    </row>
    <row r="1398" spans="1:10" x14ac:dyDescent="0.4">
      <c r="H1398" s="65" t="e">
        <f>AVERAGE(H1357:H1371,H1377:H1379,H1388:H1397)</f>
        <v>#DIV/0!</v>
      </c>
      <c r="I1398" s="65" t="e">
        <f t="shared" ref="I1398" si="8">AVERAGE(I1357:I1371,I1377:I1379,I1388:I1397)</f>
        <v>#DIV/0!</v>
      </c>
      <c r="J1398" s="113" t="e">
        <f>AVERAGE(J1357:J1371,J1377:J1379,J1388:J1397,J1375)</f>
        <v>#DIV/0!</v>
      </c>
    </row>
    <row r="1399" spans="1:10" x14ac:dyDescent="0.4">
      <c r="J1399" s="64" t="s">
        <v>261</v>
      </c>
    </row>
    <row r="1400" spans="1:10" x14ac:dyDescent="0.4">
      <c r="A1400" s="280" t="s">
        <v>183</v>
      </c>
      <c r="B1400" s="280"/>
      <c r="C1400" s="280"/>
      <c r="D1400" s="280"/>
      <c r="E1400" s="280"/>
      <c r="F1400" s="280"/>
      <c r="G1400" s="280"/>
      <c r="H1400" s="280"/>
      <c r="I1400" s="280"/>
      <c r="J1400" s="281"/>
    </row>
    <row r="1401" spans="1:10" ht="34.799999999999997" x14ac:dyDescent="0.4">
      <c r="A1401" s="73" t="s">
        <v>267</v>
      </c>
      <c r="B1401" s="73" t="s">
        <v>268</v>
      </c>
      <c r="C1401" s="73" t="s">
        <v>269</v>
      </c>
      <c r="D1401" s="73" t="s">
        <v>108</v>
      </c>
      <c r="E1401" s="73" t="s">
        <v>109</v>
      </c>
      <c r="F1401" s="74" t="s">
        <v>270</v>
      </c>
      <c r="G1401" s="73" t="s">
        <v>110</v>
      </c>
      <c r="H1401" s="73" t="s">
        <v>184</v>
      </c>
      <c r="I1401" s="73" t="s">
        <v>185</v>
      </c>
      <c r="J1401" s="73" t="s">
        <v>186</v>
      </c>
    </row>
    <row r="1402" spans="1:10" x14ac:dyDescent="0.4">
      <c r="A1402" s="285" t="s">
        <v>271</v>
      </c>
      <c r="B1402" s="87" t="s">
        <v>114</v>
      </c>
      <c r="C1402" s="88" t="s">
        <v>272</v>
      </c>
      <c r="D1402" s="89">
        <v>1</v>
      </c>
      <c r="E1402" s="88">
        <v>1</v>
      </c>
      <c r="F1402" s="274" t="s">
        <v>273</v>
      </c>
      <c r="G1402" s="75">
        <v>105.48</v>
      </c>
      <c r="H1402" s="80"/>
      <c r="I1402" s="81"/>
      <c r="J1402" s="81"/>
    </row>
    <row r="1403" spans="1:10" x14ac:dyDescent="0.4">
      <c r="A1403" s="286"/>
      <c r="B1403" s="87" t="s">
        <v>115</v>
      </c>
      <c r="C1403" s="88" t="s">
        <v>274</v>
      </c>
      <c r="D1403" s="89">
        <v>1</v>
      </c>
      <c r="E1403" s="88">
        <v>1</v>
      </c>
      <c r="F1403" s="275"/>
      <c r="G1403" s="75">
        <v>105.48</v>
      </c>
      <c r="H1403" s="80"/>
      <c r="I1403" s="81"/>
      <c r="J1403" s="81"/>
    </row>
    <row r="1404" spans="1:10" x14ac:dyDescent="0.4">
      <c r="A1404" s="286"/>
      <c r="B1404" s="87" t="s">
        <v>116</v>
      </c>
      <c r="C1404" s="88" t="s">
        <v>117</v>
      </c>
      <c r="D1404" s="89">
        <v>1</v>
      </c>
      <c r="E1404" s="88">
        <v>1</v>
      </c>
      <c r="F1404" s="78"/>
      <c r="G1404" s="75">
        <v>105.48</v>
      </c>
      <c r="H1404" s="80"/>
      <c r="I1404" s="81"/>
      <c r="J1404" s="81"/>
    </row>
    <row r="1405" spans="1:10" x14ac:dyDescent="0.4">
      <c r="A1405" s="287"/>
      <c r="B1405" s="87" t="s">
        <v>118</v>
      </c>
      <c r="C1405" s="88" t="s">
        <v>119</v>
      </c>
      <c r="D1405" s="89">
        <v>1</v>
      </c>
      <c r="E1405" s="88">
        <v>1</v>
      </c>
      <c r="F1405" s="78"/>
      <c r="G1405" s="75">
        <v>105.48</v>
      </c>
      <c r="H1405" s="80"/>
      <c r="I1405" s="81"/>
      <c r="J1405" s="81"/>
    </row>
    <row r="1406" spans="1:10" x14ac:dyDescent="0.4">
      <c r="A1406" s="273" t="s">
        <v>275</v>
      </c>
      <c r="B1406" s="86" t="s">
        <v>120</v>
      </c>
      <c r="C1406" s="75" t="s">
        <v>276</v>
      </c>
      <c r="D1406" s="76">
        <v>1</v>
      </c>
      <c r="E1406" s="77">
        <v>1</v>
      </c>
      <c r="F1406" s="274" t="s">
        <v>273</v>
      </c>
      <c r="G1406" s="75">
        <v>105.48</v>
      </c>
      <c r="H1406" s="80"/>
      <c r="I1406" s="81"/>
      <c r="J1406" s="81"/>
    </row>
    <row r="1407" spans="1:10" x14ac:dyDescent="0.4">
      <c r="A1407" s="273"/>
      <c r="B1407" s="86" t="s">
        <v>121</v>
      </c>
      <c r="C1407" s="75" t="s">
        <v>277</v>
      </c>
      <c r="D1407" s="76">
        <v>1</v>
      </c>
      <c r="E1407" s="77">
        <v>1</v>
      </c>
      <c r="F1407" s="275"/>
      <c r="G1407" s="75">
        <v>105.48</v>
      </c>
      <c r="H1407" s="80"/>
      <c r="I1407" s="81"/>
      <c r="J1407" s="81"/>
    </row>
    <row r="1408" spans="1:10" x14ac:dyDescent="0.4">
      <c r="A1408" s="273"/>
      <c r="B1408" s="86" t="s">
        <v>122</v>
      </c>
      <c r="C1408" s="75" t="s">
        <v>123</v>
      </c>
      <c r="D1408" s="76">
        <v>1</v>
      </c>
      <c r="E1408" s="77">
        <v>1</v>
      </c>
      <c r="F1408" s="275"/>
      <c r="G1408" s="75">
        <v>105.48</v>
      </c>
      <c r="H1408" s="80"/>
      <c r="I1408" s="81"/>
      <c r="J1408" s="81"/>
    </row>
    <row r="1409" spans="1:10" x14ac:dyDescent="0.4">
      <c r="A1409" s="273"/>
      <c r="B1409" s="86" t="s">
        <v>124</v>
      </c>
      <c r="C1409" s="75" t="s">
        <v>125</v>
      </c>
      <c r="D1409" s="76">
        <v>1</v>
      </c>
      <c r="E1409" s="77">
        <v>1</v>
      </c>
      <c r="F1409" s="275"/>
      <c r="G1409" s="75">
        <v>105.48</v>
      </c>
      <c r="H1409" s="80"/>
      <c r="I1409" s="81"/>
      <c r="J1409" s="81"/>
    </row>
    <row r="1410" spans="1:10" x14ac:dyDescent="0.4">
      <c r="A1410" s="273" t="s">
        <v>279</v>
      </c>
      <c r="B1410" s="86" t="s">
        <v>131</v>
      </c>
      <c r="C1410" s="75" t="s">
        <v>280</v>
      </c>
      <c r="D1410" s="76">
        <v>1</v>
      </c>
      <c r="E1410" s="77">
        <v>1</v>
      </c>
      <c r="F1410" s="274" t="s">
        <v>273</v>
      </c>
      <c r="G1410" s="75">
        <v>105.48</v>
      </c>
      <c r="H1410" s="80"/>
      <c r="I1410" s="81"/>
      <c r="J1410" s="81"/>
    </row>
    <row r="1411" spans="1:10" x14ac:dyDescent="0.4">
      <c r="A1411" s="273"/>
      <c r="B1411" s="86" t="s">
        <v>132</v>
      </c>
      <c r="C1411" s="75" t="s">
        <v>133</v>
      </c>
      <c r="D1411" s="76">
        <v>1</v>
      </c>
      <c r="E1411" s="77">
        <v>1</v>
      </c>
      <c r="F1411" s="275"/>
      <c r="G1411" s="75">
        <v>105.48</v>
      </c>
      <c r="H1411" s="80"/>
      <c r="I1411" s="81"/>
      <c r="J1411" s="81"/>
    </row>
    <row r="1412" spans="1:10" x14ac:dyDescent="0.4">
      <c r="A1412" s="273"/>
      <c r="B1412" s="86" t="s">
        <v>134</v>
      </c>
      <c r="C1412" s="75" t="s">
        <v>135</v>
      </c>
      <c r="D1412" s="76">
        <v>1</v>
      </c>
      <c r="E1412" s="77">
        <v>1</v>
      </c>
      <c r="F1412" s="275"/>
      <c r="G1412" s="79">
        <v>105.48</v>
      </c>
      <c r="H1412" s="80"/>
      <c r="I1412" s="81"/>
      <c r="J1412" s="81"/>
    </row>
    <row r="1413" spans="1:10" x14ac:dyDescent="0.4">
      <c r="A1413" s="273"/>
      <c r="B1413" s="86" t="s">
        <v>136</v>
      </c>
      <c r="C1413" s="75" t="s">
        <v>137</v>
      </c>
      <c r="D1413" s="76">
        <v>1</v>
      </c>
      <c r="E1413" s="77">
        <v>1</v>
      </c>
      <c r="F1413" s="275"/>
      <c r="G1413" s="79">
        <v>105.48</v>
      </c>
      <c r="H1413" s="80"/>
      <c r="I1413" s="81"/>
      <c r="J1413" s="81"/>
    </row>
    <row r="1414" spans="1:10" x14ac:dyDescent="0.4">
      <c r="A1414" s="273"/>
      <c r="B1414" s="86" t="s">
        <v>138</v>
      </c>
      <c r="C1414" s="75" t="s">
        <v>281</v>
      </c>
      <c r="D1414" s="75">
        <v>0</v>
      </c>
      <c r="E1414" s="77">
        <v>1</v>
      </c>
      <c r="F1414" s="77">
        <v>1</v>
      </c>
      <c r="G1414" s="75">
        <v>32.549999999999997</v>
      </c>
      <c r="H1414" s="82"/>
      <c r="I1414" s="82"/>
      <c r="J1414" s="82"/>
    </row>
    <row r="1415" spans="1:10" x14ac:dyDescent="0.4">
      <c r="A1415" s="273"/>
      <c r="B1415" s="86" t="s">
        <v>139</v>
      </c>
      <c r="C1415" s="75" t="s">
        <v>140</v>
      </c>
      <c r="D1415" s="75">
        <v>0</v>
      </c>
      <c r="E1415" s="77">
        <v>1</v>
      </c>
      <c r="F1415" s="77">
        <v>1</v>
      </c>
      <c r="G1415" s="75">
        <v>32.549999999999997</v>
      </c>
      <c r="H1415" s="83"/>
      <c r="I1415" s="83"/>
      <c r="J1415" s="83"/>
    </row>
    <row r="1416" spans="1:10" x14ac:dyDescent="0.4">
      <c r="A1416" s="273"/>
      <c r="B1416" s="86" t="s">
        <v>141</v>
      </c>
      <c r="C1416" s="75" t="s">
        <v>283</v>
      </c>
      <c r="D1416" s="75">
        <v>0</v>
      </c>
      <c r="E1416" s="77">
        <v>1</v>
      </c>
      <c r="F1416" s="77">
        <v>1</v>
      </c>
      <c r="G1416" s="75">
        <v>32.549999999999997</v>
      </c>
      <c r="H1416" s="83"/>
      <c r="I1416" s="83"/>
      <c r="J1416" s="83"/>
    </row>
    <row r="1417" spans="1:10" x14ac:dyDescent="0.4">
      <c r="A1417" s="273"/>
      <c r="B1417" s="86" t="s">
        <v>142</v>
      </c>
      <c r="C1417" s="75" t="s">
        <v>143</v>
      </c>
      <c r="D1417" s="75">
        <v>1</v>
      </c>
      <c r="E1417" s="77">
        <v>1</v>
      </c>
      <c r="F1417" s="77">
        <v>1</v>
      </c>
      <c r="G1417" s="75">
        <v>32.549999999999997</v>
      </c>
      <c r="H1417" s="84"/>
      <c r="I1417" s="84"/>
      <c r="J1417" s="84"/>
    </row>
    <row r="1418" spans="1:10" x14ac:dyDescent="0.4">
      <c r="A1418" s="273"/>
      <c r="B1418" s="86" t="s">
        <v>144</v>
      </c>
      <c r="C1418" s="75" t="s">
        <v>145</v>
      </c>
      <c r="D1418" s="75">
        <v>0</v>
      </c>
      <c r="E1418" s="77">
        <v>1</v>
      </c>
      <c r="F1418" s="77">
        <v>1</v>
      </c>
      <c r="G1418" s="75">
        <v>32.549999999999997</v>
      </c>
      <c r="H1418" s="83"/>
      <c r="I1418" s="83"/>
      <c r="J1418" s="83"/>
    </row>
    <row r="1419" spans="1:10" x14ac:dyDescent="0.4">
      <c r="A1419" s="273"/>
      <c r="B1419" s="86" t="s">
        <v>146</v>
      </c>
      <c r="C1419" s="75" t="s">
        <v>147</v>
      </c>
      <c r="D1419" s="75">
        <v>1</v>
      </c>
      <c r="E1419" s="77">
        <v>1</v>
      </c>
      <c r="F1419" s="77">
        <v>1</v>
      </c>
      <c r="G1419" s="75">
        <v>32.549999999999997</v>
      </c>
      <c r="H1419" s="84"/>
      <c r="I1419" s="84"/>
      <c r="J1419" s="84"/>
    </row>
    <row r="1420" spans="1:10" x14ac:dyDescent="0.4">
      <c r="A1420" s="273"/>
      <c r="B1420" s="86" t="s">
        <v>148</v>
      </c>
      <c r="C1420" s="75" t="s">
        <v>149</v>
      </c>
      <c r="D1420" s="75">
        <v>0</v>
      </c>
      <c r="E1420" s="77">
        <v>1</v>
      </c>
      <c r="F1420" s="77">
        <v>1</v>
      </c>
      <c r="G1420" s="75">
        <v>32.549999999999997</v>
      </c>
      <c r="H1420" s="84"/>
      <c r="I1420" s="84"/>
      <c r="J1420" s="84"/>
    </row>
    <row r="1421" spans="1:10" x14ac:dyDescent="0.4">
      <c r="A1421" s="273"/>
      <c r="B1421" s="86" t="s">
        <v>150</v>
      </c>
      <c r="C1421" s="75" t="s">
        <v>151</v>
      </c>
      <c r="D1421" s="75">
        <v>1</v>
      </c>
      <c r="E1421" s="77">
        <v>1</v>
      </c>
      <c r="F1421" s="77">
        <v>1</v>
      </c>
      <c r="G1421" s="75">
        <v>32.549999999999997</v>
      </c>
      <c r="H1421" s="84"/>
      <c r="I1421" s="84"/>
      <c r="J1421" s="84"/>
    </row>
    <row r="1422" spans="1:10" x14ac:dyDescent="0.4">
      <c r="A1422" s="273"/>
      <c r="B1422" s="86" t="s">
        <v>152</v>
      </c>
      <c r="C1422" s="75" t="s">
        <v>153</v>
      </c>
      <c r="D1422" s="75">
        <v>0</v>
      </c>
      <c r="E1422" s="77">
        <v>1</v>
      </c>
      <c r="F1422" s="77">
        <v>1</v>
      </c>
      <c r="G1422" s="75">
        <v>32.549999999999997</v>
      </c>
      <c r="H1422" s="83"/>
      <c r="I1422" s="83"/>
      <c r="J1422" s="83"/>
    </row>
    <row r="1423" spans="1:10" x14ac:dyDescent="0.4">
      <c r="A1423" s="273"/>
      <c r="B1423" s="86" t="s">
        <v>154</v>
      </c>
      <c r="C1423" s="75" t="s">
        <v>155</v>
      </c>
      <c r="D1423" s="75">
        <v>0</v>
      </c>
      <c r="E1423" s="77">
        <v>1</v>
      </c>
      <c r="F1423" s="77">
        <v>1</v>
      </c>
      <c r="G1423" s="75">
        <v>32.549999999999997</v>
      </c>
      <c r="H1423" s="83"/>
      <c r="I1423" s="83"/>
      <c r="J1423" s="83"/>
    </row>
    <row r="1424" spans="1:10" x14ac:dyDescent="0.4">
      <c r="A1424" s="273"/>
      <c r="B1424" s="86" t="s">
        <v>156</v>
      </c>
      <c r="C1424" s="75" t="s">
        <v>157</v>
      </c>
      <c r="D1424" s="75">
        <v>0</v>
      </c>
      <c r="E1424" s="77">
        <v>1</v>
      </c>
      <c r="F1424" s="77">
        <v>1</v>
      </c>
      <c r="G1424" s="75">
        <v>32.549999999999997</v>
      </c>
      <c r="H1424" s="83"/>
      <c r="I1424" s="83"/>
      <c r="J1424" s="83"/>
    </row>
    <row r="1425" spans="1:10" x14ac:dyDescent="0.4">
      <c r="A1425" s="273"/>
      <c r="B1425" s="86" t="s">
        <v>158</v>
      </c>
      <c r="C1425" s="75" t="s">
        <v>159</v>
      </c>
      <c r="D1425" s="75">
        <v>0</v>
      </c>
      <c r="E1425" s="77">
        <v>1</v>
      </c>
      <c r="F1425" s="77">
        <v>1</v>
      </c>
      <c r="G1425" s="75">
        <v>32.549999999999997</v>
      </c>
      <c r="H1425" s="83"/>
      <c r="I1425" s="83"/>
      <c r="J1425" s="83"/>
    </row>
    <row r="1426" spans="1:10" x14ac:dyDescent="0.4">
      <c r="A1426" s="273"/>
      <c r="B1426" s="86" t="s">
        <v>160</v>
      </c>
      <c r="C1426" s="75" t="s">
        <v>161</v>
      </c>
      <c r="D1426" s="75">
        <v>0</v>
      </c>
      <c r="E1426" s="77">
        <v>1</v>
      </c>
      <c r="F1426" s="77">
        <v>1</v>
      </c>
      <c r="G1426" s="75">
        <v>32.549999999999997</v>
      </c>
      <c r="H1426" s="83"/>
      <c r="I1426" s="83"/>
      <c r="J1426" s="83"/>
    </row>
    <row r="1427" spans="1:10" x14ac:dyDescent="0.4">
      <c r="A1427" s="273"/>
      <c r="B1427" s="86" t="s">
        <v>162</v>
      </c>
      <c r="C1427" s="75" t="s">
        <v>163</v>
      </c>
      <c r="D1427" s="75">
        <v>0</v>
      </c>
      <c r="E1427" s="77">
        <v>1</v>
      </c>
      <c r="F1427" s="77">
        <v>1</v>
      </c>
      <c r="G1427" s="75">
        <v>32.549999999999997</v>
      </c>
      <c r="H1427" s="83"/>
      <c r="I1427" s="83"/>
      <c r="J1427" s="83"/>
    </row>
    <row r="1428" spans="1:10" x14ac:dyDescent="0.4">
      <c r="A1428" s="273"/>
      <c r="B1428" s="86" t="s">
        <v>164</v>
      </c>
      <c r="C1428" s="75" t="s">
        <v>284</v>
      </c>
      <c r="D1428" s="75">
        <v>0</v>
      </c>
      <c r="E1428" s="77">
        <v>1</v>
      </c>
      <c r="F1428" s="77">
        <v>1</v>
      </c>
      <c r="G1428" s="75">
        <v>24.4</v>
      </c>
      <c r="H1428" s="83"/>
      <c r="I1428" s="83"/>
      <c r="J1428" s="83"/>
    </row>
    <row r="1429" spans="1:10" x14ac:dyDescent="0.4">
      <c r="A1429" s="273"/>
      <c r="B1429" s="86" t="s">
        <v>165</v>
      </c>
      <c r="C1429" s="75" t="s">
        <v>166</v>
      </c>
      <c r="D1429" s="75">
        <v>0</v>
      </c>
      <c r="E1429" s="77">
        <v>1</v>
      </c>
      <c r="F1429" s="77">
        <v>1</v>
      </c>
      <c r="G1429" s="75">
        <v>24.4</v>
      </c>
      <c r="H1429" s="83"/>
      <c r="I1429" s="83"/>
      <c r="J1429" s="83"/>
    </row>
    <row r="1430" spans="1:10" x14ac:dyDescent="0.4">
      <c r="A1430" s="273" t="s">
        <v>285</v>
      </c>
      <c r="B1430" s="86" t="s">
        <v>167</v>
      </c>
      <c r="C1430" s="75" t="s">
        <v>286</v>
      </c>
      <c r="D1430" s="76">
        <v>1</v>
      </c>
      <c r="E1430" s="77">
        <v>1</v>
      </c>
      <c r="F1430" s="274" t="s">
        <v>273</v>
      </c>
      <c r="G1430" s="75">
        <v>105.48</v>
      </c>
      <c r="H1430" s="80"/>
      <c r="I1430" s="84"/>
      <c r="J1430" s="84"/>
    </row>
    <row r="1431" spans="1:10" x14ac:dyDescent="0.4">
      <c r="A1431" s="273"/>
      <c r="B1431" s="86" t="s">
        <v>168</v>
      </c>
      <c r="C1431" s="75" t="s">
        <v>169</v>
      </c>
      <c r="D1431" s="76">
        <v>1</v>
      </c>
      <c r="E1431" s="77">
        <v>1</v>
      </c>
      <c r="F1431" s="275"/>
      <c r="G1431" s="75">
        <v>105.48</v>
      </c>
      <c r="H1431" s="80"/>
      <c r="I1431" s="85"/>
      <c r="J1431" s="85"/>
    </row>
    <row r="1432" spans="1:10" x14ac:dyDescent="0.4">
      <c r="A1432" s="273"/>
      <c r="B1432" s="86" t="s">
        <v>170</v>
      </c>
      <c r="C1432" s="75" t="s">
        <v>171</v>
      </c>
      <c r="D1432" s="76">
        <v>1</v>
      </c>
      <c r="E1432" s="77">
        <v>1</v>
      </c>
      <c r="F1432" s="275"/>
      <c r="G1432" s="75">
        <v>105.48</v>
      </c>
      <c r="H1432" s="80"/>
      <c r="I1432" s="81"/>
      <c r="J1432" s="81"/>
    </row>
    <row r="1433" spans="1:10" x14ac:dyDescent="0.4">
      <c r="A1433" s="273"/>
      <c r="B1433" s="86" t="s">
        <v>172</v>
      </c>
      <c r="C1433" s="75" t="s">
        <v>173</v>
      </c>
      <c r="D1433" s="76">
        <v>1</v>
      </c>
      <c r="E1433" s="77">
        <v>1</v>
      </c>
      <c r="F1433" s="275"/>
      <c r="G1433" s="75">
        <v>105.48</v>
      </c>
      <c r="H1433" s="80"/>
      <c r="I1433" s="81"/>
      <c r="J1433" s="81"/>
    </row>
    <row r="1434" spans="1:10" x14ac:dyDescent="0.4">
      <c r="A1434" s="273"/>
      <c r="B1434" s="86" t="s">
        <v>174</v>
      </c>
      <c r="C1434" s="75" t="s">
        <v>287</v>
      </c>
      <c r="D1434" s="76">
        <v>1</v>
      </c>
      <c r="E1434" s="77">
        <v>1</v>
      </c>
      <c r="F1434" s="275"/>
      <c r="G1434" s="75">
        <v>65</v>
      </c>
      <c r="H1434" s="93"/>
      <c r="I1434" s="93"/>
      <c r="J1434" s="93"/>
    </row>
    <row r="1435" spans="1:10" x14ac:dyDescent="0.4">
      <c r="A1435" s="273"/>
      <c r="B1435" s="86" t="s">
        <v>175</v>
      </c>
      <c r="C1435" s="75" t="s">
        <v>176</v>
      </c>
      <c r="D1435" s="76">
        <v>1</v>
      </c>
      <c r="E1435" s="77">
        <v>1</v>
      </c>
      <c r="F1435" s="276"/>
      <c r="G1435" s="75">
        <v>65</v>
      </c>
      <c r="H1435" s="93"/>
      <c r="I1435" s="93"/>
      <c r="J1435" s="93"/>
    </row>
    <row r="1436" spans="1:10" x14ac:dyDescent="0.4">
      <c r="A1436" s="273"/>
      <c r="B1436" s="86" t="s">
        <v>177</v>
      </c>
      <c r="C1436" s="75" t="s">
        <v>288</v>
      </c>
      <c r="D1436" s="76">
        <v>1</v>
      </c>
      <c r="E1436" s="77">
        <v>1</v>
      </c>
      <c r="F1436" s="274" t="s">
        <v>282</v>
      </c>
      <c r="G1436" s="75">
        <v>16.3</v>
      </c>
      <c r="H1436" s="93"/>
      <c r="I1436" s="93"/>
      <c r="J1436" s="93"/>
    </row>
    <row r="1437" spans="1:10" x14ac:dyDescent="0.4">
      <c r="A1437" s="273"/>
      <c r="B1437" s="86" t="s">
        <v>178</v>
      </c>
      <c r="C1437" s="75" t="s">
        <v>179</v>
      </c>
      <c r="D1437" s="76">
        <v>1</v>
      </c>
      <c r="E1437" s="77">
        <v>1</v>
      </c>
      <c r="F1437" s="275"/>
      <c r="G1437" s="75">
        <v>16.3</v>
      </c>
      <c r="H1437" s="93"/>
      <c r="I1437" s="93"/>
      <c r="J1437" s="93"/>
    </row>
    <row r="1438" spans="1:10" x14ac:dyDescent="0.4">
      <c r="A1438" s="273"/>
      <c r="B1438" s="86" t="s">
        <v>180</v>
      </c>
      <c r="C1438" s="75" t="s">
        <v>181</v>
      </c>
      <c r="D1438" s="76">
        <v>1</v>
      </c>
      <c r="E1438" s="77">
        <v>1</v>
      </c>
      <c r="F1438" s="275"/>
      <c r="G1438" s="75">
        <v>16.3</v>
      </c>
      <c r="H1438" s="93"/>
      <c r="I1438" s="93"/>
      <c r="J1438" s="93"/>
    </row>
    <row r="1439" spans="1:10" x14ac:dyDescent="0.4">
      <c r="A1439" s="273"/>
      <c r="B1439" s="86" t="s">
        <v>289</v>
      </c>
      <c r="C1439" s="75" t="s">
        <v>182</v>
      </c>
      <c r="D1439" s="76">
        <v>1</v>
      </c>
      <c r="E1439" s="77">
        <v>1</v>
      </c>
      <c r="F1439" s="276"/>
      <c r="G1439" s="75">
        <v>35</v>
      </c>
      <c r="H1439" s="93"/>
      <c r="I1439" s="93"/>
      <c r="J1439" s="93"/>
    </row>
    <row r="1440" spans="1:10" x14ac:dyDescent="0.4">
      <c r="A1440" s="273" t="s">
        <v>275</v>
      </c>
      <c r="B1440" s="86" t="s">
        <v>126</v>
      </c>
      <c r="C1440" s="75" t="s">
        <v>278</v>
      </c>
      <c r="D1440" s="76">
        <v>1</v>
      </c>
      <c r="E1440" s="77">
        <v>1</v>
      </c>
      <c r="F1440" s="90"/>
      <c r="G1440" s="75">
        <v>70.319999999999993</v>
      </c>
      <c r="H1440" s="93"/>
      <c r="I1440" s="93"/>
      <c r="J1440" s="93"/>
    </row>
    <row r="1441" spans="1:10" x14ac:dyDescent="0.4">
      <c r="A1441" s="273"/>
      <c r="B1441" s="86" t="s">
        <v>127</v>
      </c>
      <c r="C1441" s="75" t="s">
        <v>128</v>
      </c>
      <c r="D1441" s="76">
        <v>1</v>
      </c>
      <c r="E1441" s="77">
        <v>1</v>
      </c>
      <c r="F1441" s="90"/>
      <c r="G1441" s="75">
        <v>70.319999999999993</v>
      </c>
      <c r="H1441" s="93"/>
      <c r="I1441" s="93"/>
      <c r="J1441" s="93"/>
    </row>
    <row r="1442" spans="1:10" x14ac:dyDescent="0.4">
      <c r="A1442" s="273"/>
      <c r="B1442" s="86" t="s">
        <v>129</v>
      </c>
      <c r="C1442" s="75" t="s">
        <v>130</v>
      </c>
      <c r="D1442" s="76">
        <v>1</v>
      </c>
      <c r="E1442" s="77">
        <v>1</v>
      </c>
      <c r="F1442" s="90"/>
      <c r="G1442" s="75">
        <v>70.319999999999993</v>
      </c>
      <c r="H1442" s="93"/>
      <c r="I1442" s="93"/>
      <c r="J1442" s="93"/>
    </row>
    <row r="1443" spans="1:10" x14ac:dyDescent="0.4">
      <c r="H1443" s="91" t="e">
        <f>AVERAGE(H1402:H1413,H1419:H1421,H1430:H1442)</f>
        <v>#DIV/0!</v>
      </c>
      <c r="I1443" s="91" t="e">
        <f>AVERAGE(I1402:I1413,I1419:I1421,I1430:I1442)</f>
        <v>#DIV/0!</v>
      </c>
      <c r="J1443" s="114" t="e">
        <f>AVERAGE(J1402:J1413,J1419:J1421,J1430:J1442,J1417)</f>
        <v>#DIV/0!</v>
      </c>
    </row>
    <row r="1444" spans="1:10" x14ac:dyDescent="0.4">
      <c r="J1444" s="115" t="s">
        <v>262</v>
      </c>
    </row>
    <row r="1445" spans="1:10" x14ac:dyDescent="0.4">
      <c r="A1445" s="288" t="s">
        <v>290</v>
      </c>
      <c r="B1445" s="288"/>
      <c r="C1445" s="289" t="s">
        <v>187</v>
      </c>
      <c r="D1445" s="290"/>
      <c r="E1445" s="290" t="s">
        <v>188</v>
      </c>
      <c r="F1445" s="290"/>
      <c r="G1445" s="290" t="s">
        <v>189</v>
      </c>
      <c r="H1445" s="290"/>
      <c r="I1445" s="290" t="s">
        <v>190</v>
      </c>
      <c r="J1445" s="290"/>
    </row>
    <row r="1446" spans="1:10" ht="34.799999999999997" x14ac:dyDescent="0.4">
      <c r="A1446" s="288"/>
      <c r="B1446" s="288"/>
      <c r="C1446" s="102" t="s">
        <v>191</v>
      </c>
      <c r="D1446" s="101" t="s">
        <v>192</v>
      </c>
      <c r="E1446" s="101" t="s">
        <v>191</v>
      </c>
      <c r="F1446" s="101" t="s">
        <v>192</v>
      </c>
      <c r="G1446" s="101" t="s">
        <v>191</v>
      </c>
      <c r="H1446" s="101" t="s">
        <v>192</v>
      </c>
      <c r="I1446" s="101" t="s">
        <v>191</v>
      </c>
      <c r="J1446" s="101" t="s">
        <v>192</v>
      </c>
    </row>
    <row r="1447" spans="1:10" x14ac:dyDescent="0.4">
      <c r="A1447" s="277" t="s">
        <v>291</v>
      </c>
      <c r="B1447" s="100" t="s">
        <v>292</v>
      </c>
      <c r="C1447" s="93"/>
      <c r="D1447" s="92"/>
      <c r="E1447" s="93"/>
      <c r="F1447" s="92"/>
      <c r="G1447" s="93"/>
      <c r="H1447" s="92"/>
      <c r="I1447" s="93"/>
      <c r="J1447" s="92"/>
    </row>
    <row r="1448" spans="1:10" x14ac:dyDescent="0.4">
      <c r="A1448" s="278"/>
      <c r="B1448" s="94" t="s">
        <v>193</v>
      </c>
      <c r="C1448" s="93"/>
      <c r="D1448" s="92"/>
      <c r="E1448" s="93"/>
      <c r="F1448" s="92"/>
      <c r="G1448" s="93"/>
      <c r="H1448" s="92"/>
      <c r="I1448" s="93"/>
      <c r="J1448" s="92"/>
    </row>
    <row r="1449" spans="1:10" x14ac:dyDescent="0.4">
      <c r="A1449" s="278"/>
      <c r="B1449" s="94" t="s">
        <v>194</v>
      </c>
      <c r="C1449" s="93"/>
      <c r="D1449" s="92"/>
      <c r="E1449" s="93"/>
      <c r="F1449" s="92"/>
      <c r="G1449" s="93"/>
      <c r="H1449" s="92"/>
      <c r="I1449" s="93"/>
      <c r="J1449" s="92"/>
    </row>
    <row r="1450" spans="1:10" x14ac:dyDescent="0.4">
      <c r="A1450" s="278"/>
      <c r="B1450" s="94" t="s">
        <v>195</v>
      </c>
      <c r="C1450" s="93"/>
      <c r="D1450" s="92"/>
      <c r="E1450" s="93"/>
      <c r="F1450" s="92"/>
      <c r="G1450" s="93"/>
      <c r="H1450" s="92"/>
      <c r="I1450" s="93"/>
      <c r="J1450" s="92"/>
    </row>
    <row r="1451" spans="1:10" x14ac:dyDescent="0.4">
      <c r="A1451" s="278"/>
      <c r="B1451" s="94" t="s">
        <v>196</v>
      </c>
      <c r="C1451" s="93"/>
      <c r="D1451" s="92"/>
      <c r="E1451" s="93"/>
      <c r="F1451" s="92"/>
      <c r="G1451" s="93"/>
      <c r="H1451" s="92"/>
      <c r="I1451" s="93"/>
      <c r="J1451" s="92"/>
    </row>
    <row r="1452" spans="1:10" x14ac:dyDescent="0.4">
      <c r="A1452" s="278"/>
      <c r="B1452" s="94" t="s">
        <v>197</v>
      </c>
      <c r="C1452" s="93"/>
      <c r="D1452" s="92"/>
      <c r="E1452" s="93"/>
      <c r="F1452" s="92"/>
      <c r="G1452" s="93"/>
      <c r="H1452" s="92"/>
      <c r="I1452" s="93"/>
      <c r="J1452" s="92"/>
    </row>
    <row r="1453" spans="1:10" x14ac:dyDescent="0.4">
      <c r="A1453" s="278"/>
      <c r="B1453" s="94" t="s">
        <v>198</v>
      </c>
      <c r="C1453" s="93"/>
      <c r="D1453" s="92"/>
      <c r="E1453" s="93"/>
      <c r="F1453" s="92"/>
      <c r="G1453" s="93"/>
      <c r="H1453" s="92"/>
      <c r="I1453" s="93"/>
      <c r="J1453" s="92"/>
    </row>
    <row r="1454" spans="1:10" x14ac:dyDescent="0.4">
      <c r="A1454" s="278"/>
      <c r="B1454" s="94" t="s">
        <v>199</v>
      </c>
      <c r="C1454" s="93"/>
      <c r="D1454" s="92"/>
      <c r="E1454" s="93"/>
      <c r="F1454" s="92"/>
      <c r="G1454" s="93"/>
      <c r="H1454" s="92"/>
      <c r="I1454" s="93"/>
      <c r="J1454" s="92"/>
    </row>
    <row r="1455" spans="1:10" x14ac:dyDescent="0.4">
      <c r="A1455" s="278"/>
      <c r="B1455" s="94" t="s">
        <v>200</v>
      </c>
      <c r="C1455" s="93"/>
      <c r="D1455" s="92"/>
      <c r="E1455" s="93"/>
      <c r="F1455" s="92"/>
      <c r="G1455" s="93"/>
      <c r="H1455" s="92"/>
      <c r="I1455" s="98"/>
      <c r="J1455" s="99"/>
    </row>
    <row r="1456" spans="1:10" x14ac:dyDescent="0.4">
      <c r="A1456" s="278"/>
      <c r="B1456" s="94" t="s">
        <v>201</v>
      </c>
      <c r="C1456" s="93"/>
      <c r="D1456" s="92"/>
      <c r="E1456" s="98"/>
      <c r="F1456" s="99"/>
      <c r="G1456" s="93"/>
      <c r="H1456" s="92"/>
      <c r="I1456" s="98"/>
      <c r="J1456" s="99"/>
    </row>
    <row r="1457" spans="1:10" x14ac:dyDescent="0.4">
      <c r="A1457" s="278"/>
      <c r="B1457" s="94" t="s">
        <v>202</v>
      </c>
      <c r="C1457" s="93"/>
      <c r="D1457" s="92"/>
      <c r="E1457" s="98"/>
      <c r="F1457" s="99"/>
      <c r="G1457" s="93"/>
      <c r="H1457" s="92"/>
      <c r="I1457" s="98"/>
      <c r="J1457" s="99"/>
    </row>
    <row r="1458" spans="1:10" x14ac:dyDescent="0.4">
      <c r="A1458" s="278"/>
      <c r="B1458" s="94" t="s">
        <v>203</v>
      </c>
      <c r="C1458" s="93"/>
      <c r="D1458" s="92"/>
      <c r="E1458" s="98"/>
      <c r="F1458" s="99"/>
      <c r="G1458" s="93"/>
      <c r="H1458" s="92"/>
      <c r="I1458" s="98"/>
      <c r="J1458" s="99"/>
    </row>
    <row r="1459" spans="1:10" x14ac:dyDescent="0.4">
      <c r="A1459" s="278"/>
      <c r="B1459" s="94" t="s">
        <v>204</v>
      </c>
      <c r="C1459" s="93"/>
      <c r="D1459" s="92"/>
      <c r="E1459" s="98"/>
      <c r="F1459" s="99"/>
      <c r="G1459" s="93"/>
      <c r="H1459" s="92"/>
      <c r="I1459" s="98"/>
      <c r="J1459" s="99"/>
    </row>
    <row r="1460" spans="1:10" x14ac:dyDescent="0.4">
      <c r="A1460" s="278"/>
      <c r="B1460" s="94" t="s">
        <v>205</v>
      </c>
      <c r="C1460" s="98"/>
      <c r="D1460" s="99"/>
      <c r="E1460" s="98"/>
      <c r="F1460" s="99"/>
      <c r="G1460" s="93"/>
      <c r="H1460" s="92"/>
      <c r="I1460" s="98"/>
      <c r="J1460" s="99"/>
    </row>
    <row r="1461" spans="1:10" x14ac:dyDescent="0.4">
      <c r="A1461" s="278"/>
      <c r="B1461" s="94" t="s">
        <v>206</v>
      </c>
      <c r="C1461" s="98"/>
      <c r="D1461" s="99"/>
      <c r="E1461" s="98"/>
      <c r="F1461" s="99"/>
      <c r="G1461" s="93"/>
      <c r="H1461" s="92"/>
      <c r="I1461" s="98"/>
      <c r="J1461" s="99"/>
    </row>
    <row r="1462" spans="1:10" x14ac:dyDescent="0.4">
      <c r="A1462" s="278"/>
      <c r="B1462" s="94" t="s">
        <v>207</v>
      </c>
      <c r="C1462" s="98"/>
      <c r="D1462" s="99"/>
      <c r="E1462" s="98"/>
      <c r="F1462" s="99"/>
      <c r="G1462" s="93"/>
      <c r="H1462" s="92"/>
      <c r="I1462" s="98"/>
      <c r="J1462" s="99"/>
    </row>
    <row r="1463" spans="1:10" x14ac:dyDescent="0.4">
      <c r="A1463" s="278"/>
      <c r="B1463" s="95" t="s">
        <v>293</v>
      </c>
      <c r="C1463" s="93"/>
      <c r="D1463" s="92"/>
      <c r="E1463" s="93"/>
      <c r="F1463" s="92"/>
      <c r="G1463" s="93"/>
      <c r="H1463" s="92"/>
      <c r="I1463" s="93"/>
      <c r="J1463" s="92"/>
    </row>
    <row r="1464" spans="1:10" x14ac:dyDescent="0.4">
      <c r="A1464" s="278"/>
      <c r="B1464" s="95" t="s">
        <v>208</v>
      </c>
      <c r="C1464" s="93"/>
      <c r="D1464" s="92"/>
      <c r="E1464" s="93"/>
      <c r="F1464" s="92"/>
      <c r="G1464" s="93"/>
      <c r="H1464" s="92"/>
      <c r="I1464" s="93"/>
      <c r="J1464" s="92"/>
    </row>
    <row r="1465" spans="1:10" x14ac:dyDescent="0.4">
      <c r="A1465" s="278"/>
      <c r="B1465" s="95" t="s">
        <v>209</v>
      </c>
      <c r="C1465" s="93"/>
      <c r="D1465" s="92"/>
      <c r="E1465" s="93"/>
      <c r="F1465" s="92"/>
      <c r="G1465" s="93"/>
      <c r="H1465" s="92"/>
      <c r="I1465" s="93"/>
      <c r="J1465" s="92"/>
    </row>
    <row r="1466" spans="1:10" x14ac:dyDescent="0.4">
      <c r="A1466" s="278"/>
      <c r="B1466" s="95" t="s">
        <v>210</v>
      </c>
      <c r="C1466" s="93"/>
      <c r="D1466" s="92"/>
      <c r="E1466" s="93"/>
      <c r="F1466" s="92"/>
      <c r="G1466" s="93"/>
      <c r="H1466" s="92"/>
      <c r="I1466" s="93"/>
      <c r="J1466" s="92"/>
    </row>
    <row r="1467" spans="1:10" x14ac:dyDescent="0.4">
      <c r="A1467" s="278"/>
      <c r="B1467" s="95" t="s">
        <v>211</v>
      </c>
      <c r="C1467" s="93"/>
      <c r="D1467" s="92"/>
      <c r="E1467" s="93"/>
      <c r="F1467" s="92"/>
      <c r="G1467" s="93"/>
      <c r="H1467" s="92"/>
      <c r="I1467" s="93"/>
      <c r="J1467" s="92"/>
    </row>
    <row r="1468" spans="1:10" x14ac:dyDescent="0.4">
      <c r="A1468" s="278"/>
      <c r="B1468" s="95" t="s">
        <v>212</v>
      </c>
      <c r="C1468" s="93"/>
      <c r="D1468" s="92"/>
      <c r="E1468" s="93"/>
      <c r="F1468" s="92"/>
      <c r="G1468" s="93"/>
      <c r="H1468" s="92"/>
      <c r="I1468" s="93"/>
      <c r="J1468" s="92"/>
    </row>
    <row r="1469" spans="1:10" x14ac:dyDescent="0.4">
      <c r="A1469" s="278"/>
      <c r="B1469" s="95" t="s">
        <v>213</v>
      </c>
      <c r="C1469" s="93"/>
      <c r="D1469" s="92"/>
      <c r="E1469" s="93"/>
      <c r="F1469" s="92"/>
      <c r="G1469" s="93"/>
      <c r="H1469" s="92"/>
      <c r="I1469" s="93"/>
      <c r="J1469" s="92"/>
    </row>
    <row r="1470" spans="1:10" x14ac:dyDescent="0.4">
      <c r="A1470" s="278"/>
      <c r="B1470" s="95" t="s">
        <v>214</v>
      </c>
      <c r="C1470" s="93"/>
      <c r="D1470" s="92"/>
      <c r="E1470" s="93"/>
      <c r="F1470" s="92"/>
      <c r="G1470" s="93"/>
      <c r="H1470" s="92"/>
      <c r="I1470" s="93"/>
      <c r="J1470" s="92"/>
    </row>
    <row r="1471" spans="1:10" x14ac:dyDescent="0.4">
      <c r="A1471" s="278"/>
      <c r="B1471" s="95" t="s">
        <v>215</v>
      </c>
      <c r="C1471" s="93"/>
      <c r="D1471" s="92"/>
      <c r="E1471" s="93"/>
      <c r="F1471" s="92"/>
      <c r="G1471" s="93"/>
      <c r="H1471" s="92"/>
      <c r="I1471" s="93"/>
      <c r="J1471" s="92"/>
    </row>
    <row r="1472" spans="1:10" x14ac:dyDescent="0.4">
      <c r="A1472" s="278"/>
      <c r="B1472" s="95" t="s">
        <v>216</v>
      </c>
      <c r="C1472" s="93"/>
      <c r="D1472" s="92"/>
      <c r="E1472" s="93"/>
      <c r="F1472" s="92"/>
      <c r="G1472" s="93"/>
      <c r="H1472" s="92"/>
      <c r="I1472" s="93"/>
      <c r="J1472" s="92"/>
    </row>
    <row r="1473" spans="1:10" x14ac:dyDescent="0.4">
      <c r="A1473" s="278"/>
      <c r="B1473" s="95" t="s">
        <v>217</v>
      </c>
      <c r="C1473" s="93"/>
      <c r="D1473" s="92"/>
      <c r="E1473" s="93"/>
      <c r="F1473" s="92"/>
      <c r="G1473" s="93"/>
      <c r="H1473" s="92"/>
      <c r="I1473" s="98"/>
      <c r="J1473" s="99"/>
    </row>
    <row r="1474" spans="1:10" x14ac:dyDescent="0.4">
      <c r="A1474" s="278"/>
      <c r="B1474" s="95" t="s">
        <v>218</v>
      </c>
      <c r="C1474" s="93"/>
      <c r="D1474" s="92"/>
      <c r="E1474" s="93"/>
      <c r="F1474" s="92"/>
      <c r="G1474" s="93"/>
      <c r="H1474" s="92"/>
      <c r="I1474" s="98"/>
      <c r="J1474" s="99"/>
    </row>
    <row r="1475" spans="1:10" x14ac:dyDescent="0.4">
      <c r="A1475" s="278"/>
      <c r="B1475" s="95" t="s">
        <v>219</v>
      </c>
      <c r="C1475" s="93"/>
      <c r="D1475" s="92"/>
      <c r="E1475" s="93"/>
      <c r="F1475" s="92"/>
      <c r="G1475" s="93"/>
      <c r="H1475" s="92"/>
      <c r="I1475" s="98"/>
      <c r="J1475" s="99"/>
    </row>
    <row r="1476" spans="1:10" x14ac:dyDescent="0.4">
      <c r="A1476" s="278"/>
      <c r="B1476" s="95" t="s">
        <v>220</v>
      </c>
      <c r="C1476" s="93"/>
      <c r="D1476" s="92"/>
      <c r="E1476" s="93"/>
      <c r="F1476" s="92"/>
      <c r="G1476" s="98"/>
      <c r="H1476" s="99"/>
      <c r="I1476" s="98"/>
      <c r="J1476" s="99"/>
    </row>
    <row r="1477" spans="1:10" x14ac:dyDescent="0.4">
      <c r="A1477" s="278"/>
      <c r="B1477" s="95" t="s">
        <v>294</v>
      </c>
      <c r="C1477" s="93"/>
      <c r="D1477" s="92"/>
      <c r="E1477" s="98"/>
      <c r="F1477" s="99"/>
      <c r="G1477" s="98"/>
      <c r="H1477" s="99"/>
      <c r="I1477" s="98"/>
      <c r="J1477" s="99"/>
    </row>
    <row r="1478" spans="1:10" x14ac:dyDescent="0.4">
      <c r="A1478" s="278"/>
      <c r="B1478" s="95" t="s">
        <v>221</v>
      </c>
      <c r="C1478" s="93"/>
      <c r="D1478" s="92"/>
      <c r="E1478" s="98"/>
      <c r="F1478" s="99"/>
      <c r="G1478" s="98"/>
      <c r="H1478" s="99"/>
      <c r="I1478" s="98"/>
      <c r="J1478" s="99"/>
    </row>
    <row r="1479" spans="1:10" x14ac:dyDescent="0.4">
      <c r="A1479" s="278"/>
      <c r="B1479" s="96" t="s">
        <v>295</v>
      </c>
      <c r="C1479" s="93"/>
      <c r="D1479" s="92"/>
      <c r="E1479" s="93"/>
      <c r="F1479" s="92"/>
      <c r="G1479" s="93"/>
      <c r="H1479" s="92"/>
      <c r="I1479" s="93"/>
      <c r="J1479" s="92"/>
    </row>
    <row r="1480" spans="1:10" x14ac:dyDescent="0.4">
      <c r="A1480" s="278"/>
      <c r="B1480" s="96" t="s">
        <v>222</v>
      </c>
      <c r="C1480" s="93"/>
      <c r="D1480" s="92"/>
      <c r="E1480" s="93"/>
      <c r="F1480" s="92"/>
      <c r="G1480" s="93"/>
      <c r="H1480" s="92"/>
      <c r="I1480" s="93"/>
      <c r="J1480" s="92"/>
    </row>
    <row r="1481" spans="1:10" x14ac:dyDescent="0.4">
      <c r="A1481" s="278"/>
      <c r="B1481" s="96" t="s">
        <v>223</v>
      </c>
      <c r="C1481" s="93"/>
      <c r="D1481" s="92"/>
      <c r="E1481" s="93"/>
      <c r="F1481" s="92"/>
      <c r="G1481" s="93"/>
      <c r="H1481" s="92"/>
      <c r="I1481" s="93"/>
      <c r="J1481" s="92"/>
    </row>
    <row r="1482" spans="1:10" x14ac:dyDescent="0.4">
      <c r="A1482" s="278"/>
      <c r="B1482" s="96" t="s">
        <v>224</v>
      </c>
      <c r="C1482" s="93"/>
      <c r="D1482" s="92"/>
      <c r="E1482" s="93"/>
      <c r="F1482" s="92"/>
      <c r="G1482" s="93"/>
      <c r="H1482" s="92"/>
      <c r="I1482" s="93"/>
      <c r="J1482" s="92"/>
    </row>
    <row r="1483" spans="1:10" x14ac:dyDescent="0.4">
      <c r="A1483" s="278"/>
      <c r="B1483" s="96" t="s">
        <v>225</v>
      </c>
      <c r="C1483" s="93"/>
      <c r="D1483" s="92"/>
      <c r="E1483" s="93"/>
      <c r="F1483" s="92"/>
      <c r="G1483" s="93"/>
      <c r="H1483" s="92"/>
      <c r="I1483" s="93"/>
      <c r="J1483" s="92"/>
    </row>
    <row r="1484" spans="1:10" x14ac:dyDescent="0.4">
      <c r="A1484" s="278"/>
      <c r="B1484" s="96" t="s">
        <v>226</v>
      </c>
      <c r="C1484" s="93"/>
      <c r="D1484" s="92"/>
      <c r="E1484" s="93"/>
      <c r="F1484" s="92"/>
      <c r="G1484" s="93"/>
      <c r="H1484" s="92"/>
      <c r="I1484" s="93"/>
      <c r="J1484" s="92"/>
    </row>
    <row r="1485" spans="1:10" x14ac:dyDescent="0.4">
      <c r="A1485" s="278"/>
      <c r="B1485" s="96" t="s">
        <v>227</v>
      </c>
      <c r="C1485" s="93"/>
      <c r="D1485" s="92"/>
      <c r="E1485" s="93"/>
      <c r="F1485" s="92"/>
      <c r="G1485" s="93"/>
      <c r="H1485" s="92"/>
      <c r="I1485" s="93"/>
      <c r="J1485" s="92"/>
    </row>
    <row r="1486" spans="1:10" x14ac:dyDescent="0.4">
      <c r="A1486" s="278"/>
      <c r="B1486" s="96" t="s">
        <v>228</v>
      </c>
      <c r="C1486" s="93"/>
      <c r="D1486" s="92"/>
      <c r="E1486" s="93"/>
      <c r="F1486" s="92"/>
      <c r="G1486" s="93"/>
      <c r="H1486" s="92"/>
      <c r="I1486" s="93"/>
      <c r="J1486" s="92"/>
    </row>
    <row r="1487" spans="1:10" x14ac:dyDescent="0.4">
      <c r="A1487" s="278"/>
      <c r="B1487" s="96" t="s">
        <v>229</v>
      </c>
      <c r="C1487" s="93"/>
      <c r="D1487" s="92"/>
      <c r="E1487" s="93"/>
      <c r="F1487" s="92"/>
      <c r="G1487" s="98"/>
      <c r="H1487" s="99"/>
      <c r="I1487" s="93"/>
      <c r="J1487" s="92"/>
    </row>
    <row r="1488" spans="1:10" x14ac:dyDescent="0.4">
      <c r="A1488" s="278"/>
      <c r="B1488" s="96" t="s">
        <v>230</v>
      </c>
      <c r="C1488" s="93"/>
      <c r="D1488" s="92"/>
      <c r="E1488" s="93"/>
      <c r="F1488" s="92"/>
      <c r="G1488" s="98"/>
      <c r="H1488" s="99"/>
      <c r="I1488" s="98"/>
      <c r="J1488" s="99"/>
    </row>
    <row r="1489" spans="1:10" x14ac:dyDescent="0.4">
      <c r="A1489" s="278"/>
      <c r="B1489" s="96" t="s">
        <v>231</v>
      </c>
      <c r="C1489" s="93"/>
      <c r="D1489" s="92"/>
      <c r="E1489" s="93"/>
      <c r="F1489" s="92"/>
      <c r="G1489" s="98"/>
      <c r="H1489" s="99"/>
      <c r="I1489" s="98"/>
      <c r="J1489" s="99"/>
    </row>
    <row r="1490" spans="1:10" x14ac:dyDescent="0.4">
      <c r="A1490" s="278"/>
      <c r="B1490" s="96" t="s">
        <v>232</v>
      </c>
      <c r="C1490" s="93"/>
      <c r="D1490" s="92"/>
      <c r="E1490" s="93"/>
      <c r="F1490" s="92"/>
      <c r="G1490" s="98"/>
      <c r="H1490" s="99"/>
      <c r="I1490" s="98"/>
      <c r="J1490" s="99"/>
    </row>
    <row r="1491" spans="1:10" x14ac:dyDescent="0.4">
      <c r="A1491" s="278"/>
      <c r="B1491" s="96" t="s">
        <v>233</v>
      </c>
      <c r="C1491" s="93"/>
      <c r="D1491" s="92"/>
      <c r="E1491" s="93"/>
      <c r="F1491" s="92"/>
      <c r="G1491" s="98"/>
      <c r="H1491" s="99"/>
      <c r="I1491" s="98"/>
      <c r="J1491" s="99"/>
    </row>
    <row r="1492" spans="1:10" x14ac:dyDescent="0.4">
      <c r="A1492" s="278"/>
      <c r="B1492" s="96" t="s">
        <v>234</v>
      </c>
      <c r="C1492" s="93"/>
      <c r="D1492" s="92"/>
      <c r="E1492" s="93"/>
      <c r="F1492" s="92"/>
      <c r="G1492" s="98"/>
      <c r="H1492" s="99"/>
      <c r="I1492" s="98"/>
      <c r="J1492" s="99"/>
    </row>
    <row r="1493" spans="1:10" x14ac:dyDescent="0.4">
      <c r="A1493" s="278"/>
      <c r="B1493" s="96" t="s">
        <v>235</v>
      </c>
      <c r="C1493" s="93"/>
      <c r="D1493" s="92"/>
      <c r="E1493" s="98"/>
      <c r="F1493" s="99"/>
      <c r="G1493" s="98"/>
      <c r="H1493" s="99"/>
      <c r="I1493" s="98"/>
      <c r="J1493" s="99"/>
    </row>
    <row r="1494" spans="1:10" x14ac:dyDescent="0.4">
      <c r="A1494" s="278"/>
      <c r="B1494" s="96" t="s">
        <v>236</v>
      </c>
      <c r="C1494" s="93"/>
      <c r="D1494" s="92"/>
      <c r="E1494" s="98"/>
      <c r="F1494" s="99"/>
      <c r="G1494" s="98"/>
      <c r="H1494" s="99"/>
      <c r="I1494" s="98"/>
      <c r="J1494" s="99"/>
    </row>
    <row r="1495" spans="1:10" x14ac:dyDescent="0.4">
      <c r="A1495" s="278"/>
      <c r="B1495" s="97" t="s">
        <v>296</v>
      </c>
      <c r="C1495" s="93"/>
      <c r="D1495" s="92"/>
      <c r="E1495" s="93"/>
      <c r="F1495" s="92"/>
      <c r="G1495" s="93"/>
      <c r="H1495" s="92"/>
      <c r="I1495" s="93"/>
      <c r="J1495" s="92"/>
    </row>
    <row r="1496" spans="1:10" x14ac:dyDescent="0.4">
      <c r="A1496" s="278"/>
      <c r="B1496" s="97" t="s">
        <v>237</v>
      </c>
      <c r="C1496" s="93"/>
      <c r="D1496" s="92"/>
      <c r="E1496" s="93"/>
      <c r="F1496" s="92"/>
      <c r="G1496" s="93"/>
      <c r="H1496" s="92"/>
      <c r="I1496" s="93"/>
      <c r="J1496" s="92"/>
    </row>
    <row r="1497" spans="1:10" x14ac:dyDescent="0.4">
      <c r="A1497" s="278"/>
      <c r="B1497" s="97" t="s">
        <v>238</v>
      </c>
      <c r="C1497" s="93"/>
      <c r="D1497" s="92"/>
      <c r="E1497" s="93"/>
      <c r="F1497" s="92"/>
      <c r="G1497" s="93"/>
      <c r="H1497" s="92"/>
      <c r="I1497" s="93"/>
      <c r="J1497" s="92"/>
    </row>
    <row r="1498" spans="1:10" x14ac:dyDescent="0.4">
      <c r="A1498" s="278"/>
      <c r="B1498" s="97" t="s">
        <v>239</v>
      </c>
      <c r="C1498" s="93"/>
      <c r="D1498" s="92"/>
      <c r="E1498" s="93"/>
      <c r="F1498" s="92"/>
      <c r="G1498" s="93"/>
      <c r="H1498" s="92"/>
      <c r="I1498" s="93"/>
      <c r="J1498" s="92"/>
    </row>
    <row r="1499" spans="1:10" x14ac:dyDescent="0.4">
      <c r="A1499" s="278"/>
      <c r="B1499" s="97" t="s">
        <v>240</v>
      </c>
      <c r="C1499" s="93"/>
      <c r="D1499" s="92"/>
      <c r="E1499" s="93"/>
      <c r="F1499" s="92"/>
      <c r="G1499" s="93"/>
      <c r="H1499" s="92"/>
      <c r="I1499" s="93"/>
      <c r="J1499" s="92"/>
    </row>
    <row r="1500" spans="1:10" x14ac:dyDescent="0.4">
      <c r="A1500" s="278"/>
      <c r="B1500" s="97" t="s">
        <v>241</v>
      </c>
      <c r="C1500" s="93"/>
      <c r="D1500" s="92"/>
      <c r="E1500" s="93"/>
      <c r="F1500" s="92"/>
      <c r="G1500" s="93"/>
      <c r="H1500" s="92"/>
      <c r="I1500" s="93"/>
      <c r="J1500" s="92"/>
    </row>
    <row r="1501" spans="1:10" x14ac:dyDescent="0.4">
      <c r="A1501" s="278"/>
      <c r="B1501" s="97" t="s">
        <v>242</v>
      </c>
      <c r="C1501" s="93"/>
      <c r="D1501" s="92"/>
      <c r="E1501" s="93"/>
      <c r="F1501" s="92"/>
      <c r="G1501" s="93"/>
      <c r="H1501" s="92"/>
      <c r="I1501" s="93"/>
      <c r="J1501" s="92"/>
    </row>
    <row r="1502" spans="1:10" x14ac:dyDescent="0.4">
      <c r="A1502" s="278"/>
      <c r="B1502" s="97" t="s">
        <v>243</v>
      </c>
      <c r="C1502" s="93"/>
      <c r="D1502" s="92"/>
      <c r="E1502" s="93"/>
      <c r="F1502" s="92"/>
      <c r="G1502" s="93"/>
      <c r="H1502" s="92"/>
      <c r="I1502" s="93"/>
      <c r="J1502" s="92"/>
    </row>
    <row r="1503" spans="1:10" x14ac:dyDescent="0.4">
      <c r="A1503" s="278"/>
      <c r="B1503" s="97" t="s">
        <v>244</v>
      </c>
      <c r="C1503" s="93"/>
      <c r="D1503" s="92"/>
      <c r="E1503" s="93"/>
      <c r="F1503" s="92"/>
      <c r="G1503" s="93"/>
      <c r="H1503" s="92"/>
      <c r="I1503" s="98"/>
      <c r="J1503" s="99"/>
    </row>
    <row r="1504" spans="1:10" x14ac:dyDescent="0.4">
      <c r="A1504" s="278"/>
      <c r="B1504" s="97" t="s">
        <v>245</v>
      </c>
      <c r="C1504" s="93"/>
      <c r="D1504" s="92"/>
      <c r="E1504" s="93"/>
      <c r="F1504" s="92"/>
      <c r="G1504" s="93"/>
      <c r="H1504" s="92"/>
      <c r="I1504" s="98"/>
      <c r="J1504" s="99"/>
    </row>
    <row r="1505" spans="1:10" x14ac:dyDescent="0.4">
      <c r="A1505" s="278"/>
      <c r="B1505" s="97" t="s">
        <v>246</v>
      </c>
      <c r="C1505" s="98"/>
      <c r="D1505" s="99"/>
      <c r="E1505" s="93"/>
      <c r="F1505" s="92"/>
      <c r="G1505" s="93"/>
      <c r="H1505" s="92"/>
      <c r="I1505" s="98"/>
      <c r="J1505" s="99"/>
    </row>
    <row r="1506" spans="1:10" x14ac:dyDescent="0.4">
      <c r="A1506" s="278"/>
      <c r="B1506" s="97" t="s">
        <v>247</v>
      </c>
      <c r="C1506" s="98"/>
      <c r="D1506" s="99"/>
      <c r="E1506" s="93"/>
      <c r="F1506" s="92"/>
      <c r="G1506" s="93"/>
      <c r="H1506" s="92"/>
      <c r="I1506" s="98"/>
      <c r="J1506" s="99"/>
    </row>
    <row r="1507" spans="1:10" x14ac:dyDescent="0.4">
      <c r="A1507" s="278"/>
      <c r="B1507" s="97" t="s">
        <v>248</v>
      </c>
      <c r="C1507" s="98"/>
      <c r="D1507" s="99"/>
      <c r="E1507" s="98"/>
      <c r="F1507" s="99"/>
      <c r="G1507" s="93"/>
      <c r="H1507" s="92"/>
      <c r="I1507" s="98"/>
      <c r="J1507" s="99"/>
    </row>
    <row r="1508" spans="1:10" x14ac:dyDescent="0.4">
      <c r="A1508" s="278"/>
      <c r="B1508" s="94" t="s">
        <v>297</v>
      </c>
      <c r="C1508" s="98"/>
      <c r="D1508" s="99"/>
      <c r="E1508" s="98"/>
      <c r="F1508" s="99"/>
      <c r="G1508" s="98"/>
      <c r="H1508" s="99"/>
      <c r="I1508" s="93"/>
      <c r="J1508" s="92"/>
    </row>
    <row r="1509" spans="1:10" x14ac:dyDescent="0.4">
      <c r="A1509" s="278"/>
      <c r="B1509" s="94" t="s">
        <v>249</v>
      </c>
      <c r="C1509" s="98"/>
      <c r="D1509" s="99"/>
      <c r="E1509" s="98"/>
      <c r="F1509" s="99"/>
      <c r="G1509" s="98"/>
      <c r="H1509" s="99"/>
      <c r="I1509" s="93"/>
      <c r="J1509" s="92"/>
    </row>
    <row r="1510" spans="1:10" x14ac:dyDescent="0.4">
      <c r="A1510" s="278"/>
      <c r="B1510" s="94" t="s">
        <v>250</v>
      </c>
      <c r="C1510" s="98"/>
      <c r="D1510" s="99"/>
      <c r="E1510" s="98"/>
      <c r="F1510" s="99"/>
      <c r="G1510" s="98"/>
      <c r="H1510" s="99"/>
      <c r="I1510" s="93"/>
      <c r="J1510" s="92"/>
    </row>
    <row r="1511" spans="1:10" x14ac:dyDescent="0.4">
      <c r="A1511" s="278"/>
      <c r="B1511" s="94" t="s">
        <v>251</v>
      </c>
      <c r="C1511" s="98"/>
      <c r="D1511" s="99"/>
      <c r="E1511" s="98"/>
      <c r="F1511" s="99"/>
      <c r="G1511" s="98"/>
      <c r="H1511" s="99"/>
      <c r="I1511" s="93"/>
      <c r="J1511" s="92"/>
    </row>
    <row r="1512" spans="1:10" x14ac:dyDescent="0.4">
      <c r="A1512" s="278"/>
      <c r="B1512" s="94" t="s">
        <v>252</v>
      </c>
      <c r="C1512" s="98"/>
      <c r="D1512" s="99"/>
      <c r="E1512" s="98"/>
      <c r="F1512" s="99"/>
      <c r="G1512" s="98"/>
      <c r="H1512" s="99"/>
      <c r="I1512" s="93"/>
      <c r="J1512" s="92"/>
    </row>
    <row r="1513" spans="1:10" x14ac:dyDescent="0.4">
      <c r="A1513" s="278"/>
      <c r="B1513" s="94" t="s">
        <v>253</v>
      </c>
      <c r="C1513" s="98"/>
      <c r="D1513" s="99"/>
      <c r="E1513" s="98"/>
      <c r="F1513" s="99"/>
      <c r="G1513" s="98"/>
      <c r="H1513" s="99"/>
      <c r="I1513" s="93"/>
      <c r="J1513" s="92"/>
    </row>
    <row r="1514" spans="1:10" x14ac:dyDescent="0.4">
      <c r="A1514" s="278"/>
      <c r="B1514" s="94" t="s">
        <v>254</v>
      </c>
      <c r="C1514" s="98"/>
      <c r="D1514" s="99"/>
      <c r="E1514" s="98"/>
      <c r="F1514" s="99"/>
      <c r="G1514" s="98"/>
      <c r="H1514" s="99"/>
      <c r="I1514" s="93"/>
      <c r="J1514" s="92"/>
    </row>
    <row r="1515" spans="1:10" x14ac:dyDescent="0.4">
      <c r="A1515" s="278"/>
      <c r="B1515" s="94" t="s">
        <v>255</v>
      </c>
      <c r="C1515" s="98"/>
      <c r="D1515" s="99"/>
      <c r="E1515" s="98"/>
      <c r="F1515" s="99"/>
      <c r="G1515" s="98"/>
      <c r="H1515" s="99"/>
      <c r="I1515" s="93"/>
      <c r="J1515" s="92"/>
    </row>
    <row r="1516" spans="1:10" x14ac:dyDescent="0.4">
      <c r="A1516" s="278"/>
      <c r="B1516" s="94" t="s">
        <v>256</v>
      </c>
      <c r="C1516" s="98"/>
      <c r="D1516" s="99"/>
      <c r="E1516" s="98"/>
      <c r="F1516" s="99"/>
      <c r="G1516" s="98"/>
      <c r="H1516" s="99"/>
      <c r="I1516" s="93"/>
      <c r="J1516" s="92"/>
    </row>
    <row r="1517" spans="1:10" x14ac:dyDescent="0.4">
      <c r="A1517" s="278"/>
      <c r="B1517" s="94" t="s">
        <v>257</v>
      </c>
      <c r="C1517" s="98"/>
      <c r="D1517" s="99"/>
      <c r="E1517" s="98"/>
      <c r="F1517" s="99"/>
      <c r="G1517" s="98"/>
      <c r="H1517" s="99"/>
      <c r="I1517" s="93"/>
      <c r="J1517" s="92"/>
    </row>
    <row r="1518" spans="1:10" x14ac:dyDescent="0.4">
      <c r="A1518" s="278"/>
      <c r="B1518" s="94" t="s">
        <v>258</v>
      </c>
      <c r="C1518" s="98"/>
      <c r="D1518" s="99"/>
      <c r="E1518" s="98"/>
      <c r="F1518" s="99"/>
      <c r="G1518" s="98"/>
      <c r="H1518" s="99"/>
      <c r="I1518" s="93"/>
      <c r="J1518" s="92"/>
    </row>
    <row r="1519" spans="1:10" x14ac:dyDescent="0.4">
      <c r="A1519" s="279"/>
      <c r="B1519" s="94" t="s">
        <v>259</v>
      </c>
      <c r="C1519" s="98"/>
      <c r="D1519" s="99"/>
      <c r="E1519" s="98"/>
      <c r="F1519" s="99"/>
      <c r="G1519" s="98"/>
      <c r="H1519" s="99"/>
      <c r="I1519" s="93"/>
      <c r="J1519" s="92"/>
    </row>
    <row r="1520" spans="1:10" x14ac:dyDescent="0.4">
      <c r="A1520" s="115" t="s">
        <v>263</v>
      </c>
      <c r="B1520" s="116" t="e">
        <f>SUM(C1520,E1520,G1520,I1520)</f>
        <v>#DIV/0!</v>
      </c>
      <c r="C1520" s="103" t="e">
        <f>AVERAGE(C1447:C1459,C1463:C1504)</f>
        <v>#DIV/0!</v>
      </c>
      <c r="D1520" s="103" t="e">
        <f>AVERAGE(D1447:D1459,D1463:D1504)</f>
        <v>#DIV/0!</v>
      </c>
      <c r="E1520" s="103" t="e">
        <f>AVERAGE(E1447:E1455,E1463:E1476,E1479:E1492,E1495:E1506)</f>
        <v>#DIV/0!</v>
      </c>
      <c r="F1520" s="103" t="e">
        <f>AVERAGE(F1447:F1455,F1463:F1476,F1479:F1492,F1495:F1506)</f>
        <v>#DIV/0!</v>
      </c>
      <c r="G1520" s="103" t="e">
        <f>AVERAGE(G1447:G1475,G1479:G1486,G1495:G1507)</f>
        <v>#DIV/0!</v>
      </c>
      <c r="H1520" s="103" t="e">
        <f>AVERAGE(H1447:H1475,H1479:H1486,H1495:H1507)</f>
        <v>#DIV/0!</v>
      </c>
      <c r="I1520" s="103" t="e">
        <f>AVERAGE(I1447:I1454,I1463:I1472,I1479:I1487,I1495:I1502,I1508:I1519)</f>
        <v>#DIV/0!</v>
      </c>
      <c r="J1520" s="103" t="e">
        <f>AVERAGE(J1447:J1454,J1463:J1472,J1479:J1487,J1495:J1502,J1508:J1519)</f>
        <v>#DIV/0!</v>
      </c>
    </row>
    <row r="1521" spans="1:11" x14ac:dyDescent="0.4">
      <c r="A1521" s="115" t="s">
        <v>264</v>
      </c>
      <c r="B1521" s="116" t="e">
        <f>SUM(D1520,F1520,H1520,J1520)</f>
        <v>#DIV/0!</v>
      </c>
      <c r="C1521" s="63" t="s">
        <v>265</v>
      </c>
      <c r="D1521" s="117" t="s">
        <v>266</v>
      </c>
      <c r="E1521" s="63" t="s">
        <v>265</v>
      </c>
      <c r="F1521" s="117" t="s">
        <v>266</v>
      </c>
      <c r="G1521" s="63" t="s">
        <v>265</v>
      </c>
      <c r="H1521" s="117" t="s">
        <v>266</v>
      </c>
      <c r="I1521" s="63" t="s">
        <v>265</v>
      </c>
      <c r="J1521" s="117" t="s">
        <v>266</v>
      </c>
    </row>
    <row r="1524" spans="1:11" x14ac:dyDescent="0.4">
      <c r="A1524" s="280" t="s">
        <v>107</v>
      </c>
      <c r="B1524" s="280"/>
      <c r="C1524" s="280"/>
      <c r="D1524" s="280"/>
      <c r="E1524" s="280"/>
      <c r="F1524" s="280"/>
      <c r="G1524" s="280"/>
      <c r="H1524" s="280"/>
      <c r="I1524" s="280"/>
      <c r="J1524" s="281"/>
      <c r="K1524" s="108">
        <v>10</v>
      </c>
    </row>
    <row r="1525" spans="1:11" ht="34.799999999999997" x14ac:dyDescent="0.4">
      <c r="A1525" s="73" t="s">
        <v>267</v>
      </c>
      <c r="B1525" s="73" t="s">
        <v>268</v>
      </c>
      <c r="C1525" s="73" t="s">
        <v>269</v>
      </c>
      <c r="D1525" s="73" t="s">
        <v>108</v>
      </c>
      <c r="E1525" s="73" t="s">
        <v>109</v>
      </c>
      <c r="F1525" s="74" t="s">
        <v>270</v>
      </c>
      <c r="G1525" s="73" t="s">
        <v>110</v>
      </c>
      <c r="H1525" s="73" t="s">
        <v>111</v>
      </c>
      <c r="I1525" s="73" t="s">
        <v>112</v>
      </c>
      <c r="J1525" s="73" t="s">
        <v>113</v>
      </c>
    </row>
    <row r="1526" spans="1:11" x14ac:dyDescent="0.4">
      <c r="A1526" s="282" t="s">
        <v>271</v>
      </c>
      <c r="B1526" s="86" t="s">
        <v>114</v>
      </c>
      <c r="C1526" s="75" t="s">
        <v>272</v>
      </c>
      <c r="D1526" s="76">
        <v>1</v>
      </c>
      <c r="E1526" s="77">
        <v>1</v>
      </c>
      <c r="F1526" s="274" t="s">
        <v>273</v>
      </c>
      <c r="G1526" s="75">
        <v>105.48</v>
      </c>
      <c r="H1526" s="66"/>
      <c r="I1526" s="67"/>
      <c r="J1526" s="67"/>
    </row>
    <row r="1527" spans="1:11" x14ac:dyDescent="0.4">
      <c r="A1527" s="283"/>
      <c r="B1527" s="86" t="s">
        <v>115</v>
      </c>
      <c r="C1527" s="75" t="s">
        <v>274</v>
      </c>
      <c r="D1527" s="76">
        <v>1</v>
      </c>
      <c r="E1527" s="77">
        <v>1</v>
      </c>
      <c r="F1527" s="275"/>
      <c r="G1527" s="75">
        <v>105.48</v>
      </c>
      <c r="H1527" s="66"/>
      <c r="I1527" s="67"/>
      <c r="J1527" s="67"/>
    </row>
    <row r="1528" spans="1:11" x14ac:dyDescent="0.4">
      <c r="A1528" s="283"/>
      <c r="B1528" s="86" t="s">
        <v>116</v>
      </c>
      <c r="C1528" s="75" t="s">
        <v>117</v>
      </c>
      <c r="D1528" s="76">
        <v>1</v>
      </c>
      <c r="E1528" s="77">
        <v>1</v>
      </c>
      <c r="F1528" s="78"/>
      <c r="G1528" s="75">
        <v>105.48</v>
      </c>
      <c r="H1528" s="66"/>
      <c r="I1528" s="67"/>
      <c r="J1528" s="67"/>
    </row>
    <row r="1529" spans="1:11" x14ac:dyDescent="0.4">
      <c r="A1529" s="284"/>
      <c r="B1529" s="86" t="s">
        <v>118</v>
      </c>
      <c r="C1529" s="75" t="s">
        <v>119</v>
      </c>
      <c r="D1529" s="76">
        <v>1</v>
      </c>
      <c r="E1529" s="77">
        <v>1</v>
      </c>
      <c r="F1529" s="78"/>
      <c r="G1529" s="75">
        <v>105.48</v>
      </c>
      <c r="H1529" s="66"/>
      <c r="I1529" s="67"/>
      <c r="J1529" s="67"/>
    </row>
    <row r="1530" spans="1:11" x14ac:dyDescent="0.4">
      <c r="A1530" s="282" t="s">
        <v>275</v>
      </c>
      <c r="B1530" s="86" t="s">
        <v>120</v>
      </c>
      <c r="C1530" s="75" t="s">
        <v>276</v>
      </c>
      <c r="D1530" s="76">
        <v>1</v>
      </c>
      <c r="E1530" s="77">
        <v>1</v>
      </c>
      <c r="F1530" s="274" t="s">
        <v>273</v>
      </c>
      <c r="G1530" s="75">
        <v>105.48</v>
      </c>
      <c r="H1530" s="66"/>
      <c r="I1530" s="67"/>
      <c r="J1530" s="67"/>
    </row>
    <row r="1531" spans="1:11" x14ac:dyDescent="0.4">
      <c r="A1531" s="283"/>
      <c r="B1531" s="86" t="s">
        <v>121</v>
      </c>
      <c r="C1531" s="75" t="s">
        <v>277</v>
      </c>
      <c r="D1531" s="76">
        <v>1</v>
      </c>
      <c r="E1531" s="77">
        <v>1</v>
      </c>
      <c r="F1531" s="275"/>
      <c r="G1531" s="75">
        <v>105.48</v>
      </c>
      <c r="H1531" s="66"/>
      <c r="I1531" s="67"/>
      <c r="J1531" s="67"/>
    </row>
    <row r="1532" spans="1:11" x14ac:dyDescent="0.4">
      <c r="A1532" s="283"/>
      <c r="B1532" s="86" t="s">
        <v>122</v>
      </c>
      <c r="C1532" s="75" t="s">
        <v>123</v>
      </c>
      <c r="D1532" s="76">
        <v>1</v>
      </c>
      <c r="E1532" s="77">
        <v>1</v>
      </c>
      <c r="F1532" s="275"/>
      <c r="G1532" s="75">
        <v>105.48</v>
      </c>
      <c r="H1532" s="66"/>
      <c r="I1532" s="67"/>
      <c r="J1532" s="67"/>
    </row>
    <row r="1533" spans="1:11" x14ac:dyDescent="0.4">
      <c r="A1533" s="283"/>
      <c r="B1533" s="86" t="s">
        <v>124</v>
      </c>
      <c r="C1533" s="75" t="s">
        <v>125</v>
      </c>
      <c r="D1533" s="76">
        <v>1</v>
      </c>
      <c r="E1533" s="77">
        <v>1</v>
      </c>
      <c r="F1533" s="275"/>
      <c r="G1533" s="75">
        <v>105.48</v>
      </c>
      <c r="H1533" s="66"/>
      <c r="I1533" s="67"/>
      <c r="J1533" s="67"/>
    </row>
    <row r="1534" spans="1:11" x14ac:dyDescent="0.4">
      <c r="A1534" s="283"/>
      <c r="B1534" s="86" t="s">
        <v>126</v>
      </c>
      <c r="C1534" s="75" t="s">
        <v>278</v>
      </c>
      <c r="D1534" s="76">
        <v>1</v>
      </c>
      <c r="E1534" s="77">
        <v>1</v>
      </c>
      <c r="F1534" s="78"/>
      <c r="G1534" s="75">
        <v>70.319999999999993</v>
      </c>
      <c r="H1534" s="66"/>
      <c r="I1534" s="67"/>
      <c r="J1534" s="67"/>
    </row>
    <row r="1535" spans="1:11" x14ac:dyDescent="0.4">
      <c r="A1535" s="283"/>
      <c r="B1535" s="86" t="s">
        <v>127</v>
      </c>
      <c r="C1535" s="75" t="s">
        <v>128</v>
      </c>
      <c r="D1535" s="76">
        <v>1</v>
      </c>
      <c r="E1535" s="77">
        <v>1</v>
      </c>
      <c r="F1535" s="78"/>
      <c r="G1535" s="75">
        <v>70.319999999999993</v>
      </c>
      <c r="H1535" s="66"/>
      <c r="I1535" s="67"/>
      <c r="J1535" s="67"/>
    </row>
    <row r="1536" spans="1:11" x14ac:dyDescent="0.4">
      <c r="A1536" s="284"/>
      <c r="B1536" s="86" t="s">
        <v>129</v>
      </c>
      <c r="C1536" s="75" t="s">
        <v>130</v>
      </c>
      <c r="D1536" s="76">
        <v>1</v>
      </c>
      <c r="E1536" s="77">
        <v>1</v>
      </c>
      <c r="F1536" s="78"/>
      <c r="G1536" s="75">
        <v>70.319999999999993</v>
      </c>
      <c r="H1536" s="66"/>
      <c r="I1536" s="67"/>
      <c r="J1536" s="67"/>
    </row>
    <row r="1537" spans="1:10" x14ac:dyDescent="0.4">
      <c r="A1537" s="273" t="s">
        <v>279</v>
      </c>
      <c r="B1537" s="86" t="s">
        <v>131</v>
      </c>
      <c r="C1537" s="75" t="s">
        <v>280</v>
      </c>
      <c r="D1537" s="76">
        <v>1</v>
      </c>
      <c r="E1537" s="77">
        <v>1</v>
      </c>
      <c r="F1537" s="274" t="s">
        <v>273</v>
      </c>
      <c r="G1537" s="75">
        <v>105.48</v>
      </c>
      <c r="H1537" s="66"/>
      <c r="I1537" s="67"/>
      <c r="J1537" s="67"/>
    </row>
    <row r="1538" spans="1:10" x14ac:dyDescent="0.4">
      <c r="A1538" s="273"/>
      <c r="B1538" s="86" t="s">
        <v>132</v>
      </c>
      <c r="C1538" s="75" t="s">
        <v>133</v>
      </c>
      <c r="D1538" s="76">
        <v>1</v>
      </c>
      <c r="E1538" s="77">
        <v>1</v>
      </c>
      <c r="F1538" s="275"/>
      <c r="G1538" s="75">
        <v>105.48</v>
      </c>
      <c r="H1538" s="66"/>
      <c r="I1538" s="67"/>
      <c r="J1538" s="67"/>
    </row>
    <row r="1539" spans="1:10" x14ac:dyDescent="0.4">
      <c r="A1539" s="273"/>
      <c r="B1539" s="86" t="s">
        <v>134</v>
      </c>
      <c r="C1539" s="75" t="s">
        <v>135</v>
      </c>
      <c r="D1539" s="76">
        <v>1</v>
      </c>
      <c r="E1539" s="77">
        <v>1</v>
      </c>
      <c r="F1539" s="275"/>
      <c r="G1539" s="79">
        <v>105.48</v>
      </c>
      <c r="H1539" s="66"/>
      <c r="I1539" s="67"/>
      <c r="J1539" s="67"/>
    </row>
    <row r="1540" spans="1:10" x14ac:dyDescent="0.4">
      <c r="A1540" s="273"/>
      <c r="B1540" s="86" t="s">
        <v>136</v>
      </c>
      <c r="C1540" s="75" t="s">
        <v>137</v>
      </c>
      <c r="D1540" s="76">
        <v>1</v>
      </c>
      <c r="E1540" s="77">
        <v>1</v>
      </c>
      <c r="F1540" s="275"/>
      <c r="G1540" s="79">
        <v>105.48</v>
      </c>
      <c r="H1540" s="66"/>
      <c r="I1540" s="67"/>
      <c r="J1540" s="67"/>
    </row>
    <row r="1541" spans="1:10" x14ac:dyDescent="0.4">
      <c r="A1541" s="273"/>
      <c r="B1541" s="86" t="s">
        <v>138</v>
      </c>
      <c r="C1541" s="75" t="s">
        <v>281</v>
      </c>
      <c r="D1541" s="76">
        <v>0</v>
      </c>
      <c r="E1541" s="77">
        <v>1</v>
      </c>
      <c r="F1541" s="274" t="s">
        <v>282</v>
      </c>
      <c r="G1541" s="75">
        <v>32.549999999999997</v>
      </c>
      <c r="H1541" s="68"/>
      <c r="I1541" s="68"/>
      <c r="J1541" s="68"/>
    </row>
    <row r="1542" spans="1:10" x14ac:dyDescent="0.4">
      <c r="A1542" s="273"/>
      <c r="B1542" s="86" t="s">
        <v>139</v>
      </c>
      <c r="C1542" s="75" t="s">
        <v>140</v>
      </c>
      <c r="D1542" s="76">
        <v>0</v>
      </c>
      <c r="E1542" s="77">
        <v>1</v>
      </c>
      <c r="F1542" s="276"/>
      <c r="G1542" s="75">
        <v>32.549999999999997</v>
      </c>
      <c r="H1542" s="69"/>
      <c r="I1542" s="69"/>
      <c r="J1542" s="69"/>
    </row>
    <row r="1543" spans="1:10" x14ac:dyDescent="0.4">
      <c r="A1543" s="273"/>
      <c r="B1543" s="86" t="s">
        <v>141</v>
      </c>
      <c r="C1543" s="75" t="s">
        <v>283</v>
      </c>
      <c r="D1543" s="76">
        <v>0</v>
      </c>
      <c r="E1543" s="77">
        <v>1</v>
      </c>
      <c r="F1543" s="274" t="s">
        <v>282</v>
      </c>
      <c r="G1543" s="75">
        <v>32.549999999999997</v>
      </c>
      <c r="H1543" s="69"/>
      <c r="I1543" s="69"/>
      <c r="J1543" s="69"/>
    </row>
    <row r="1544" spans="1:10" x14ac:dyDescent="0.4">
      <c r="A1544" s="273"/>
      <c r="B1544" s="86" t="s">
        <v>142</v>
      </c>
      <c r="C1544" s="75" t="s">
        <v>143</v>
      </c>
      <c r="D1544" s="76">
        <v>1</v>
      </c>
      <c r="E1544" s="77">
        <v>1</v>
      </c>
      <c r="F1544" s="275"/>
      <c r="G1544" s="75">
        <v>32.549999999999997</v>
      </c>
      <c r="H1544" s="70"/>
      <c r="I1544" s="70"/>
      <c r="J1544" s="70"/>
    </row>
    <row r="1545" spans="1:10" x14ac:dyDescent="0.4">
      <c r="A1545" s="273"/>
      <c r="B1545" s="86" t="s">
        <v>144</v>
      </c>
      <c r="C1545" s="75" t="s">
        <v>145</v>
      </c>
      <c r="D1545" s="76">
        <v>0</v>
      </c>
      <c r="E1545" s="77">
        <v>1</v>
      </c>
      <c r="F1545" s="275"/>
      <c r="G1545" s="75">
        <v>32.549999999999997</v>
      </c>
      <c r="H1545" s="69"/>
      <c r="I1545" s="69"/>
      <c r="J1545" s="69"/>
    </row>
    <row r="1546" spans="1:10" x14ac:dyDescent="0.4">
      <c r="A1546" s="273"/>
      <c r="B1546" s="86" t="s">
        <v>146</v>
      </c>
      <c r="C1546" s="75" t="s">
        <v>147</v>
      </c>
      <c r="D1546" s="76">
        <v>1</v>
      </c>
      <c r="E1546" s="77">
        <v>1</v>
      </c>
      <c r="F1546" s="275"/>
      <c r="G1546" s="75">
        <v>32.549999999999997</v>
      </c>
      <c r="H1546" s="70"/>
      <c r="I1546" s="70"/>
      <c r="J1546" s="70"/>
    </row>
    <row r="1547" spans="1:10" x14ac:dyDescent="0.4">
      <c r="A1547" s="273"/>
      <c r="B1547" s="86" t="s">
        <v>148</v>
      </c>
      <c r="C1547" s="75" t="s">
        <v>149</v>
      </c>
      <c r="D1547" s="76">
        <v>0</v>
      </c>
      <c r="E1547" s="77">
        <v>1</v>
      </c>
      <c r="F1547" s="275"/>
      <c r="G1547" s="75">
        <v>32.549999999999997</v>
      </c>
      <c r="H1547" s="70"/>
      <c r="I1547" s="70"/>
      <c r="J1547" s="70"/>
    </row>
    <row r="1548" spans="1:10" x14ac:dyDescent="0.4">
      <c r="A1548" s="273"/>
      <c r="B1548" s="86" t="s">
        <v>150</v>
      </c>
      <c r="C1548" s="75" t="s">
        <v>151</v>
      </c>
      <c r="D1548" s="76">
        <v>1</v>
      </c>
      <c r="E1548" s="77">
        <v>1</v>
      </c>
      <c r="F1548" s="275"/>
      <c r="G1548" s="75">
        <v>32.549999999999997</v>
      </c>
      <c r="H1548" s="70"/>
      <c r="I1548" s="70"/>
      <c r="J1548" s="70"/>
    </row>
    <row r="1549" spans="1:10" x14ac:dyDescent="0.4">
      <c r="A1549" s="273"/>
      <c r="B1549" s="86" t="s">
        <v>152</v>
      </c>
      <c r="C1549" s="75" t="s">
        <v>153</v>
      </c>
      <c r="D1549" s="76">
        <v>0</v>
      </c>
      <c r="E1549" s="77">
        <v>1</v>
      </c>
      <c r="F1549" s="275"/>
      <c r="G1549" s="75">
        <v>32.549999999999997</v>
      </c>
      <c r="H1549" s="69"/>
      <c r="I1549" s="69"/>
      <c r="J1549" s="69"/>
    </row>
    <row r="1550" spans="1:10" x14ac:dyDescent="0.4">
      <c r="A1550" s="273"/>
      <c r="B1550" s="86" t="s">
        <v>154</v>
      </c>
      <c r="C1550" s="75" t="s">
        <v>155</v>
      </c>
      <c r="D1550" s="76">
        <v>0</v>
      </c>
      <c r="E1550" s="77">
        <v>1</v>
      </c>
      <c r="F1550" s="275"/>
      <c r="G1550" s="75">
        <v>32.549999999999997</v>
      </c>
      <c r="H1550" s="69"/>
      <c r="I1550" s="69"/>
      <c r="J1550" s="69"/>
    </row>
    <row r="1551" spans="1:10" x14ac:dyDescent="0.4">
      <c r="A1551" s="273"/>
      <c r="B1551" s="86" t="s">
        <v>156</v>
      </c>
      <c r="C1551" s="75" t="s">
        <v>157</v>
      </c>
      <c r="D1551" s="76">
        <v>0</v>
      </c>
      <c r="E1551" s="77">
        <v>1</v>
      </c>
      <c r="F1551" s="275"/>
      <c r="G1551" s="75">
        <v>32.549999999999997</v>
      </c>
      <c r="H1551" s="69"/>
      <c r="I1551" s="69"/>
      <c r="J1551" s="69"/>
    </row>
    <row r="1552" spans="1:10" x14ac:dyDescent="0.4">
      <c r="A1552" s="273"/>
      <c r="B1552" s="86" t="s">
        <v>158</v>
      </c>
      <c r="C1552" s="75" t="s">
        <v>159</v>
      </c>
      <c r="D1552" s="76">
        <v>0</v>
      </c>
      <c r="E1552" s="77">
        <v>1</v>
      </c>
      <c r="F1552" s="275"/>
      <c r="G1552" s="75">
        <v>32.549999999999997</v>
      </c>
      <c r="H1552" s="69"/>
      <c r="I1552" s="69"/>
      <c r="J1552" s="69"/>
    </row>
    <row r="1553" spans="1:10" x14ac:dyDescent="0.4">
      <c r="A1553" s="273"/>
      <c r="B1553" s="86" t="s">
        <v>160</v>
      </c>
      <c r="C1553" s="75" t="s">
        <v>161</v>
      </c>
      <c r="D1553" s="76">
        <v>0</v>
      </c>
      <c r="E1553" s="77">
        <v>1</v>
      </c>
      <c r="F1553" s="275"/>
      <c r="G1553" s="75">
        <v>32.549999999999997</v>
      </c>
      <c r="H1553" s="69"/>
      <c r="I1553" s="69"/>
      <c r="J1553" s="69"/>
    </row>
    <row r="1554" spans="1:10" x14ac:dyDescent="0.4">
      <c r="A1554" s="273"/>
      <c r="B1554" s="86" t="s">
        <v>162</v>
      </c>
      <c r="C1554" s="75" t="s">
        <v>163</v>
      </c>
      <c r="D1554" s="76">
        <v>0</v>
      </c>
      <c r="E1554" s="77">
        <v>1</v>
      </c>
      <c r="F1554" s="276"/>
      <c r="G1554" s="75">
        <v>32.549999999999997</v>
      </c>
      <c r="H1554" s="69"/>
      <c r="I1554" s="69"/>
      <c r="J1554" s="69"/>
    </row>
    <row r="1555" spans="1:10" x14ac:dyDescent="0.4">
      <c r="A1555" s="273"/>
      <c r="B1555" s="86" t="s">
        <v>164</v>
      </c>
      <c r="C1555" s="75" t="s">
        <v>284</v>
      </c>
      <c r="D1555" s="76">
        <v>0</v>
      </c>
      <c r="E1555" s="77">
        <v>1</v>
      </c>
      <c r="F1555" s="274" t="s">
        <v>282</v>
      </c>
      <c r="G1555" s="75">
        <v>24.4</v>
      </c>
      <c r="H1555" s="69"/>
      <c r="I1555" s="69"/>
      <c r="J1555" s="69"/>
    </row>
    <row r="1556" spans="1:10" x14ac:dyDescent="0.4">
      <c r="A1556" s="273"/>
      <c r="B1556" s="86" t="s">
        <v>165</v>
      </c>
      <c r="C1556" s="75" t="s">
        <v>166</v>
      </c>
      <c r="D1556" s="76">
        <v>0</v>
      </c>
      <c r="E1556" s="77">
        <v>1</v>
      </c>
      <c r="F1556" s="276"/>
      <c r="G1556" s="75">
        <v>24.4</v>
      </c>
      <c r="H1556" s="69"/>
      <c r="I1556" s="69"/>
      <c r="J1556" s="69"/>
    </row>
    <row r="1557" spans="1:10" x14ac:dyDescent="0.4">
      <c r="A1557" s="273" t="s">
        <v>285</v>
      </c>
      <c r="B1557" s="86" t="s">
        <v>167</v>
      </c>
      <c r="C1557" s="75" t="s">
        <v>286</v>
      </c>
      <c r="D1557" s="76">
        <v>1</v>
      </c>
      <c r="E1557" s="77">
        <v>1</v>
      </c>
      <c r="F1557" s="274" t="s">
        <v>273</v>
      </c>
      <c r="G1557" s="75">
        <v>105.48</v>
      </c>
      <c r="H1557" s="66"/>
      <c r="I1557" s="70"/>
      <c r="J1557" s="70"/>
    </row>
    <row r="1558" spans="1:10" x14ac:dyDescent="0.4">
      <c r="A1558" s="273"/>
      <c r="B1558" s="86" t="s">
        <v>168</v>
      </c>
      <c r="C1558" s="75" t="s">
        <v>169</v>
      </c>
      <c r="D1558" s="76">
        <v>1</v>
      </c>
      <c r="E1558" s="77">
        <v>1</v>
      </c>
      <c r="F1558" s="275"/>
      <c r="G1558" s="75">
        <v>105.48</v>
      </c>
      <c r="H1558" s="66"/>
      <c r="I1558" s="71"/>
      <c r="J1558" s="71"/>
    </row>
    <row r="1559" spans="1:10" x14ac:dyDescent="0.4">
      <c r="A1559" s="273"/>
      <c r="B1559" s="86" t="s">
        <v>170</v>
      </c>
      <c r="C1559" s="75" t="s">
        <v>171</v>
      </c>
      <c r="D1559" s="76">
        <v>1</v>
      </c>
      <c r="E1559" s="77">
        <v>1</v>
      </c>
      <c r="F1559" s="275"/>
      <c r="G1559" s="75">
        <v>105.48</v>
      </c>
      <c r="H1559" s="66"/>
      <c r="I1559" s="67"/>
      <c r="J1559" s="67"/>
    </row>
    <row r="1560" spans="1:10" x14ac:dyDescent="0.4">
      <c r="A1560" s="273"/>
      <c r="B1560" s="86" t="s">
        <v>172</v>
      </c>
      <c r="C1560" s="75" t="s">
        <v>173</v>
      </c>
      <c r="D1560" s="76">
        <v>1</v>
      </c>
      <c r="E1560" s="77">
        <v>1</v>
      </c>
      <c r="F1560" s="275"/>
      <c r="G1560" s="75">
        <v>105.48</v>
      </c>
      <c r="H1560" s="66"/>
      <c r="I1560" s="67"/>
      <c r="J1560" s="67"/>
    </row>
    <row r="1561" spans="1:10" x14ac:dyDescent="0.4">
      <c r="A1561" s="273"/>
      <c r="B1561" s="86" t="s">
        <v>174</v>
      </c>
      <c r="C1561" s="75" t="s">
        <v>287</v>
      </c>
      <c r="D1561" s="76">
        <v>1</v>
      </c>
      <c r="E1561" s="77">
        <v>1</v>
      </c>
      <c r="F1561" s="275"/>
      <c r="G1561" s="75">
        <v>65</v>
      </c>
      <c r="H1561" s="72"/>
      <c r="I1561" s="72"/>
      <c r="J1561" s="72"/>
    </row>
    <row r="1562" spans="1:10" x14ac:dyDescent="0.4">
      <c r="A1562" s="273"/>
      <c r="B1562" s="86" t="s">
        <v>175</v>
      </c>
      <c r="C1562" s="75" t="s">
        <v>176</v>
      </c>
      <c r="D1562" s="76">
        <v>1</v>
      </c>
      <c r="E1562" s="77">
        <v>1</v>
      </c>
      <c r="F1562" s="276"/>
      <c r="G1562" s="75">
        <v>65</v>
      </c>
      <c r="H1562" s="72"/>
      <c r="I1562" s="72"/>
      <c r="J1562" s="72"/>
    </row>
    <row r="1563" spans="1:10" x14ac:dyDescent="0.4">
      <c r="A1563" s="273"/>
      <c r="B1563" s="86" t="s">
        <v>177</v>
      </c>
      <c r="C1563" s="75" t="s">
        <v>288</v>
      </c>
      <c r="D1563" s="76">
        <v>1</v>
      </c>
      <c r="E1563" s="77">
        <v>1</v>
      </c>
      <c r="F1563" s="274" t="s">
        <v>282</v>
      </c>
      <c r="G1563" s="75">
        <v>16.3</v>
      </c>
      <c r="H1563" s="72"/>
      <c r="I1563" s="72"/>
      <c r="J1563" s="72"/>
    </row>
    <row r="1564" spans="1:10" x14ac:dyDescent="0.4">
      <c r="A1564" s="273"/>
      <c r="B1564" s="86" t="s">
        <v>178</v>
      </c>
      <c r="C1564" s="75" t="s">
        <v>179</v>
      </c>
      <c r="D1564" s="76">
        <v>1</v>
      </c>
      <c r="E1564" s="77">
        <v>1</v>
      </c>
      <c r="F1564" s="275"/>
      <c r="G1564" s="75">
        <v>16.3</v>
      </c>
      <c r="H1564" s="72"/>
      <c r="I1564" s="72"/>
      <c r="J1564" s="72"/>
    </row>
    <row r="1565" spans="1:10" x14ac:dyDescent="0.4">
      <c r="A1565" s="273"/>
      <c r="B1565" s="86" t="s">
        <v>180</v>
      </c>
      <c r="C1565" s="75" t="s">
        <v>181</v>
      </c>
      <c r="D1565" s="76">
        <v>1</v>
      </c>
      <c r="E1565" s="77">
        <v>1</v>
      </c>
      <c r="F1565" s="275"/>
      <c r="G1565" s="75">
        <v>16.3</v>
      </c>
      <c r="H1565" s="72"/>
      <c r="I1565" s="72"/>
      <c r="J1565" s="72"/>
    </row>
    <row r="1566" spans="1:10" x14ac:dyDescent="0.4">
      <c r="A1566" s="273"/>
      <c r="B1566" s="86" t="s">
        <v>289</v>
      </c>
      <c r="C1566" s="75" t="s">
        <v>182</v>
      </c>
      <c r="D1566" s="76">
        <v>1</v>
      </c>
      <c r="E1566" s="77">
        <v>1</v>
      </c>
      <c r="F1566" s="276"/>
      <c r="G1566" s="75">
        <v>35</v>
      </c>
      <c r="H1566" s="72"/>
      <c r="I1566" s="72"/>
      <c r="J1566" s="72"/>
    </row>
    <row r="1567" spans="1:10" x14ac:dyDescent="0.4">
      <c r="H1567" s="65" t="e">
        <f>AVERAGE(H1526:H1540,H1546:H1548,H1557:H1566)</f>
        <v>#DIV/0!</v>
      </c>
      <c r="I1567" s="65" t="e">
        <f t="shared" ref="I1567" si="9">AVERAGE(I1526:I1540,I1546:I1548,I1557:I1566)</f>
        <v>#DIV/0!</v>
      </c>
      <c r="J1567" s="113" t="e">
        <f>AVERAGE(J1526:J1540,J1546:J1548,J1557:J1566,J1544)</f>
        <v>#DIV/0!</v>
      </c>
    </row>
    <row r="1568" spans="1:10" x14ac:dyDescent="0.4">
      <c r="J1568" s="64" t="s">
        <v>261</v>
      </c>
    </row>
    <row r="1569" spans="1:10" x14ac:dyDescent="0.4">
      <c r="A1569" s="280" t="s">
        <v>183</v>
      </c>
      <c r="B1569" s="280"/>
      <c r="C1569" s="280"/>
      <c r="D1569" s="280"/>
      <c r="E1569" s="280"/>
      <c r="F1569" s="280"/>
      <c r="G1569" s="280"/>
      <c r="H1569" s="280"/>
      <c r="I1569" s="280"/>
      <c r="J1569" s="281"/>
    </row>
    <row r="1570" spans="1:10" ht="34.799999999999997" x14ac:dyDescent="0.4">
      <c r="A1570" s="73" t="s">
        <v>267</v>
      </c>
      <c r="B1570" s="73" t="s">
        <v>268</v>
      </c>
      <c r="C1570" s="73" t="s">
        <v>269</v>
      </c>
      <c r="D1570" s="73" t="s">
        <v>108</v>
      </c>
      <c r="E1570" s="73" t="s">
        <v>109</v>
      </c>
      <c r="F1570" s="74" t="s">
        <v>270</v>
      </c>
      <c r="G1570" s="73" t="s">
        <v>110</v>
      </c>
      <c r="H1570" s="73" t="s">
        <v>184</v>
      </c>
      <c r="I1570" s="73" t="s">
        <v>185</v>
      </c>
      <c r="J1570" s="73" t="s">
        <v>186</v>
      </c>
    </row>
    <row r="1571" spans="1:10" x14ac:dyDescent="0.4">
      <c r="A1571" s="285" t="s">
        <v>271</v>
      </c>
      <c r="B1571" s="87" t="s">
        <v>114</v>
      </c>
      <c r="C1571" s="88" t="s">
        <v>272</v>
      </c>
      <c r="D1571" s="89">
        <v>1</v>
      </c>
      <c r="E1571" s="88">
        <v>1</v>
      </c>
      <c r="F1571" s="274" t="s">
        <v>273</v>
      </c>
      <c r="G1571" s="75">
        <v>105.48</v>
      </c>
      <c r="H1571" s="80"/>
      <c r="I1571" s="81"/>
      <c r="J1571" s="81"/>
    </row>
    <row r="1572" spans="1:10" x14ac:dyDescent="0.4">
      <c r="A1572" s="286"/>
      <c r="B1572" s="87" t="s">
        <v>115</v>
      </c>
      <c r="C1572" s="88" t="s">
        <v>274</v>
      </c>
      <c r="D1572" s="89">
        <v>1</v>
      </c>
      <c r="E1572" s="88">
        <v>1</v>
      </c>
      <c r="F1572" s="275"/>
      <c r="G1572" s="75">
        <v>105.48</v>
      </c>
      <c r="H1572" s="80"/>
      <c r="I1572" s="81"/>
      <c r="J1572" s="81"/>
    </row>
    <row r="1573" spans="1:10" x14ac:dyDescent="0.4">
      <c r="A1573" s="286"/>
      <c r="B1573" s="87" t="s">
        <v>116</v>
      </c>
      <c r="C1573" s="88" t="s">
        <v>117</v>
      </c>
      <c r="D1573" s="89">
        <v>1</v>
      </c>
      <c r="E1573" s="88">
        <v>1</v>
      </c>
      <c r="F1573" s="78"/>
      <c r="G1573" s="75">
        <v>105.48</v>
      </c>
      <c r="H1573" s="80"/>
      <c r="I1573" s="81"/>
      <c r="J1573" s="81"/>
    </row>
    <row r="1574" spans="1:10" x14ac:dyDescent="0.4">
      <c r="A1574" s="287"/>
      <c r="B1574" s="87" t="s">
        <v>118</v>
      </c>
      <c r="C1574" s="88" t="s">
        <v>119</v>
      </c>
      <c r="D1574" s="89">
        <v>1</v>
      </c>
      <c r="E1574" s="88">
        <v>1</v>
      </c>
      <c r="F1574" s="78"/>
      <c r="G1574" s="75">
        <v>105.48</v>
      </c>
      <c r="H1574" s="80"/>
      <c r="I1574" s="81"/>
      <c r="J1574" s="81"/>
    </row>
    <row r="1575" spans="1:10" x14ac:dyDescent="0.4">
      <c r="A1575" s="273" t="s">
        <v>275</v>
      </c>
      <c r="B1575" s="86" t="s">
        <v>120</v>
      </c>
      <c r="C1575" s="75" t="s">
        <v>276</v>
      </c>
      <c r="D1575" s="76">
        <v>1</v>
      </c>
      <c r="E1575" s="77">
        <v>1</v>
      </c>
      <c r="F1575" s="274" t="s">
        <v>273</v>
      </c>
      <c r="G1575" s="75">
        <v>105.48</v>
      </c>
      <c r="H1575" s="80"/>
      <c r="I1575" s="81"/>
      <c r="J1575" s="81"/>
    </row>
    <row r="1576" spans="1:10" x14ac:dyDescent="0.4">
      <c r="A1576" s="273"/>
      <c r="B1576" s="86" t="s">
        <v>121</v>
      </c>
      <c r="C1576" s="75" t="s">
        <v>277</v>
      </c>
      <c r="D1576" s="76">
        <v>1</v>
      </c>
      <c r="E1576" s="77">
        <v>1</v>
      </c>
      <c r="F1576" s="275"/>
      <c r="G1576" s="75">
        <v>105.48</v>
      </c>
      <c r="H1576" s="80"/>
      <c r="I1576" s="81"/>
      <c r="J1576" s="81"/>
    </row>
    <row r="1577" spans="1:10" x14ac:dyDescent="0.4">
      <c r="A1577" s="273"/>
      <c r="B1577" s="86" t="s">
        <v>122</v>
      </c>
      <c r="C1577" s="75" t="s">
        <v>123</v>
      </c>
      <c r="D1577" s="76">
        <v>1</v>
      </c>
      <c r="E1577" s="77">
        <v>1</v>
      </c>
      <c r="F1577" s="275"/>
      <c r="G1577" s="75">
        <v>105.48</v>
      </c>
      <c r="H1577" s="80"/>
      <c r="I1577" s="81"/>
      <c r="J1577" s="81"/>
    </row>
    <row r="1578" spans="1:10" x14ac:dyDescent="0.4">
      <c r="A1578" s="273"/>
      <c r="B1578" s="86" t="s">
        <v>124</v>
      </c>
      <c r="C1578" s="75" t="s">
        <v>125</v>
      </c>
      <c r="D1578" s="76">
        <v>1</v>
      </c>
      <c r="E1578" s="77">
        <v>1</v>
      </c>
      <c r="F1578" s="275"/>
      <c r="G1578" s="75">
        <v>105.48</v>
      </c>
      <c r="H1578" s="80"/>
      <c r="I1578" s="81"/>
      <c r="J1578" s="81"/>
    </row>
    <row r="1579" spans="1:10" x14ac:dyDescent="0.4">
      <c r="A1579" s="273" t="s">
        <v>279</v>
      </c>
      <c r="B1579" s="86" t="s">
        <v>131</v>
      </c>
      <c r="C1579" s="75" t="s">
        <v>280</v>
      </c>
      <c r="D1579" s="76">
        <v>1</v>
      </c>
      <c r="E1579" s="77">
        <v>1</v>
      </c>
      <c r="F1579" s="274" t="s">
        <v>273</v>
      </c>
      <c r="G1579" s="75">
        <v>105.48</v>
      </c>
      <c r="H1579" s="80"/>
      <c r="I1579" s="81"/>
      <c r="J1579" s="81"/>
    </row>
    <row r="1580" spans="1:10" x14ac:dyDescent="0.4">
      <c r="A1580" s="273"/>
      <c r="B1580" s="86" t="s">
        <v>132</v>
      </c>
      <c r="C1580" s="75" t="s">
        <v>133</v>
      </c>
      <c r="D1580" s="76">
        <v>1</v>
      </c>
      <c r="E1580" s="77">
        <v>1</v>
      </c>
      <c r="F1580" s="275"/>
      <c r="G1580" s="75">
        <v>105.48</v>
      </c>
      <c r="H1580" s="80"/>
      <c r="I1580" s="81"/>
      <c r="J1580" s="81"/>
    </row>
    <row r="1581" spans="1:10" x14ac:dyDescent="0.4">
      <c r="A1581" s="273"/>
      <c r="B1581" s="86" t="s">
        <v>134</v>
      </c>
      <c r="C1581" s="75" t="s">
        <v>135</v>
      </c>
      <c r="D1581" s="76">
        <v>1</v>
      </c>
      <c r="E1581" s="77">
        <v>1</v>
      </c>
      <c r="F1581" s="275"/>
      <c r="G1581" s="79">
        <v>105.48</v>
      </c>
      <c r="H1581" s="80"/>
      <c r="I1581" s="81"/>
      <c r="J1581" s="81"/>
    </row>
    <row r="1582" spans="1:10" x14ac:dyDescent="0.4">
      <c r="A1582" s="273"/>
      <c r="B1582" s="86" t="s">
        <v>136</v>
      </c>
      <c r="C1582" s="75" t="s">
        <v>137</v>
      </c>
      <c r="D1582" s="76">
        <v>1</v>
      </c>
      <c r="E1582" s="77">
        <v>1</v>
      </c>
      <c r="F1582" s="275"/>
      <c r="G1582" s="79">
        <v>105.48</v>
      </c>
      <c r="H1582" s="80"/>
      <c r="I1582" s="81"/>
      <c r="J1582" s="81"/>
    </row>
    <row r="1583" spans="1:10" x14ac:dyDescent="0.4">
      <c r="A1583" s="273"/>
      <c r="B1583" s="86" t="s">
        <v>138</v>
      </c>
      <c r="C1583" s="75" t="s">
        <v>281</v>
      </c>
      <c r="D1583" s="75">
        <v>0</v>
      </c>
      <c r="E1583" s="77">
        <v>1</v>
      </c>
      <c r="F1583" s="77">
        <v>1</v>
      </c>
      <c r="G1583" s="75">
        <v>32.549999999999997</v>
      </c>
      <c r="H1583" s="82"/>
      <c r="I1583" s="82"/>
      <c r="J1583" s="82"/>
    </row>
    <row r="1584" spans="1:10" x14ac:dyDescent="0.4">
      <c r="A1584" s="273"/>
      <c r="B1584" s="86" t="s">
        <v>139</v>
      </c>
      <c r="C1584" s="75" t="s">
        <v>140</v>
      </c>
      <c r="D1584" s="75">
        <v>0</v>
      </c>
      <c r="E1584" s="77">
        <v>1</v>
      </c>
      <c r="F1584" s="77">
        <v>1</v>
      </c>
      <c r="G1584" s="75">
        <v>32.549999999999997</v>
      </c>
      <c r="H1584" s="83"/>
      <c r="I1584" s="83"/>
      <c r="J1584" s="83"/>
    </row>
    <row r="1585" spans="1:10" x14ac:dyDescent="0.4">
      <c r="A1585" s="273"/>
      <c r="B1585" s="86" t="s">
        <v>141</v>
      </c>
      <c r="C1585" s="75" t="s">
        <v>283</v>
      </c>
      <c r="D1585" s="75">
        <v>0</v>
      </c>
      <c r="E1585" s="77">
        <v>1</v>
      </c>
      <c r="F1585" s="77">
        <v>1</v>
      </c>
      <c r="G1585" s="75">
        <v>32.549999999999997</v>
      </c>
      <c r="H1585" s="83"/>
      <c r="I1585" s="83"/>
      <c r="J1585" s="83"/>
    </row>
    <row r="1586" spans="1:10" x14ac:dyDescent="0.4">
      <c r="A1586" s="273"/>
      <c r="B1586" s="86" t="s">
        <v>142</v>
      </c>
      <c r="C1586" s="75" t="s">
        <v>143</v>
      </c>
      <c r="D1586" s="75">
        <v>1</v>
      </c>
      <c r="E1586" s="77">
        <v>1</v>
      </c>
      <c r="F1586" s="77">
        <v>1</v>
      </c>
      <c r="G1586" s="75">
        <v>32.549999999999997</v>
      </c>
      <c r="H1586" s="84"/>
      <c r="I1586" s="84"/>
      <c r="J1586" s="84"/>
    </row>
    <row r="1587" spans="1:10" x14ac:dyDescent="0.4">
      <c r="A1587" s="273"/>
      <c r="B1587" s="86" t="s">
        <v>144</v>
      </c>
      <c r="C1587" s="75" t="s">
        <v>145</v>
      </c>
      <c r="D1587" s="75">
        <v>0</v>
      </c>
      <c r="E1587" s="77">
        <v>1</v>
      </c>
      <c r="F1587" s="77">
        <v>1</v>
      </c>
      <c r="G1587" s="75">
        <v>32.549999999999997</v>
      </c>
      <c r="H1587" s="83"/>
      <c r="I1587" s="83"/>
      <c r="J1587" s="83"/>
    </row>
    <row r="1588" spans="1:10" x14ac:dyDescent="0.4">
      <c r="A1588" s="273"/>
      <c r="B1588" s="86" t="s">
        <v>146</v>
      </c>
      <c r="C1588" s="75" t="s">
        <v>147</v>
      </c>
      <c r="D1588" s="75">
        <v>1</v>
      </c>
      <c r="E1588" s="77">
        <v>1</v>
      </c>
      <c r="F1588" s="77">
        <v>1</v>
      </c>
      <c r="G1588" s="75">
        <v>32.549999999999997</v>
      </c>
      <c r="H1588" s="84"/>
      <c r="I1588" s="84"/>
      <c r="J1588" s="84"/>
    </row>
    <row r="1589" spans="1:10" x14ac:dyDescent="0.4">
      <c r="A1589" s="273"/>
      <c r="B1589" s="86" t="s">
        <v>148</v>
      </c>
      <c r="C1589" s="75" t="s">
        <v>149</v>
      </c>
      <c r="D1589" s="75">
        <v>0</v>
      </c>
      <c r="E1589" s="77">
        <v>1</v>
      </c>
      <c r="F1589" s="77">
        <v>1</v>
      </c>
      <c r="G1589" s="75">
        <v>32.549999999999997</v>
      </c>
      <c r="H1589" s="84"/>
      <c r="I1589" s="84"/>
      <c r="J1589" s="84"/>
    </row>
    <row r="1590" spans="1:10" x14ac:dyDescent="0.4">
      <c r="A1590" s="273"/>
      <c r="B1590" s="86" t="s">
        <v>150</v>
      </c>
      <c r="C1590" s="75" t="s">
        <v>151</v>
      </c>
      <c r="D1590" s="75">
        <v>1</v>
      </c>
      <c r="E1590" s="77">
        <v>1</v>
      </c>
      <c r="F1590" s="77">
        <v>1</v>
      </c>
      <c r="G1590" s="75">
        <v>32.549999999999997</v>
      </c>
      <c r="H1590" s="84"/>
      <c r="I1590" s="84"/>
      <c r="J1590" s="84"/>
    </row>
    <row r="1591" spans="1:10" x14ac:dyDescent="0.4">
      <c r="A1591" s="273"/>
      <c r="B1591" s="86" t="s">
        <v>152</v>
      </c>
      <c r="C1591" s="75" t="s">
        <v>153</v>
      </c>
      <c r="D1591" s="75">
        <v>0</v>
      </c>
      <c r="E1591" s="77">
        <v>1</v>
      </c>
      <c r="F1591" s="77">
        <v>1</v>
      </c>
      <c r="G1591" s="75">
        <v>32.549999999999997</v>
      </c>
      <c r="H1591" s="83"/>
      <c r="I1591" s="83"/>
      <c r="J1591" s="83"/>
    </row>
    <row r="1592" spans="1:10" x14ac:dyDescent="0.4">
      <c r="A1592" s="273"/>
      <c r="B1592" s="86" t="s">
        <v>154</v>
      </c>
      <c r="C1592" s="75" t="s">
        <v>155</v>
      </c>
      <c r="D1592" s="75">
        <v>0</v>
      </c>
      <c r="E1592" s="77">
        <v>1</v>
      </c>
      <c r="F1592" s="77">
        <v>1</v>
      </c>
      <c r="G1592" s="75">
        <v>32.549999999999997</v>
      </c>
      <c r="H1592" s="83"/>
      <c r="I1592" s="83"/>
      <c r="J1592" s="83"/>
    </row>
    <row r="1593" spans="1:10" x14ac:dyDescent="0.4">
      <c r="A1593" s="273"/>
      <c r="B1593" s="86" t="s">
        <v>156</v>
      </c>
      <c r="C1593" s="75" t="s">
        <v>157</v>
      </c>
      <c r="D1593" s="75">
        <v>0</v>
      </c>
      <c r="E1593" s="77">
        <v>1</v>
      </c>
      <c r="F1593" s="77">
        <v>1</v>
      </c>
      <c r="G1593" s="75">
        <v>32.549999999999997</v>
      </c>
      <c r="H1593" s="83"/>
      <c r="I1593" s="83"/>
      <c r="J1593" s="83"/>
    </row>
    <row r="1594" spans="1:10" x14ac:dyDescent="0.4">
      <c r="A1594" s="273"/>
      <c r="B1594" s="86" t="s">
        <v>158</v>
      </c>
      <c r="C1594" s="75" t="s">
        <v>159</v>
      </c>
      <c r="D1594" s="75">
        <v>0</v>
      </c>
      <c r="E1594" s="77">
        <v>1</v>
      </c>
      <c r="F1594" s="77">
        <v>1</v>
      </c>
      <c r="G1594" s="75">
        <v>32.549999999999997</v>
      </c>
      <c r="H1594" s="83"/>
      <c r="I1594" s="83"/>
      <c r="J1594" s="83"/>
    </row>
    <row r="1595" spans="1:10" x14ac:dyDescent="0.4">
      <c r="A1595" s="273"/>
      <c r="B1595" s="86" t="s">
        <v>160</v>
      </c>
      <c r="C1595" s="75" t="s">
        <v>161</v>
      </c>
      <c r="D1595" s="75">
        <v>0</v>
      </c>
      <c r="E1595" s="77">
        <v>1</v>
      </c>
      <c r="F1595" s="77">
        <v>1</v>
      </c>
      <c r="G1595" s="75">
        <v>32.549999999999997</v>
      </c>
      <c r="H1595" s="83"/>
      <c r="I1595" s="83"/>
      <c r="J1595" s="83"/>
    </row>
    <row r="1596" spans="1:10" x14ac:dyDescent="0.4">
      <c r="A1596" s="273"/>
      <c r="B1596" s="86" t="s">
        <v>162</v>
      </c>
      <c r="C1596" s="75" t="s">
        <v>163</v>
      </c>
      <c r="D1596" s="75">
        <v>0</v>
      </c>
      <c r="E1596" s="77">
        <v>1</v>
      </c>
      <c r="F1596" s="77">
        <v>1</v>
      </c>
      <c r="G1596" s="75">
        <v>32.549999999999997</v>
      </c>
      <c r="H1596" s="83"/>
      <c r="I1596" s="83"/>
      <c r="J1596" s="83"/>
    </row>
    <row r="1597" spans="1:10" x14ac:dyDescent="0.4">
      <c r="A1597" s="273"/>
      <c r="B1597" s="86" t="s">
        <v>164</v>
      </c>
      <c r="C1597" s="75" t="s">
        <v>284</v>
      </c>
      <c r="D1597" s="75">
        <v>0</v>
      </c>
      <c r="E1597" s="77">
        <v>1</v>
      </c>
      <c r="F1597" s="77">
        <v>1</v>
      </c>
      <c r="G1597" s="75">
        <v>24.4</v>
      </c>
      <c r="H1597" s="83"/>
      <c r="I1597" s="83"/>
      <c r="J1597" s="83"/>
    </row>
    <row r="1598" spans="1:10" x14ac:dyDescent="0.4">
      <c r="A1598" s="273"/>
      <c r="B1598" s="86" t="s">
        <v>165</v>
      </c>
      <c r="C1598" s="75" t="s">
        <v>166</v>
      </c>
      <c r="D1598" s="75">
        <v>0</v>
      </c>
      <c r="E1598" s="77">
        <v>1</v>
      </c>
      <c r="F1598" s="77">
        <v>1</v>
      </c>
      <c r="G1598" s="75">
        <v>24.4</v>
      </c>
      <c r="H1598" s="83"/>
      <c r="I1598" s="83"/>
      <c r="J1598" s="83"/>
    </row>
    <row r="1599" spans="1:10" x14ac:dyDescent="0.4">
      <c r="A1599" s="273" t="s">
        <v>285</v>
      </c>
      <c r="B1599" s="86" t="s">
        <v>167</v>
      </c>
      <c r="C1599" s="75" t="s">
        <v>286</v>
      </c>
      <c r="D1599" s="76">
        <v>1</v>
      </c>
      <c r="E1599" s="77">
        <v>1</v>
      </c>
      <c r="F1599" s="274" t="s">
        <v>273</v>
      </c>
      <c r="G1599" s="75">
        <v>105.48</v>
      </c>
      <c r="H1599" s="80"/>
      <c r="I1599" s="84"/>
      <c r="J1599" s="84"/>
    </row>
    <row r="1600" spans="1:10" x14ac:dyDescent="0.4">
      <c r="A1600" s="273"/>
      <c r="B1600" s="86" t="s">
        <v>168</v>
      </c>
      <c r="C1600" s="75" t="s">
        <v>169</v>
      </c>
      <c r="D1600" s="76">
        <v>1</v>
      </c>
      <c r="E1600" s="77">
        <v>1</v>
      </c>
      <c r="F1600" s="275"/>
      <c r="G1600" s="75">
        <v>105.48</v>
      </c>
      <c r="H1600" s="80"/>
      <c r="I1600" s="85"/>
      <c r="J1600" s="85"/>
    </row>
    <row r="1601" spans="1:10" x14ac:dyDescent="0.4">
      <c r="A1601" s="273"/>
      <c r="B1601" s="86" t="s">
        <v>170</v>
      </c>
      <c r="C1601" s="75" t="s">
        <v>171</v>
      </c>
      <c r="D1601" s="76">
        <v>1</v>
      </c>
      <c r="E1601" s="77">
        <v>1</v>
      </c>
      <c r="F1601" s="275"/>
      <c r="G1601" s="75">
        <v>105.48</v>
      </c>
      <c r="H1601" s="80"/>
      <c r="I1601" s="81"/>
      <c r="J1601" s="81"/>
    </row>
    <row r="1602" spans="1:10" x14ac:dyDescent="0.4">
      <c r="A1602" s="273"/>
      <c r="B1602" s="86" t="s">
        <v>172</v>
      </c>
      <c r="C1602" s="75" t="s">
        <v>173</v>
      </c>
      <c r="D1602" s="76">
        <v>1</v>
      </c>
      <c r="E1602" s="77">
        <v>1</v>
      </c>
      <c r="F1602" s="275"/>
      <c r="G1602" s="75">
        <v>105.48</v>
      </c>
      <c r="H1602" s="80"/>
      <c r="I1602" s="81"/>
      <c r="J1602" s="81"/>
    </row>
    <row r="1603" spans="1:10" x14ac:dyDescent="0.4">
      <c r="A1603" s="273"/>
      <c r="B1603" s="86" t="s">
        <v>174</v>
      </c>
      <c r="C1603" s="75" t="s">
        <v>287</v>
      </c>
      <c r="D1603" s="76">
        <v>1</v>
      </c>
      <c r="E1603" s="77">
        <v>1</v>
      </c>
      <c r="F1603" s="275"/>
      <c r="G1603" s="75">
        <v>65</v>
      </c>
      <c r="H1603" s="93"/>
      <c r="I1603" s="93"/>
      <c r="J1603" s="93"/>
    </row>
    <row r="1604" spans="1:10" x14ac:dyDescent="0.4">
      <c r="A1604" s="273"/>
      <c r="B1604" s="86" t="s">
        <v>175</v>
      </c>
      <c r="C1604" s="75" t="s">
        <v>176</v>
      </c>
      <c r="D1604" s="76">
        <v>1</v>
      </c>
      <c r="E1604" s="77">
        <v>1</v>
      </c>
      <c r="F1604" s="276"/>
      <c r="G1604" s="75">
        <v>65</v>
      </c>
      <c r="H1604" s="93"/>
      <c r="I1604" s="93"/>
      <c r="J1604" s="93"/>
    </row>
    <row r="1605" spans="1:10" x14ac:dyDescent="0.4">
      <c r="A1605" s="273"/>
      <c r="B1605" s="86" t="s">
        <v>177</v>
      </c>
      <c r="C1605" s="75" t="s">
        <v>288</v>
      </c>
      <c r="D1605" s="76">
        <v>1</v>
      </c>
      <c r="E1605" s="77">
        <v>1</v>
      </c>
      <c r="F1605" s="274" t="s">
        <v>282</v>
      </c>
      <c r="G1605" s="75">
        <v>16.3</v>
      </c>
      <c r="H1605" s="93"/>
      <c r="I1605" s="93"/>
      <c r="J1605" s="93"/>
    </row>
    <row r="1606" spans="1:10" x14ac:dyDescent="0.4">
      <c r="A1606" s="273"/>
      <c r="B1606" s="86" t="s">
        <v>178</v>
      </c>
      <c r="C1606" s="75" t="s">
        <v>179</v>
      </c>
      <c r="D1606" s="76">
        <v>1</v>
      </c>
      <c r="E1606" s="77">
        <v>1</v>
      </c>
      <c r="F1606" s="275"/>
      <c r="G1606" s="75">
        <v>16.3</v>
      </c>
      <c r="H1606" s="93"/>
      <c r="I1606" s="93"/>
      <c r="J1606" s="93"/>
    </row>
    <row r="1607" spans="1:10" x14ac:dyDescent="0.4">
      <c r="A1607" s="273"/>
      <c r="B1607" s="86" t="s">
        <v>180</v>
      </c>
      <c r="C1607" s="75" t="s">
        <v>181</v>
      </c>
      <c r="D1607" s="76">
        <v>1</v>
      </c>
      <c r="E1607" s="77">
        <v>1</v>
      </c>
      <c r="F1607" s="275"/>
      <c r="G1607" s="75">
        <v>16.3</v>
      </c>
      <c r="H1607" s="93"/>
      <c r="I1607" s="93"/>
      <c r="J1607" s="93"/>
    </row>
    <row r="1608" spans="1:10" x14ac:dyDescent="0.4">
      <c r="A1608" s="273"/>
      <c r="B1608" s="86" t="s">
        <v>289</v>
      </c>
      <c r="C1608" s="75" t="s">
        <v>182</v>
      </c>
      <c r="D1608" s="76">
        <v>1</v>
      </c>
      <c r="E1608" s="77">
        <v>1</v>
      </c>
      <c r="F1608" s="276"/>
      <c r="G1608" s="75">
        <v>35</v>
      </c>
      <c r="H1608" s="93"/>
      <c r="I1608" s="93"/>
      <c r="J1608" s="93"/>
    </row>
    <row r="1609" spans="1:10" x14ac:dyDescent="0.4">
      <c r="A1609" s="273" t="s">
        <v>275</v>
      </c>
      <c r="B1609" s="86" t="s">
        <v>126</v>
      </c>
      <c r="C1609" s="75" t="s">
        <v>278</v>
      </c>
      <c r="D1609" s="76">
        <v>1</v>
      </c>
      <c r="E1609" s="77">
        <v>1</v>
      </c>
      <c r="F1609" s="90"/>
      <c r="G1609" s="75">
        <v>70.319999999999993</v>
      </c>
      <c r="H1609" s="93"/>
      <c r="I1609" s="93"/>
      <c r="J1609" s="93"/>
    </row>
    <row r="1610" spans="1:10" x14ac:dyDescent="0.4">
      <c r="A1610" s="273"/>
      <c r="B1610" s="86" t="s">
        <v>127</v>
      </c>
      <c r="C1610" s="75" t="s">
        <v>128</v>
      </c>
      <c r="D1610" s="76">
        <v>1</v>
      </c>
      <c r="E1610" s="77">
        <v>1</v>
      </c>
      <c r="F1610" s="90"/>
      <c r="G1610" s="75">
        <v>70.319999999999993</v>
      </c>
      <c r="H1610" s="93"/>
      <c r="I1610" s="93"/>
      <c r="J1610" s="93"/>
    </row>
    <row r="1611" spans="1:10" x14ac:dyDescent="0.4">
      <c r="A1611" s="273"/>
      <c r="B1611" s="86" t="s">
        <v>129</v>
      </c>
      <c r="C1611" s="75" t="s">
        <v>130</v>
      </c>
      <c r="D1611" s="76">
        <v>1</v>
      </c>
      <c r="E1611" s="77">
        <v>1</v>
      </c>
      <c r="F1611" s="90"/>
      <c r="G1611" s="75">
        <v>70.319999999999993</v>
      </c>
      <c r="H1611" s="93"/>
      <c r="I1611" s="93"/>
      <c r="J1611" s="93"/>
    </row>
    <row r="1612" spans="1:10" x14ac:dyDescent="0.4">
      <c r="H1612" s="91" t="e">
        <f>AVERAGE(H1571:H1582,H1588:H1590,H1599:H1611)</f>
        <v>#DIV/0!</v>
      </c>
      <c r="I1612" s="91" t="e">
        <f>AVERAGE(I1571:I1582,I1588:I1590,I1599:I1611)</f>
        <v>#DIV/0!</v>
      </c>
      <c r="J1612" s="114" t="e">
        <f>AVERAGE(J1571:J1582,J1588:J1590,J1599:J1611,J1586)</f>
        <v>#DIV/0!</v>
      </c>
    </row>
    <row r="1613" spans="1:10" x14ac:dyDescent="0.4">
      <c r="J1613" s="115" t="s">
        <v>262</v>
      </c>
    </row>
    <row r="1614" spans="1:10" x14ac:dyDescent="0.4">
      <c r="A1614" s="288" t="s">
        <v>290</v>
      </c>
      <c r="B1614" s="288"/>
      <c r="C1614" s="289" t="s">
        <v>187</v>
      </c>
      <c r="D1614" s="290"/>
      <c r="E1614" s="290" t="s">
        <v>188</v>
      </c>
      <c r="F1614" s="290"/>
      <c r="G1614" s="290" t="s">
        <v>189</v>
      </c>
      <c r="H1614" s="290"/>
      <c r="I1614" s="290" t="s">
        <v>190</v>
      </c>
      <c r="J1614" s="290"/>
    </row>
    <row r="1615" spans="1:10" ht="34.799999999999997" x14ac:dyDescent="0.4">
      <c r="A1615" s="288"/>
      <c r="B1615" s="288"/>
      <c r="C1615" s="102" t="s">
        <v>191</v>
      </c>
      <c r="D1615" s="101" t="s">
        <v>192</v>
      </c>
      <c r="E1615" s="101" t="s">
        <v>191</v>
      </c>
      <c r="F1615" s="101" t="s">
        <v>192</v>
      </c>
      <c r="G1615" s="101" t="s">
        <v>191</v>
      </c>
      <c r="H1615" s="101" t="s">
        <v>192</v>
      </c>
      <c r="I1615" s="101" t="s">
        <v>191</v>
      </c>
      <c r="J1615" s="101" t="s">
        <v>192</v>
      </c>
    </row>
    <row r="1616" spans="1:10" x14ac:dyDescent="0.4">
      <c r="A1616" s="277" t="s">
        <v>291</v>
      </c>
      <c r="B1616" s="100" t="s">
        <v>292</v>
      </c>
      <c r="C1616" s="93"/>
      <c r="D1616" s="92"/>
      <c r="E1616" s="93"/>
      <c r="F1616" s="92"/>
      <c r="G1616" s="93"/>
      <c r="H1616" s="92"/>
      <c r="I1616" s="93"/>
      <c r="J1616" s="92"/>
    </row>
    <row r="1617" spans="1:10" x14ac:dyDescent="0.4">
      <c r="A1617" s="278"/>
      <c r="B1617" s="94" t="s">
        <v>193</v>
      </c>
      <c r="C1617" s="93"/>
      <c r="D1617" s="92"/>
      <c r="E1617" s="93"/>
      <c r="F1617" s="92"/>
      <c r="G1617" s="93"/>
      <c r="H1617" s="92"/>
      <c r="I1617" s="93"/>
      <c r="J1617" s="92"/>
    </row>
    <row r="1618" spans="1:10" x14ac:dyDescent="0.4">
      <c r="A1618" s="278"/>
      <c r="B1618" s="94" t="s">
        <v>194</v>
      </c>
      <c r="C1618" s="93"/>
      <c r="D1618" s="92"/>
      <c r="E1618" s="93"/>
      <c r="F1618" s="92"/>
      <c r="G1618" s="93"/>
      <c r="H1618" s="92"/>
      <c r="I1618" s="93"/>
      <c r="J1618" s="92"/>
    </row>
    <row r="1619" spans="1:10" x14ac:dyDescent="0.4">
      <c r="A1619" s="278"/>
      <c r="B1619" s="94" t="s">
        <v>195</v>
      </c>
      <c r="C1619" s="93"/>
      <c r="D1619" s="92"/>
      <c r="E1619" s="93"/>
      <c r="F1619" s="92"/>
      <c r="G1619" s="93"/>
      <c r="H1619" s="92"/>
      <c r="I1619" s="93"/>
      <c r="J1619" s="92"/>
    </row>
    <row r="1620" spans="1:10" x14ac:dyDescent="0.4">
      <c r="A1620" s="278"/>
      <c r="B1620" s="94" t="s">
        <v>196</v>
      </c>
      <c r="C1620" s="93"/>
      <c r="D1620" s="92"/>
      <c r="E1620" s="93"/>
      <c r="F1620" s="92"/>
      <c r="G1620" s="93"/>
      <c r="H1620" s="92"/>
      <c r="I1620" s="93"/>
      <c r="J1620" s="92"/>
    </row>
    <row r="1621" spans="1:10" x14ac:dyDescent="0.4">
      <c r="A1621" s="278"/>
      <c r="B1621" s="94" t="s">
        <v>197</v>
      </c>
      <c r="C1621" s="93"/>
      <c r="D1621" s="92"/>
      <c r="E1621" s="93"/>
      <c r="F1621" s="92"/>
      <c r="G1621" s="93"/>
      <c r="H1621" s="92"/>
      <c r="I1621" s="93"/>
      <c r="J1621" s="92"/>
    </row>
    <row r="1622" spans="1:10" x14ac:dyDescent="0.4">
      <c r="A1622" s="278"/>
      <c r="B1622" s="94" t="s">
        <v>198</v>
      </c>
      <c r="C1622" s="93"/>
      <c r="D1622" s="92"/>
      <c r="E1622" s="93"/>
      <c r="F1622" s="92"/>
      <c r="G1622" s="93"/>
      <c r="H1622" s="92"/>
      <c r="I1622" s="93"/>
      <c r="J1622" s="92"/>
    </row>
    <row r="1623" spans="1:10" x14ac:dyDescent="0.4">
      <c r="A1623" s="278"/>
      <c r="B1623" s="94" t="s">
        <v>199</v>
      </c>
      <c r="C1623" s="93"/>
      <c r="D1623" s="92"/>
      <c r="E1623" s="93"/>
      <c r="F1623" s="92"/>
      <c r="G1623" s="93"/>
      <c r="H1623" s="92"/>
      <c r="I1623" s="93"/>
      <c r="J1623" s="92"/>
    </row>
    <row r="1624" spans="1:10" x14ac:dyDescent="0.4">
      <c r="A1624" s="278"/>
      <c r="B1624" s="94" t="s">
        <v>200</v>
      </c>
      <c r="C1624" s="93"/>
      <c r="D1624" s="92"/>
      <c r="E1624" s="93"/>
      <c r="F1624" s="92"/>
      <c r="G1624" s="93"/>
      <c r="H1624" s="92"/>
      <c r="I1624" s="98"/>
      <c r="J1624" s="99"/>
    </row>
    <row r="1625" spans="1:10" x14ac:dyDescent="0.4">
      <c r="A1625" s="278"/>
      <c r="B1625" s="94" t="s">
        <v>201</v>
      </c>
      <c r="C1625" s="93"/>
      <c r="D1625" s="92"/>
      <c r="E1625" s="98"/>
      <c r="F1625" s="99"/>
      <c r="G1625" s="93"/>
      <c r="H1625" s="92"/>
      <c r="I1625" s="98"/>
      <c r="J1625" s="99"/>
    </row>
    <row r="1626" spans="1:10" x14ac:dyDescent="0.4">
      <c r="A1626" s="278"/>
      <c r="B1626" s="94" t="s">
        <v>202</v>
      </c>
      <c r="C1626" s="93"/>
      <c r="D1626" s="92"/>
      <c r="E1626" s="98"/>
      <c r="F1626" s="99"/>
      <c r="G1626" s="93"/>
      <c r="H1626" s="92"/>
      <c r="I1626" s="98"/>
      <c r="J1626" s="99"/>
    </row>
    <row r="1627" spans="1:10" x14ac:dyDescent="0.4">
      <c r="A1627" s="278"/>
      <c r="B1627" s="94" t="s">
        <v>203</v>
      </c>
      <c r="C1627" s="93"/>
      <c r="D1627" s="92"/>
      <c r="E1627" s="98"/>
      <c r="F1627" s="99"/>
      <c r="G1627" s="93"/>
      <c r="H1627" s="92"/>
      <c r="I1627" s="98"/>
      <c r="J1627" s="99"/>
    </row>
    <row r="1628" spans="1:10" x14ac:dyDescent="0.4">
      <c r="A1628" s="278"/>
      <c r="B1628" s="94" t="s">
        <v>204</v>
      </c>
      <c r="C1628" s="93"/>
      <c r="D1628" s="92"/>
      <c r="E1628" s="98"/>
      <c r="F1628" s="99"/>
      <c r="G1628" s="93"/>
      <c r="H1628" s="92"/>
      <c r="I1628" s="98"/>
      <c r="J1628" s="99"/>
    </row>
    <row r="1629" spans="1:10" x14ac:dyDescent="0.4">
      <c r="A1629" s="278"/>
      <c r="B1629" s="94" t="s">
        <v>205</v>
      </c>
      <c r="C1629" s="98"/>
      <c r="D1629" s="99"/>
      <c r="E1629" s="98"/>
      <c r="F1629" s="99"/>
      <c r="G1629" s="93"/>
      <c r="H1629" s="92"/>
      <c r="I1629" s="98"/>
      <c r="J1629" s="99"/>
    </row>
    <row r="1630" spans="1:10" x14ac:dyDescent="0.4">
      <c r="A1630" s="278"/>
      <c r="B1630" s="94" t="s">
        <v>206</v>
      </c>
      <c r="C1630" s="98"/>
      <c r="D1630" s="99"/>
      <c r="E1630" s="98"/>
      <c r="F1630" s="99"/>
      <c r="G1630" s="93"/>
      <c r="H1630" s="92"/>
      <c r="I1630" s="98"/>
      <c r="J1630" s="99"/>
    </row>
    <row r="1631" spans="1:10" x14ac:dyDescent="0.4">
      <c r="A1631" s="278"/>
      <c r="B1631" s="94" t="s">
        <v>207</v>
      </c>
      <c r="C1631" s="98"/>
      <c r="D1631" s="99"/>
      <c r="E1631" s="98"/>
      <c r="F1631" s="99"/>
      <c r="G1631" s="93"/>
      <c r="H1631" s="92"/>
      <c r="I1631" s="98"/>
      <c r="J1631" s="99"/>
    </row>
    <row r="1632" spans="1:10" x14ac:dyDescent="0.4">
      <c r="A1632" s="278"/>
      <c r="B1632" s="95" t="s">
        <v>293</v>
      </c>
      <c r="C1632" s="93"/>
      <c r="D1632" s="92"/>
      <c r="E1632" s="93"/>
      <c r="F1632" s="92"/>
      <c r="G1632" s="93"/>
      <c r="H1632" s="92"/>
      <c r="I1632" s="93"/>
      <c r="J1632" s="92"/>
    </row>
    <row r="1633" spans="1:10" x14ac:dyDescent="0.4">
      <c r="A1633" s="278"/>
      <c r="B1633" s="95" t="s">
        <v>208</v>
      </c>
      <c r="C1633" s="93"/>
      <c r="D1633" s="92"/>
      <c r="E1633" s="93"/>
      <c r="F1633" s="92"/>
      <c r="G1633" s="93"/>
      <c r="H1633" s="92"/>
      <c r="I1633" s="93"/>
      <c r="J1633" s="92"/>
    </row>
    <row r="1634" spans="1:10" x14ac:dyDescent="0.4">
      <c r="A1634" s="278"/>
      <c r="B1634" s="95" t="s">
        <v>209</v>
      </c>
      <c r="C1634" s="93"/>
      <c r="D1634" s="92"/>
      <c r="E1634" s="93"/>
      <c r="F1634" s="92"/>
      <c r="G1634" s="93"/>
      <c r="H1634" s="92"/>
      <c r="I1634" s="93"/>
      <c r="J1634" s="92"/>
    </row>
    <row r="1635" spans="1:10" x14ac:dyDescent="0.4">
      <c r="A1635" s="278"/>
      <c r="B1635" s="95" t="s">
        <v>210</v>
      </c>
      <c r="C1635" s="93"/>
      <c r="D1635" s="92"/>
      <c r="E1635" s="93"/>
      <c r="F1635" s="92"/>
      <c r="G1635" s="93"/>
      <c r="H1635" s="92"/>
      <c r="I1635" s="93"/>
      <c r="J1635" s="92"/>
    </row>
    <row r="1636" spans="1:10" x14ac:dyDescent="0.4">
      <c r="A1636" s="278"/>
      <c r="B1636" s="95" t="s">
        <v>211</v>
      </c>
      <c r="C1636" s="93"/>
      <c r="D1636" s="92"/>
      <c r="E1636" s="93"/>
      <c r="F1636" s="92"/>
      <c r="G1636" s="93"/>
      <c r="H1636" s="92"/>
      <c r="I1636" s="93"/>
      <c r="J1636" s="92"/>
    </row>
    <row r="1637" spans="1:10" x14ac:dyDescent="0.4">
      <c r="A1637" s="278"/>
      <c r="B1637" s="95" t="s">
        <v>212</v>
      </c>
      <c r="C1637" s="93"/>
      <c r="D1637" s="92"/>
      <c r="E1637" s="93"/>
      <c r="F1637" s="92"/>
      <c r="G1637" s="93"/>
      <c r="H1637" s="92"/>
      <c r="I1637" s="93"/>
      <c r="J1637" s="92"/>
    </row>
    <row r="1638" spans="1:10" x14ac:dyDescent="0.4">
      <c r="A1638" s="278"/>
      <c r="B1638" s="95" t="s">
        <v>213</v>
      </c>
      <c r="C1638" s="93"/>
      <c r="D1638" s="92"/>
      <c r="E1638" s="93"/>
      <c r="F1638" s="92"/>
      <c r="G1638" s="93"/>
      <c r="H1638" s="92"/>
      <c r="I1638" s="93"/>
      <c r="J1638" s="92"/>
    </row>
    <row r="1639" spans="1:10" x14ac:dyDescent="0.4">
      <c r="A1639" s="278"/>
      <c r="B1639" s="95" t="s">
        <v>214</v>
      </c>
      <c r="C1639" s="93"/>
      <c r="D1639" s="92"/>
      <c r="E1639" s="93"/>
      <c r="F1639" s="92"/>
      <c r="G1639" s="93"/>
      <c r="H1639" s="92"/>
      <c r="I1639" s="93"/>
      <c r="J1639" s="92"/>
    </row>
    <row r="1640" spans="1:10" x14ac:dyDescent="0.4">
      <c r="A1640" s="278"/>
      <c r="B1640" s="95" t="s">
        <v>215</v>
      </c>
      <c r="C1640" s="93"/>
      <c r="D1640" s="92"/>
      <c r="E1640" s="93"/>
      <c r="F1640" s="92"/>
      <c r="G1640" s="93"/>
      <c r="H1640" s="92"/>
      <c r="I1640" s="93"/>
      <c r="J1640" s="92"/>
    </row>
    <row r="1641" spans="1:10" x14ac:dyDescent="0.4">
      <c r="A1641" s="278"/>
      <c r="B1641" s="95" t="s">
        <v>216</v>
      </c>
      <c r="C1641" s="93"/>
      <c r="D1641" s="92"/>
      <c r="E1641" s="93"/>
      <c r="F1641" s="92"/>
      <c r="G1641" s="93"/>
      <c r="H1641" s="92"/>
      <c r="I1641" s="93"/>
      <c r="J1641" s="92"/>
    </row>
    <row r="1642" spans="1:10" x14ac:dyDescent="0.4">
      <c r="A1642" s="278"/>
      <c r="B1642" s="95" t="s">
        <v>217</v>
      </c>
      <c r="C1642" s="93"/>
      <c r="D1642" s="92"/>
      <c r="E1642" s="93"/>
      <c r="F1642" s="92"/>
      <c r="G1642" s="93"/>
      <c r="H1642" s="92"/>
      <c r="I1642" s="98"/>
      <c r="J1642" s="99"/>
    </row>
    <row r="1643" spans="1:10" x14ac:dyDescent="0.4">
      <c r="A1643" s="278"/>
      <c r="B1643" s="95" t="s">
        <v>218</v>
      </c>
      <c r="C1643" s="93"/>
      <c r="D1643" s="92"/>
      <c r="E1643" s="93"/>
      <c r="F1643" s="92"/>
      <c r="G1643" s="93"/>
      <c r="H1643" s="92"/>
      <c r="I1643" s="98"/>
      <c r="J1643" s="99"/>
    </row>
    <row r="1644" spans="1:10" x14ac:dyDescent="0.4">
      <c r="A1644" s="278"/>
      <c r="B1644" s="95" t="s">
        <v>219</v>
      </c>
      <c r="C1644" s="93"/>
      <c r="D1644" s="92"/>
      <c r="E1644" s="93"/>
      <c r="F1644" s="92"/>
      <c r="G1644" s="93"/>
      <c r="H1644" s="92"/>
      <c r="I1644" s="98"/>
      <c r="J1644" s="99"/>
    </row>
    <row r="1645" spans="1:10" x14ac:dyDescent="0.4">
      <c r="A1645" s="278"/>
      <c r="B1645" s="95" t="s">
        <v>220</v>
      </c>
      <c r="C1645" s="93"/>
      <c r="D1645" s="92"/>
      <c r="E1645" s="93"/>
      <c r="F1645" s="92"/>
      <c r="G1645" s="98"/>
      <c r="H1645" s="99"/>
      <c r="I1645" s="98"/>
      <c r="J1645" s="99"/>
    </row>
    <row r="1646" spans="1:10" x14ac:dyDescent="0.4">
      <c r="A1646" s="278"/>
      <c r="B1646" s="95" t="s">
        <v>294</v>
      </c>
      <c r="C1646" s="93"/>
      <c r="D1646" s="92"/>
      <c r="E1646" s="98"/>
      <c r="F1646" s="99"/>
      <c r="G1646" s="98"/>
      <c r="H1646" s="99"/>
      <c r="I1646" s="98"/>
      <c r="J1646" s="99"/>
    </row>
    <row r="1647" spans="1:10" x14ac:dyDescent="0.4">
      <c r="A1647" s="278"/>
      <c r="B1647" s="95" t="s">
        <v>221</v>
      </c>
      <c r="C1647" s="93"/>
      <c r="D1647" s="92"/>
      <c r="E1647" s="98"/>
      <c r="F1647" s="99"/>
      <c r="G1647" s="98"/>
      <c r="H1647" s="99"/>
      <c r="I1647" s="98"/>
      <c r="J1647" s="99"/>
    </row>
    <row r="1648" spans="1:10" x14ac:dyDescent="0.4">
      <c r="A1648" s="278"/>
      <c r="B1648" s="96" t="s">
        <v>295</v>
      </c>
      <c r="C1648" s="93"/>
      <c r="D1648" s="92"/>
      <c r="E1648" s="93"/>
      <c r="F1648" s="92"/>
      <c r="G1648" s="93"/>
      <c r="H1648" s="92"/>
      <c r="I1648" s="93"/>
      <c r="J1648" s="92"/>
    </row>
    <row r="1649" spans="1:10" x14ac:dyDescent="0.4">
      <c r="A1649" s="278"/>
      <c r="B1649" s="96" t="s">
        <v>222</v>
      </c>
      <c r="C1649" s="93"/>
      <c r="D1649" s="92"/>
      <c r="E1649" s="93"/>
      <c r="F1649" s="92"/>
      <c r="G1649" s="93"/>
      <c r="H1649" s="92"/>
      <c r="I1649" s="93"/>
      <c r="J1649" s="92"/>
    </row>
    <row r="1650" spans="1:10" x14ac:dyDescent="0.4">
      <c r="A1650" s="278"/>
      <c r="B1650" s="96" t="s">
        <v>223</v>
      </c>
      <c r="C1650" s="93"/>
      <c r="D1650" s="92"/>
      <c r="E1650" s="93"/>
      <c r="F1650" s="92"/>
      <c r="G1650" s="93"/>
      <c r="H1650" s="92"/>
      <c r="I1650" s="93"/>
      <c r="J1650" s="92"/>
    </row>
    <row r="1651" spans="1:10" x14ac:dyDescent="0.4">
      <c r="A1651" s="278"/>
      <c r="B1651" s="96" t="s">
        <v>224</v>
      </c>
      <c r="C1651" s="93"/>
      <c r="D1651" s="92"/>
      <c r="E1651" s="93"/>
      <c r="F1651" s="92"/>
      <c r="G1651" s="93"/>
      <c r="H1651" s="92"/>
      <c r="I1651" s="93"/>
      <c r="J1651" s="92"/>
    </row>
    <row r="1652" spans="1:10" x14ac:dyDescent="0.4">
      <c r="A1652" s="278"/>
      <c r="B1652" s="96" t="s">
        <v>225</v>
      </c>
      <c r="C1652" s="93"/>
      <c r="D1652" s="92"/>
      <c r="E1652" s="93"/>
      <c r="F1652" s="92"/>
      <c r="G1652" s="93"/>
      <c r="H1652" s="92"/>
      <c r="I1652" s="93"/>
      <c r="J1652" s="92"/>
    </row>
    <row r="1653" spans="1:10" x14ac:dyDescent="0.4">
      <c r="A1653" s="278"/>
      <c r="B1653" s="96" t="s">
        <v>226</v>
      </c>
      <c r="C1653" s="93"/>
      <c r="D1653" s="92"/>
      <c r="E1653" s="93"/>
      <c r="F1653" s="92"/>
      <c r="G1653" s="93"/>
      <c r="H1653" s="92"/>
      <c r="I1653" s="93"/>
      <c r="J1653" s="92"/>
    </row>
    <row r="1654" spans="1:10" x14ac:dyDescent="0.4">
      <c r="A1654" s="278"/>
      <c r="B1654" s="96" t="s">
        <v>227</v>
      </c>
      <c r="C1654" s="93"/>
      <c r="D1654" s="92"/>
      <c r="E1654" s="93"/>
      <c r="F1654" s="92"/>
      <c r="G1654" s="93"/>
      <c r="H1654" s="92"/>
      <c r="I1654" s="93"/>
      <c r="J1654" s="92"/>
    </row>
    <row r="1655" spans="1:10" x14ac:dyDescent="0.4">
      <c r="A1655" s="278"/>
      <c r="B1655" s="96" t="s">
        <v>228</v>
      </c>
      <c r="C1655" s="93"/>
      <c r="D1655" s="92"/>
      <c r="E1655" s="93"/>
      <c r="F1655" s="92"/>
      <c r="G1655" s="93"/>
      <c r="H1655" s="92"/>
      <c r="I1655" s="93"/>
      <c r="J1655" s="92"/>
    </row>
    <row r="1656" spans="1:10" x14ac:dyDescent="0.4">
      <c r="A1656" s="278"/>
      <c r="B1656" s="96" t="s">
        <v>229</v>
      </c>
      <c r="C1656" s="93"/>
      <c r="D1656" s="92"/>
      <c r="E1656" s="93"/>
      <c r="F1656" s="92"/>
      <c r="G1656" s="98"/>
      <c r="H1656" s="99"/>
      <c r="I1656" s="93"/>
      <c r="J1656" s="92"/>
    </row>
    <row r="1657" spans="1:10" x14ac:dyDescent="0.4">
      <c r="A1657" s="278"/>
      <c r="B1657" s="96" t="s">
        <v>230</v>
      </c>
      <c r="C1657" s="93"/>
      <c r="D1657" s="92"/>
      <c r="E1657" s="93"/>
      <c r="F1657" s="92"/>
      <c r="G1657" s="98"/>
      <c r="H1657" s="99"/>
      <c r="I1657" s="98"/>
      <c r="J1657" s="99"/>
    </row>
    <row r="1658" spans="1:10" x14ac:dyDescent="0.4">
      <c r="A1658" s="278"/>
      <c r="B1658" s="96" t="s">
        <v>231</v>
      </c>
      <c r="C1658" s="93"/>
      <c r="D1658" s="92"/>
      <c r="E1658" s="93"/>
      <c r="F1658" s="92"/>
      <c r="G1658" s="98"/>
      <c r="H1658" s="99"/>
      <c r="I1658" s="98"/>
      <c r="J1658" s="99"/>
    </row>
    <row r="1659" spans="1:10" x14ac:dyDescent="0.4">
      <c r="A1659" s="278"/>
      <c r="B1659" s="96" t="s">
        <v>232</v>
      </c>
      <c r="C1659" s="93"/>
      <c r="D1659" s="92"/>
      <c r="E1659" s="93"/>
      <c r="F1659" s="92"/>
      <c r="G1659" s="98"/>
      <c r="H1659" s="99"/>
      <c r="I1659" s="98"/>
      <c r="J1659" s="99"/>
    </row>
    <row r="1660" spans="1:10" x14ac:dyDescent="0.4">
      <c r="A1660" s="278"/>
      <c r="B1660" s="96" t="s">
        <v>233</v>
      </c>
      <c r="C1660" s="93"/>
      <c r="D1660" s="92"/>
      <c r="E1660" s="93"/>
      <c r="F1660" s="92"/>
      <c r="G1660" s="98"/>
      <c r="H1660" s="99"/>
      <c r="I1660" s="98"/>
      <c r="J1660" s="99"/>
    </row>
    <row r="1661" spans="1:10" x14ac:dyDescent="0.4">
      <c r="A1661" s="278"/>
      <c r="B1661" s="96" t="s">
        <v>234</v>
      </c>
      <c r="C1661" s="93"/>
      <c r="D1661" s="92"/>
      <c r="E1661" s="93"/>
      <c r="F1661" s="92"/>
      <c r="G1661" s="98"/>
      <c r="H1661" s="99"/>
      <c r="I1661" s="98"/>
      <c r="J1661" s="99"/>
    </row>
    <row r="1662" spans="1:10" x14ac:dyDescent="0.4">
      <c r="A1662" s="278"/>
      <c r="B1662" s="96" t="s">
        <v>235</v>
      </c>
      <c r="C1662" s="93"/>
      <c r="D1662" s="92"/>
      <c r="E1662" s="98"/>
      <c r="F1662" s="99"/>
      <c r="G1662" s="98"/>
      <c r="H1662" s="99"/>
      <c r="I1662" s="98"/>
      <c r="J1662" s="99"/>
    </row>
    <row r="1663" spans="1:10" x14ac:dyDescent="0.4">
      <c r="A1663" s="278"/>
      <c r="B1663" s="96" t="s">
        <v>236</v>
      </c>
      <c r="C1663" s="93"/>
      <c r="D1663" s="92"/>
      <c r="E1663" s="98"/>
      <c r="F1663" s="99"/>
      <c r="G1663" s="98"/>
      <c r="H1663" s="99"/>
      <c r="I1663" s="98"/>
      <c r="J1663" s="99"/>
    </row>
    <row r="1664" spans="1:10" x14ac:dyDescent="0.4">
      <c r="A1664" s="278"/>
      <c r="B1664" s="97" t="s">
        <v>296</v>
      </c>
      <c r="C1664" s="93"/>
      <c r="D1664" s="92"/>
      <c r="E1664" s="93"/>
      <c r="F1664" s="92"/>
      <c r="G1664" s="93"/>
      <c r="H1664" s="92"/>
      <c r="I1664" s="93"/>
      <c r="J1664" s="92"/>
    </row>
    <row r="1665" spans="1:10" x14ac:dyDescent="0.4">
      <c r="A1665" s="278"/>
      <c r="B1665" s="97" t="s">
        <v>237</v>
      </c>
      <c r="C1665" s="93"/>
      <c r="D1665" s="92"/>
      <c r="E1665" s="93"/>
      <c r="F1665" s="92"/>
      <c r="G1665" s="93"/>
      <c r="H1665" s="92"/>
      <c r="I1665" s="93"/>
      <c r="J1665" s="92"/>
    </row>
    <row r="1666" spans="1:10" x14ac:dyDescent="0.4">
      <c r="A1666" s="278"/>
      <c r="B1666" s="97" t="s">
        <v>238</v>
      </c>
      <c r="C1666" s="93"/>
      <c r="D1666" s="92"/>
      <c r="E1666" s="93"/>
      <c r="F1666" s="92"/>
      <c r="G1666" s="93"/>
      <c r="H1666" s="92"/>
      <c r="I1666" s="93"/>
      <c r="J1666" s="92"/>
    </row>
    <row r="1667" spans="1:10" x14ac:dyDescent="0.4">
      <c r="A1667" s="278"/>
      <c r="B1667" s="97" t="s">
        <v>239</v>
      </c>
      <c r="C1667" s="93"/>
      <c r="D1667" s="92"/>
      <c r="E1667" s="93"/>
      <c r="F1667" s="92"/>
      <c r="G1667" s="93"/>
      <c r="H1667" s="92"/>
      <c r="I1667" s="93"/>
      <c r="J1667" s="92"/>
    </row>
    <row r="1668" spans="1:10" x14ac:dyDescent="0.4">
      <c r="A1668" s="278"/>
      <c r="B1668" s="97" t="s">
        <v>240</v>
      </c>
      <c r="C1668" s="93"/>
      <c r="D1668" s="92"/>
      <c r="E1668" s="93"/>
      <c r="F1668" s="92"/>
      <c r="G1668" s="93"/>
      <c r="H1668" s="92"/>
      <c r="I1668" s="93"/>
      <c r="J1668" s="92"/>
    </row>
    <row r="1669" spans="1:10" x14ac:dyDescent="0.4">
      <c r="A1669" s="278"/>
      <c r="B1669" s="97" t="s">
        <v>241</v>
      </c>
      <c r="C1669" s="93"/>
      <c r="D1669" s="92"/>
      <c r="E1669" s="93"/>
      <c r="F1669" s="92"/>
      <c r="G1669" s="93"/>
      <c r="H1669" s="92"/>
      <c r="I1669" s="93"/>
      <c r="J1669" s="92"/>
    </row>
    <row r="1670" spans="1:10" x14ac:dyDescent="0.4">
      <c r="A1670" s="278"/>
      <c r="B1670" s="97" t="s">
        <v>242</v>
      </c>
      <c r="C1670" s="93"/>
      <c r="D1670" s="92"/>
      <c r="E1670" s="93"/>
      <c r="F1670" s="92"/>
      <c r="G1670" s="93"/>
      <c r="H1670" s="92"/>
      <c r="I1670" s="93"/>
      <c r="J1670" s="92"/>
    </row>
    <row r="1671" spans="1:10" x14ac:dyDescent="0.4">
      <c r="A1671" s="278"/>
      <c r="B1671" s="97" t="s">
        <v>243</v>
      </c>
      <c r="C1671" s="93"/>
      <c r="D1671" s="92"/>
      <c r="E1671" s="93"/>
      <c r="F1671" s="92"/>
      <c r="G1671" s="93"/>
      <c r="H1671" s="92"/>
      <c r="I1671" s="93"/>
      <c r="J1671" s="92"/>
    </row>
    <row r="1672" spans="1:10" x14ac:dyDescent="0.4">
      <c r="A1672" s="278"/>
      <c r="B1672" s="97" t="s">
        <v>244</v>
      </c>
      <c r="C1672" s="93"/>
      <c r="D1672" s="92"/>
      <c r="E1672" s="93"/>
      <c r="F1672" s="92"/>
      <c r="G1672" s="93"/>
      <c r="H1672" s="92"/>
      <c r="I1672" s="98"/>
      <c r="J1672" s="99"/>
    </row>
    <row r="1673" spans="1:10" x14ac:dyDescent="0.4">
      <c r="A1673" s="278"/>
      <c r="B1673" s="97" t="s">
        <v>245</v>
      </c>
      <c r="C1673" s="93"/>
      <c r="D1673" s="92"/>
      <c r="E1673" s="93"/>
      <c r="F1673" s="92"/>
      <c r="G1673" s="93"/>
      <c r="H1673" s="92"/>
      <c r="I1673" s="98"/>
      <c r="J1673" s="99"/>
    </row>
    <row r="1674" spans="1:10" x14ac:dyDescent="0.4">
      <c r="A1674" s="278"/>
      <c r="B1674" s="97" t="s">
        <v>246</v>
      </c>
      <c r="C1674" s="98"/>
      <c r="D1674" s="99"/>
      <c r="E1674" s="93"/>
      <c r="F1674" s="92"/>
      <c r="G1674" s="93"/>
      <c r="H1674" s="92"/>
      <c r="I1674" s="98"/>
      <c r="J1674" s="99"/>
    </row>
    <row r="1675" spans="1:10" x14ac:dyDescent="0.4">
      <c r="A1675" s="278"/>
      <c r="B1675" s="97" t="s">
        <v>247</v>
      </c>
      <c r="C1675" s="98"/>
      <c r="D1675" s="99"/>
      <c r="E1675" s="93"/>
      <c r="F1675" s="92"/>
      <c r="G1675" s="93"/>
      <c r="H1675" s="92"/>
      <c r="I1675" s="98"/>
      <c r="J1675" s="99"/>
    </row>
    <row r="1676" spans="1:10" x14ac:dyDescent="0.4">
      <c r="A1676" s="278"/>
      <c r="B1676" s="97" t="s">
        <v>248</v>
      </c>
      <c r="C1676" s="98"/>
      <c r="D1676" s="99"/>
      <c r="E1676" s="98"/>
      <c r="F1676" s="99"/>
      <c r="G1676" s="93"/>
      <c r="H1676" s="92"/>
      <c r="I1676" s="98"/>
      <c r="J1676" s="99"/>
    </row>
    <row r="1677" spans="1:10" x14ac:dyDescent="0.4">
      <c r="A1677" s="278"/>
      <c r="B1677" s="94" t="s">
        <v>297</v>
      </c>
      <c r="C1677" s="98"/>
      <c r="D1677" s="99"/>
      <c r="E1677" s="98"/>
      <c r="F1677" s="99"/>
      <c r="G1677" s="98"/>
      <c r="H1677" s="99"/>
      <c r="I1677" s="93"/>
      <c r="J1677" s="92"/>
    </row>
    <row r="1678" spans="1:10" x14ac:dyDescent="0.4">
      <c r="A1678" s="278"/>
      <c r="B1678" s="94" t="s">
        <v>249</v>
      </c>
      <c r="C1678" s="98"/>
      <c r="D1678" s="99"/>
      <c r="E1678" s="98"/>
      <c r="F1678" s="99"/>
      <c r="G1678" s="98"/>
      <c r="H1678" s="99"/>
      <c r="I1678" s="93"/>
      <c r="J1678" s="92"/>
    </row>
    <row r="1679" spans="1:10" x14ac:dyDescent="0.4">
      <c r="A1679" s="278"/>
      <c r="B1679" s="94" t="s">
        <v>250</v>
      </c>
      <c r="C1679" s="98"/>
      <c r="D1679" s="99"/>
      <c r="E1679" s="98"/>
      <c r="F1679" s="99"/>
      <c r="G1679" s="98"/>
      <c r="H1679" s="99"/>
      <c r="I1679" s="93"/>
      <c r="J1679" s="92"/>
    </row>
    <row r="1680" spans="1:10" x14ac:dyDescent="0.4">
      <c r="A1680" s="278"/>
      <c r="B1680" s="94" t="s">
        <v>251</v>
      </c>
      <c r="C1680" s="98"/>
      <c r="D1680" s="99"/>
      <c r="E1680" s="98"/>
      <c r="F1680" s="99"/>
      <c r="G1680" s="98"/>
      <c r="H1680" s="99"/>
      <c r="I1680" s="93"/>
      <c r="J1680" s="92"/>
    </row>
    <row r="1681" spans="1:11" x14ac:dyDescent="0.4">
      <c r="A1681" s="278"/>
      <c r="B1681" s="94" t="s">
        <v>252</v>
      </c>
      <c r="C1681" s="98"/>
      <c r="D1681" s="99"/>
      <c r="E1681" s="98"/>
      <c r="F1681" s="99"/>
      <c r="G1681" s="98"/>
      <c r="H1681" s="99"/>
      <c r="I1681" s="93"/>
      <c r="J1681" s="92"/>
    </row>
    <row r="1682" spans="1:11" x14ac:dyDescent="0.4">
      <c r="A1682" s="278"/>
      <c r="B1682" s="94" t="s">
        <v>253</v>
      </c>
      <c r="C1682" s="98"/>
      <c r="D1682" s="99"/>
      <c r="E1682" s="98"/>
      <c r="F1682" s="99"/>
      <c r="G1682" s="98"/>
      <c r="H1682" s="99"/>
      <c r="I1682" s="93"/>
      <c r="J1682" s="92"/>
    </row>
    <row r="1683" spans="1:11" x14ac:dyDescent="0.4">
      <c r="A1683" s="278"/>
      <c r="B1683" s="94" t="s">
        <v>254</v>
      </c>
      <c r="C1683" s="98"/>
      <c r="D1683" s="99"/>
      <c r="E1683" s="98"/>
      <c r="F1683" s="99"/>
      <c r="G1683" s="98"/>
      <c r="H1683" s="99"/>
      <c r="I1683" s="93"/>
      <c r="J1683" s="92"/>
    </row>
    <row r="1684" spans="1:11" x14ac:dyDescent="0.4">
      <c r="A1684" s="278"/>
      <c r="B1684" s="94" t="s">
        <v>255</v>
      </c>
      <c r="C1684" s="98"/>
      <c r="D1684" s="99"/>
      <c r="E1684" s="98"/>
      <c r="F1684" s="99"/>
      <c r="G1684" s="98"/>
      <c r="H1684" s="99"/>
      <c r="I1684" s="93"/>
      <c r="J1684" s="92"/>
    </row>
    <row r="1685" spans="1:11" x14ac:dyDescent="0.4">
      <c r="A1685" s="278"/>
      <c r="B1685" s="94" t="s">
        <v>256</v>
      </c>
      <c r="C1685" s="98"/>
      <c r="D1685" s="99"/>
      <c r="E1685" s="98"/>
      <c r="F1685" s="99"/>
      <c r="G1685" s="98"/>
      <c r="H1685" s="99"/>
      <c r="I1685" s="93"/>
      <c r="J1685" s="92"/>
    </row>
    <row r="1686" spans="1:11" x14ac:dyDescent="0.4">
      <c r="A1686" s="278"/>
      <c r="B1686" s="94" t="s">
        <v>257</v>
      </c>
      <c r="C1686" s="98"/>
      <c r="D1686" s="99"/>
      <c r="E1686" s="98"/>
      <c r="F1686" s="99"/>
      <c r="G1686" s="98"/>
      <c r="H1686" s="99"/>
      <c r="I1686" s="93"/>
      <c r="J1686" s="92"/>
    </row>
    <row r="1687" spans="1:11" x14ac:dyDescent="0.4">
      <c r="A1687" s="278"/>
      <c r="B1687" s="94" t="s">
        <v>258</v>
      </c>
      <c r="C1687" s="98"/>
      <c r="D1687" s="99"/>
      <c r="E1687" s="98"/>
      <c r="F1687" s="99"/>
      <c r="G1687" s="98"/>
      <c r="H1687" s="99"/>
      <c r="I1687" s="93"/>
      <c r="J1687" s="92"/>
    </row>
    <row r="1688" spans="1:11" x14ac:dyDescent="0.4">
      <c r="A1688" s="279"/>
      <c r="B1688" s="94" t="s">
        <v>259</v>
      </c>
      <c r="C1688" s="98"/>
      <c r="D1688" s="99"/>
      <c r="E1688" s="98"/>
      <c r="F1688" s="99"/>
      <c r="G1688" s="98"/>
      <c r="H1688" s="99"/>
      <c r="I1688" s="93"/>
      <c r="J1688" s="92"/>
    </row>
    <row r="1689" spans="1:11" x14ac:dyDescent="0.4">
      <c r="A1689" s="115" t="s">
        <v>263</v>
      </c>
      <c r="B1689" s="116" t="e">
        <f>SUM(C1689,E1689,G1689,I1689)</f>
        <v>#DIV/0!</v>
      </c>
      <c r="C1689" s="103" t="e">
        <f>AVERAGE(C1616:C1628,C1632:C1673)</f>
        <v>#DIV/0!</v>
      </c>
      <c r="D1689" s="103" t="e">
        <f>AVERAGE(D1616:D1628,D1632:D1673)</f>
        <v>#DIV/0!</v>
      </c>
      <c r="E1689" s="103" t="e">
        <f>AVERAGE(E1616:E1624,E1632:E1645,E1648:E1661,E1664:E1675)</f>
        <v>#DIV/0!</v>
      </c>
      <c r="F1689" s="103" t="e">
        <f>AVERAGE(F1616:F1624,F1632:F1645,F1648:F1661,F1664:F1675)</f>
        <v>#DIV/0!</v>
      </c>
      <c r="G1689" s="103" t="e">
        <f>AVERAGE(G1616:G1644,G1648:G1655,G1664:G1676)</f>
        <v>#DIV/0!</v>
      </c>
      <c r="H1689" s="103" t="e">
        <f>AVERAGE(H1616:H1644,H1648:H1655,H1664:H1676)</f>
        <v>#DIV/0!</v>
      </c>
      <c r="I1689" s="103" t="e">
        <f>AVERAGE(I1616:I1623,I1632:I1641,I1648:I1656,I1664:I1671,I1677:I1688)</f>
        <v>#DIV/0!</v>
      </c>
      <c r="J1689" s="103" t="e">
        <f>AVERAGE(J1616:J1623,J1632:J1641,J1648:J1656,J1664:J1671,J1677:J1688)</f>
        <v>#DIV/0!</v>
      </c>
    </row>
    <row r="1690" spans="1:11" x14ac:dyDescent="0.4">
      <c r="A1690" s="115" t="s">
        <v>264</v>
      </c>
      <c r="B1690" s="116" t="e">
        <f>SUM(D1689,F1689,H1689,J1689)</f>
        <v>#DIV/0!</v>
      </c>
      <c r="C1690" s="63" t="s">
        <v>265</v>
      </c>
      <c r="D1690" s="117" t="s">
        <v>266</v>
      </c>
      <c r="E1690" s="63" t="s">
        <v>265</v>
      </c>
      <c r="F1690" s="117" t="s">
        <v>266</v>
      </c>
      <c r="G1690" s="63" t="s">
        <v>265</v>
      </c>
      <c r="H1690" s="117" t="s">
        <v>266</v>
      </c>
      <c r="I1690" s="63" t="s">
        <v>265</v>
      </c>
      <c r="J1690" s="117" t="s">
        <v>266</v>
      </c>
    </row>
    <row r="1693" spans="1:11" x14ac:dyDescent="0.4">
      <c r="A1693" s="280" t="s">
        <v>107</v>
      </c>
      <c r="B1693" s="280"/>
      <c r="C1693" s="280"/>
      <c r="D1693" s="280"/>
      <c r="E1693" s="280"/>
      <c r="F1693" s="280"/>
      <c r="G1693" s="280"/>
      <c r="H1693" s="280"/>
      <c r="I1693" s="280"/>
      <c r="J1693" s="281"/>
      <c r="K1693" s="108">
        <v>11</v>
      </c>
    </row>
    <row r="1694" spans="1:11" ht="34.799999999999997" x14ac:dyDescent="0.4">
      <c r="A1694" s="73" t="s">
        <v>267</v>
      </c>
      <c r="B1694" s="73" t="s">
        <v>268</v>
      </c>
      <c r="C1694" s="73" t="s">
        <v>269</v>
      </c>
      <c r="D1694" s="73" t="s">
        <v>108</v>
      </c>
      <c r="E1694" s="73" t="s">
        <v>109</v>
      </c>
      <c r="F1694" s="74" t="s">
        <v>270</v>
      </c>
      <c r="G1694" s="73" t="s">
        <v>110</v>
      </c>
      <c r="H1694" s="73" t="s">
        <v>111</v>
      </c>
      <c r="I1694" s="73" t="s">
        <v>112</v>
      </c>
      <c r="J1694" s="73" t="s">
        <v>113</v>
      </c>
    </row>
    <row r="1695" spans="1:11" x14ac:dyDescent="0.4">
      <c r="A1695" s="282" t="s">
        <v>271</v>
      </c>
      <c r="B1695" s="86" t="s">
        <v>114</v>
      </c>
      <c r="C1695" s="75" t="s">
        <v>272</v>
      </c>
      <c r="D1695" s="76">
        <v>1</v>
      </c>
      <c r="E1695" s="77">
        <v>1</v>
      </c>
      <c r="F1695" s="274" t="s">
        <v>273</v>
      </c>
      <c r="G1695" s="75">
        <v>105.48</v>
      </c>
    </row>
    <row r="1696" spans="1:11" x14ac:dyDescent="0.4">
      <c r="A1696" s="283"/>
      <c r="B1696" s="86" t="s">
        <v>115</v>
      </c>
      <c r="C1696" s="75" t="s">
        <v>274</v>
      </c>
      <c r="D1696" s="76">
        <v>1</v>
      </c>
      <c r="E1696" s="77">
        <v>1</v>
      </c>
      <c r="F1696" s="275"/>
      <c r="G1696" s="75">
        <v>105.48</v>
      </c>
    </row>
    <row r="1697" spans="1:7" x14ac:dyDescent="0.4">
      <c r="A1697" s="283"/>
      <c r="B1697" s="86" t="s">
        <v>116</v>
      </c>
      <c r="C1697" s="75" t="s">
        <v>117</v>
      </c>
      <c r="D1697" s="76">
        <v>1</v>
      </c>
      <c r="E1697" s="77">
        <v>1</v>
      </c>
      <c r="F1697" s="78"/>
      <c r="G1697" s="75">
        <v>105.48</v>
      </c>
    </row>
    <row r="1698" spans="1:7" x14ac:dyDescent="0.4">
      <c r="A1698" s="284"/>
      <c r="B1698" s="86" t="s">
        <v>118</v>
      </c>
      <c r="C1698" s="75" t="s">
        <v>119</v>
      </c>
      <c r="D1698" s="76">
        <v>1</v>
      </c>
      <c r="E1698" s="77">
        <v>1</v>
      </c>
      <c r="F1698" s="78"/>
      <c r="G1698" s="75">
        <v>105.48</v>
      </c>
    </row>
    <row r="1699" spans="1:7" x14ac:dyDescent="0.4">
      <c r="A1699" s="282" t="s">
        <v>275</v>
      </c>
      <c r="B1699" s="86" t="s">
        <v>120</v>
      </c>
      <c r="C1699" s="75" t="s">
        <v>276</v>
      </c>
      <c r="D1699" s="76">
        <v>1</v>
      </c>
      <c r="E1699" s="77">
        <v>1</v>
      </c>
      <c r="F1699" s="274" t="s">
        <v>273</v>
      </c>
      <c r="G1699" s="75">
        <v>105.48</v>
      </c>
    </row>
    <row r="1700" spans="1:7" x14ac:dyDescent="0.4">
      <c r="A1700" s="283"/>
      <c r="B1700" s="86" t="s">
        <v>121</v>
      </c>
      <c r="C1700" s="75" t="s">
        <v>277</v>
      </c>
      <c r="D1700" s="76">
        <v>1</v>
      </c>
      <c r="E1700" s="77">
        <v>1</v>
      </c>
      <c r="F1700" s="275"/>
      <c r="G1700" s="75">
        <v>105.48</v>
      </c>
    </row>
    <row r="1701" spans="1:7" x14ac:dyDescent="0.4">
      <c r="A1701" s="283"/>
      <c r="B1701" s="86" t="s">
        <v>122</v>
      </c>
      <c r="C1701" s="75" t="s">
        <v>123</v>
      </c>
      <c r="D1701" s="76">
        <v>1</v>
      </c>
      <c r="E1701" s="77">
        <v>1</v>
      </c>
      <c r="F1701" s="275"/>
      <c r="G1701" s="75">
        <v>105.48</v>
      </c>
    </row>
    <row r="1702" spans="1:7" x14ac:dyDescent="0.4">
      <c r="A1702" s="283"/>
      <c r="B1702" s="86" t="s">
        <v>124</v>
      </c>
      <c r="C1702" s="75" t="s">
        <v>125</v>
      </c>
      <c r="D1702" s="76">
        <v>1</v>
      </c>
      <c r="E1702" s="77">
        <v>1</v>
      </c>
      <c r="F1702" s="275"/>
      <c r="G1702" s="75">
        <v>105.48</v>
      </c>
    </row>
    <row r="1703" spans="1:7" x14ac:dyDescent="0.4">
      <c r="A1703" s="283"/>
      <c r="B1703" s="86" t="s">
        <v>126</v>
      </c>
      <c r="C1703" s="75" t="s">
        <v>278</v>
      </c>
      <c r="D1703" s="76">
        <v>1</v>
      </c>
      <c r="E1703" s="77">
        <v>1</v>
      </c>
      <c r="F1703" s="78"/>
      <c r="G1703" s="75">
        <v>70.319999999999993</v>
      </c>
    </row>
    <row r="1704" spans="1:7" x14ac:dyDescent="0.4">
      <c r="A1704" s="283"/>
      <c r="B1704" s="86" t="s">
        <v>127</v>
      </c>
      <c r="C1704" s="75" t="s">
        <v>128</v>
      </c>
      <c r="D1704" s="76">
        <v>1</v>
      </c>
      <c r="E1704" s="77">
        <v>1</v>
      </c>
      <c r="F1704" s="78"/>
      <c r="G1704" s="75">
        <v>70.319999999999993</v>
      </c>
    </row>
    <row r="1705" spans="1:7" x14ac:dyDescent="0.4">
      <c r="A1705" s="284"/>
      <c r="B1705" s="86" t="s">
        <v>129</v>
      </c>
      <c r="C1705" s="75" t="s">
        <v>130</v>
      </c>
      <c r="D1705" s="76">
        <v>1</v>
      </c>
      <c r="E1705" s="77">
        <v>1</v>
      </c>
      <c r="F1705" s="78"/>
      <c r="G1705" s="75">
        <v>70.319999999999993</v>
      </c>
    </row>
    <row r="1706" spans="1:7" x14ac:dyDescent="0.4">
      <c r="A1706" s="273" t="s">
        <v>279</v>
      </c>
      <c r="B1706" s="86" t="s">
        <v>131</v>
      </c>
      <c r="C1706" s="75" t="s">
        <v>280</v>
      </c>
      <c r="D1706" s="76">
        <v>1</v>
      </c>
      <c r="E1706" s="77">
        <v>1</v>
      </c>
      <c r="F1706" s="274" t="s">
        <v>273</v>
      </c>
      <c r="G1706" s="75">
        <v>105.48</v>
      </c>
    </row>
    <row r="1707" spans="1:7" x14ac:dyDescent="0.4">
      <c r="A1707" s="273"/>
      <c r="B1707" s="86" t="s">
        <v>132</v>
      </c>
      <c r="C1707" s="75" t="s">
        <v>133</v>
      </c>
      <c r="D1707" s="76">
        <v>1</v>
      </c>
      <c r="E1707" s="77">
        <v>1</v>
      </c>
      <c r="F1707" s="275"/>
      <c r="G1707" s="75">
        <v>105.48</v>
      </c>
    </row>
    <row r="1708" spans="1:7" x14ac:dyDescent="0.4">
      <c r="A1708" s="273"/>
      <c r="B1708" s="86" t="s">
        <v>134</v>
      </c>
      <c r="C1708" s="75" t="s">
        <v>135</v>
      </c>
      <c r="D1708" s="76">
        <v>1</v>
      </c>
      <c r="E1708" s="77">
        <v>1</v>
      </c>
      <c r="F1708" s="275"/>
      <c r="G1708" s="79">
        <v>105.48</v>
      </c>
    </row>
    <row r="1709" spans="1:7" x14ac:dyDescent="0.4">
      <c r="A1709" s="273"/>
      <c r="B1709" s="86" t="s">
        <v>136</v>
      </c>
      <c r="C1709" s="75" t="s">
        <v>137</v>
      </c>
      <c r="D1709" s="76">
        <v>1</v>
      </c>
      <c r="E1709" s="77">
        <v>1</v>
      </c>
      <c r="F1709" s="275"/>
      <c r="G1709" s="79">
        <v>105.48</v>
      </c>
    </row>
    <row r="1710" spans="1:7" x14ac:dyDescent="0.4">
      <c r="A1710" s="273"/>
      <c r="B1710" s="86" t="s">
        <v>138</v>
      </c>
      <c r="C1710" s="75" t="s">
        <v>281</v>
      </c>
      <c r="D1710" s="76">
        <v>0</v>
      </c>
      <c r="E1710" s="77">
        <v>1</v>
      </c>
      <c r="F1710" s="274" t="s">
        <v>282</v>
      </c>
      <c r="G1710" s="75">
        <v>32.549999999999997</v>
      </c>
    </row>
    <row r="1711" spans="1:7" x14ac:dyDescent="0.4">
      <c r="A1711" s="273"/>
      <c r="B1711" s="86" t="s">
        <v>139</v>
      </c>
      <c r="C1711" s="75" t="s">
        <v>140</v>
      </c>
      <c r="D1711" s="76">
        <v>0</v>
      </c>
      <c r="E1711" s="77">
        <v>1</v>
      </c>
      <c r="F1711" s="276"/>
      <c r="G1711" s="75">
        <v>32.549999999999997</v>
      </c>
    </row>
    <row r="1712" spans="1:7" x14ac:dyDescent="0.4">
      <c r="A1712" s="273"/>
      <c r="B1712" s="86" t="s">
        <v>141</v>
      </c>
      <c r="C1712" s="75" t="s">
        <v>283</v>
      </c>
      <c r="D1712" s="76">
        <v>0</v>
      </c>
      <c r="E1712" s="77">
        <v>1</v>
      </c>
      <c r="F1712" s="274" t="s">
        <v>282</v>
      </c>
      <c r="G1712" s="75">
        <v>32.549999999999997</v>
      </c>
    </row>
    <row r="1713" spans="1:7" x14ac:dyDescent="0.4">
      <c r="A1713" s="273"/>
      <c r="B1713" s="86" t="s">
        <v>142</v>
      </c>
      <c r="C1713" s="75" t="s">
        <v>143</v>
      </c>
      <c r="D1713" s="76">
        <v>1</v>
      </c>
      <c r="E1713" s="77">
        <v>1</v>
      </c>
      <c r="F1713" s="275"/>
      <c r="G1713" s="75">
        <v>32.549999999999997</v>
      </c>
    </row>
    <row r="1714" spans="1:7" x14ac:dyDescent="0.4">
      <c r="A1714" s="273"/>
      <c r="B1714" s="86" t="s">
        <v>144</v>
      </c>
      <c r="C1714" s="75" t="s">
        <v>145</v>
      </c>
      <c r="D1714" s="76">
        <v>0</v>
      </c>
      <c r="E1714" s="77">
        <v>1</v>
      </c>
      <c r="F1714" s="275"/>
      <c r="G1714" s="75">
        <v>32.549999999999997</v>
      </c>
    </row>
    <row r="1715" spans="1:7" x14ac:dyDescent="0.4">
      <c r="A1715" s="273"/>
      <c r="B1715" s="86" t="s">
        <v>146</v>
      </c>
      <c r="C1715" s="75" t="s">
        <v>147</v>
      </c>
      <c r="D1715" s="76">
        <v>1</v>
      </c>
      <c r="E1715" s="77">
        <v>1</v>
      </c>
      <c r="F1715" s="275"/>
      <c r="G1715" s="75">
        <v>32.549999999999997</v>
      </c>
    </row>
    <row r="1716" spans="1:7" x14ac:dyDescent="0.4">
      <c r="A1716" s="273"/>
      <c r="B1716" s="86" t="s">
        <v>148</v>
      </c>
      <c r="C1716" s="75" t="s">
        <v>149</v>
      </c>
      <c r="D1716" s="76">
        <v>0</v>
      </c>
      <c r="E1716" s="77">
        <v>1</v>
      </c>
      <c r="F1716" s="275"/>
      <c r="G1716" s="75">
        <v>32.549999999999997</v>
      </c>
    </row>
    <row r="1717" spans="1:7" x14ac:dyDescent="0.4">
      <c r="A1717" s="273"/>
      <c r="B1717" s="86" t="s">
        <v>150</v>
      </c>
      <c r="C1717" s="75" t="s">
        <v>151</v>
      </c>
      <c r="D1717" s="76">
        <v>1</v>
      </c>
      <c r="E1717" s="77">
        <v>1</v>
      </c>
      <c r="F1717" s="275"/>
      <c r="G1717" s="75">
        <v>32.549999999999997</v>
      </c>
    </row>
    <row r="1718" spans="1:7" x14ac:dyDescent="0.4">
      <c r="A1718" s="273"/>
      <c r="B1718" s="86" t="s">
        <v>152</v>
      </c>
      <c r="C1718" s="75" t="s">
        <v>153</v>
      </c>
      <c r="D1718" s="76">
        <v>0</v>
      </c>
      <c r="E1718" s="77">
        <v>1</v>
      </c>
      <c r="F1718" s="275"/>
      <c r="G1718" s="75">
        <v>32.549999999999997</v>
      </c>
    </row>
    <row r="1719" spans="1:7" x14ac:dyDescent="0.4">
      <c r="A1719" s="273"/>
      <c r="B1719" s="86" t="s">
        <v>154</v>
      </c>
      <c r="C1719" s="75" t="s">
        <v>155</v>
      </c>
      <c r="D1719" s="76">
        <v>0</v>
      </c>
      <c r="E1719" s="77">
        <v>1</v>
      </c>
      <c r="F1719" s="275"/>
      <c r="G1719" s="75">
        <v>32.549999999999997</v>
      </c>
    </row>
    <row r="1720" spans="1:7" x14ac:dyDescent="0.4">
      <c r="A1720" s="273"/>
      <c r="B1720" s="86" t="s">
        <v>156</v>
      </c>
      <c r="C1720" s="75" t="s">
        <v>157</v>
      </c>
      <c r="D1720" s="76">
        <v>0</v>
      </c>
      <c r="E1720" s="77">
        <v>1</v>
      </c>
      <c r="F1720" s="275"/>
      <c r="G1720" s="75">
        <v>32.549999999999997</v>
      </c>
    </row>
    <row r="1721" spans="1:7" x14ac:dyDescent="0.4">
      <c r="A1721" s="273"/>
      <c r="B1721" s="86" t="s">
        <v>158</v>
      </c>
      <c r="C1721" s="75" t="s">
        <v>159</v>
      </c>
      <c r="D1721" s="76">
        <v>0</v>
      </c>
      <c r="E1721" s="77">
        <v>1</v>
      </c>
      <c r="F1721" s="275"/>
      <c r="G1721" s="75">
        <v>32.549999999999997</v>
      </c>
    </row>
    <row r="1722" spans="1:7" x14ac:dyDescent="0.4">
      <c r="A1722" s="273"/>
      <c r="B1722" s="86" t="s">
        <v>160</v>
      </c>
      <c r="C1722" s="75" t="s">
        <v>161</v>
      </c>
      <c r="D1722" s="76">
        <v>0</v>
      </c>
      <c r="E1722" s="77">
        <v>1</v>
      </c>
      <c r="F1722" s="275"/>
      <c r="G1722" s="75">
        <v>32.549999999999997</v>
      </c>
    </row>
    <row r="1723" spans="1:7" x14ac:dyDescent="0.4">
      <c r="A1723" s="273"/>
      <c r="B1723" s="86" t="s">
        <v>162</v>
      </c>
      <c r="C1723" s="75" t="s">
        <v>163</v>
      </c>
      <c r="D1723" s="76">
        <v>0</v>
      </c>
      <c r="E1723" s="77">
        <v>1</v>
      </c>
      <c r="F1723" s="276"/>
      <c r="G1723" s="75">
        <v>32.549999999999997</v>
      </c>
    </row>
    <row r="1724" spans="1:7" x14ac:dyDescent="0.4">
      <c r="A1724" s="273"/>
      <c r="B1724" s="86" t="s">
        <v>164</v>
      </c>
      <c r="C1724" s="75" t="s">
        <v>284</v>
      </c>
      <c r="D1724" s="76">
        <v>0</v>
      </c>
      <c r="E1724" s="77">
        <v>1</v>
      </c>
      <c r="F1724" s="274" t="s">
        <v>282</v>
      </c>
      <c r="G1724" s="75">
        <v>24.4</v>
      </c>
    </row>
    <row r="1725" spans="1:7" x14ac:dyDescent="0.4">
      <c r="A1725" s="273"/>
      <c r="B1725" s="86" t="s">
        <v>165</v>
      </c>
      <c r="C1725" s="75" t="s">
        <v>166</v>
      </c>
      <c r="D1725" s="76">
        <v>0</v>
      </c>
      <c r="E1725" s="77">
        <v>1</v>
      </c>
      <c r="F1725" s="276"/>
      <c r="G1725" s="75">
        <v>24.4</v>
      </c>
    </row>
    <row r="1726" spans="1:7" x14ac:dyDescent="0.4">
      <c r="A1726" s="273" t="s">
        <v>285</v>
      </c>
      <c r="B1726" s="86" t="s">
        <v>167</v>
      </c>
      <c r="C1726" s="75" t="s">
        <v>286</v>
      </c>
      <c r="D1726" s="76">
        <v>1</v>
      </c>
      <c r="E1726" s="77">
        <v>1</v>
      </c>
      <c r="F1726" s="274" t="s">
        <v>273</v>
      </c>
      <c r="G1726" s="75">
        <v>105.48</v>
      </c>
    </row>
    <row r="1727" spans="1:7" x14ac:dyDescent="0.4">
      <c r="A1727" s="273"/>
      <c r="B1727" s="86" t="s">
        <v>168</v>
      </c>
      <c r="C1727" s="75" t="s">
        <v>169</v>
      </c>
      <c r="D1727" s="76">
        <v>1</v>
      </c>
      <c r="E1727" s="77">
        <v>1</v>
      </c>
      <c r="F1727" s="275"/>
      <c r="G1727" s="75">
        <v>105.48</v>
      </c>
    </row>
    <row r="1728" spans="1:7" x14ac:dyDescent="0.4">
      <c r="A1728" s="273"/>
      <c r="B1728" s="86" t="s">
        <v>170</v>
      </c>
      <c r="C1728" s="75" t="s">
        <v>171</v>
      </c>
      <c r="D1728" s="76">
        <v>1</v>
      </c>
      <c r="E1728" s="77">
        <v>1</v>
      </c>
      <c r="F1728" s="275"/>
      <c r="G1728" s="75">
        <v>105.48</v>
      </c>
    </row>
    <row r="1729" spans="1:10" x14ac:dyDescent="0.4">
      <c r="A1729" s="273"/>
      <c r="B1729" s="86" t="s">
        <v>172</v>
      </c>
      <c r="C1729" s="75" t="s">
        <v>173</v>
      </c>
      <c r="D1729" s="76">
        <v>1</v>
      </c>
      <c r="E1729" s="77">
        <v>1</v>
      </c>
      <c r="F1729" s="275"/>
      <c r="G1729" s="75">
        <v>105.48</v>
      </c>
    </row>
    <row r="1730" spans="1:10" x14ac:dyDescent="0.4">
      <c r="A1730" s="273"/>
      <c r="B1730" s="86" t="s">
        <v>174</v>
      </c>
      <c r="C1730" s="75" t="s">
        <v>287</v>
      </c>
      <c r="D1730" s="76">
        <v>1</v>
      </c>
      <c r="E1730" s="77">
        <v>1</v>
      </c>
      <c r="F1730" s="275"/>
      <c r="G1730" s="75">
        <v>65</v>
      </c>
    </row>
    <row r="1731" spans="1:10" x14ac:dyDescent="0.4">
      <c r="A1731" s="273"/>
      <c r="B1731" s="86" t="s">
        <v>175</v>
      </c>
      <c r="C1731" s="75" t="s">
        <v>176</v>
      </c>
      <c r="D1731" s="76">
        <v>1</v>
      </c>
      <c r="E1731" s="77">
        <v>1</v>
      </c>
      <c r="F1731" s="276"/>
      <c r="G1731" s="75">
        <v>65</v>
      </c>
    </row>
    <row r="1732" spans="1:10" x14ac:dyDescent="0.4">
      <c r="A1732" s="273"/>
      <c r="B1732" s="86" t="s">
        <v>177</v>
      </c>
      <c r="C1732" s="75" t="s">
        <v>288</v>
      </c>
      <c r="D1732" s="76">
        <v>1</v>
      </c>
      <c r="E1732" s="77">
        <v>1</v>
      </c>
      <c r="F1732" s="274" t="s">
        <v>282</v>
      </c>
      <c r="G1732" s="75">
        <v>16.3</v>
      </c>
    </row>
    <row r="1733" spans="1:10" x14ac:dyDescent="0.4">
      <c r="A1733" s="273"/>
      <c r="B1733" s="86" t="s">
        <v>178</v>
      </c>
      <c r="C1733" s="75" t="s">
        <v>179</v>
      </c>
      <c r="D1733" s="76">
        <v>1</v>
      </c>
      <c r="E1733" s="77">
        <v>1</v>
      </c>
      <c r="F1733" s="275"/>
      <c r="G1733" s="75">
        <v>16.3</v>
      </c>
    </row>
    <row r="1734" spans="1:10" x14ac:dyDescent="0.4">
      <c r="A1734" s="273"/>
      <c r="B1734" s="86" t="s">
        <v>180</v>
      </c>
      <c r="C1734" s="75" t="s">
        <v>181</v>
      </c>
      <c r="D1734" s="76">
        <v>1</v>
      </c>
      <c r="E1734" s="77">
        <v>1</v>
      </c>
      <c r="F1734" s="275"/>
      <c r="G1734" s="75">
        <v>16.3</v>
      </c>
    </row>
    <row r="1735" spans="1:10" x14ac:dyDescent="0.4">
      <c r="A1735" s="273"/>
      <c r="B1735" s="86" t="s">
        <v>289</v>
      </c>
      <c r="C1735" s="75" t="s">
        <v>182</v>
      </c>
      <c r="D1735" s="76">
        <v>1</v>
      </c>
      <c r="E1735" s="77">
        <v>1</v>
      </c>
      <c r="F1735" s="276"/>
      <c r="G1735" s="75">
        <v>35</v>
      </c>
    </row>
    <row r="1736" spans="1:10" x14ac:dyDescent="0.4">
      <c r="H1736" s="65" t="e">
        <f>AVERAGE(H1695:H1709,H1715:H1717,H1726:H1735)</f>
        <v>#DIV/0!</v>
      </c>
      <c r="I1736" s="65" t="e">
        <f t="shared" ref="I1736" si="10">AVERAGE(I1695:I1709,I1715:I1717,I1726:I1735)</f>
        <v>#DIV/0!</v>
      </c>
      <c r="J1736" s="113" t="e">
        <f>AVERAGE(J1695:J1709,J1715:J1717,J1726:J1735,J1713)</f>
        <v>#DIV/0!</v>
      </c>
    </row>
    <row r="1737" spans="1:10" x14ac:dyDescent="0.4">
      <c r="J1737" s="64" t="s">
        <v>261</v>
      </c>
    </row>
    <row r="1738" spans="1:10" x14ac:dyDescent="0.4">
      <c r="A1738" s="280" t="s">
        <v>183</v>
      </c>
      <c r="B1738" s="280"/>
      <c r="C1738" s="280"/>
      <c r="D1738" s="280"/>
      <c r="E1738" s="280"/>
      <c r="F1738" s="280"/>
      <c r="G1738" s="280"/>
      <c r="H1738" s="280"/>
      <c r="I1738" s="280"/>
      <c r="J1738" s="281"/>
    </row>
    <row r="1739" spans="1:10" ht="34.799999999999997" x14ac:dyDescent="0.4">
      <c r="A1739" s="73" t="s">
        <v>267</v>
      </c>
      <c r="B1739" s="73" t="s">
        <v>268</v>
      </c>
      <c r="C1739" s="73" t="s">
        <v>269</v>
      </c>
      <c r="D1739" s="73" t="s">
        <v>108</v>
      </c>
      <c r="E1739" s="73" t="s">
        <v>109</v>
      </c>
      <c r="F1739" s="74" t="s">
        <v>270</v>
      </c>
      <c r="G1739" s="73" t="s">
        <v>110</v>
      </c>
      <c r="H1739" s="73" t="s">
        <v>184</v>
      </c>
      <c r="I1739" s="73" t="s">
        <v>185</v>
      </c>
      <c r="J1739" s="73" t="s">
        <v>186</v>
      </c>
    </row>
    <row r="1740" spans="1:10" x14ac:dyDescent="0.4">
      <c r="A1740" s="285" t="s">
        <v>271</v>
      </c>
      <c r="B1740" s="87" t="s">
        <v>114</v>
      </c>
      <c r="C1740" s="88" t="s">
        <v>272</v>
      </c>
      <c r="D1740" s="89">
        <v>1</v>
      </c>
      <c r="E1740" s="88">
        <v>1</v>
      </c>
      <c r="F1740" s="274" t="s">
        <v>273</v>
      </c>
      <c r="G1740" s="75">
        <v>105.48</v>
      </c>
    </row>
    <row r="1741" spans="1:10" x14ac:dyDescent="0.4">
      <c r="A1741" s="286"/>
      <c r="B1741" s="87" t="s">
        <v>115</v>
      </c>
      <c r="C1741" s="88" t="s">
        <v>274</v>
      </c>
      <c r="D1741" s="89">
        <v>1</v>
      </c>
      <c r="E1741" s="88">
        <v>1</v>
      </c>
      <c r="F1741" s="275"/>
      <c r="G1741" s="75">
        <v>105.48</v>
      </c>
    </row>
    <row r="1742" spans="1:10" x14ac:dyDescent="0.4">
      <c r="A1742" s="286"/>
      <c r="B1742" s="87" t="s">
        <v>116</v>
      </c>
      <c r="C1742" s="88" t="s">
        <v>117</v>
      </c>
      <c r="D1742" s="89">
        <v>1</v>
      </c>
      <c r="E1742" s="88">
        <v>1</v>
      </c>
      <c r="F1742" s="78"/>
      <c r="G1742" s="75">
        <v>105.48</v>
      </c>
    </row>
    <row r="1743" spans="1:10" x14ac:dyDescent="0.4">
      <c r="A1743" s="287"/>
      <c r="B1743" s="87" t="s">
        <v>118</v>
      </c>
      <c r="C1743" s="88" t="s">
        <v>119</v>
      </c>
      <c r="D1743" s="89">
        <v>1</v>
      </c>
      <c r="E1743" s="88">
        <v>1</v>
      </c>
      <c r="F1743" s="78"/>
      <c r="G1743" s="75">
        <v>105.48</v>
      </c>
    </row>
    <row r="1744" spans="1:10" x14ac:dyDescent="0.4">
      <c r="A1744" s="273" t="s">
        <v>275</v>
      </c>
      <c r="B1744" s="86" t="s">
        <v>120</v>
      </c>
      <c r="C1744" s="75" t="s">
        <v>276</v>
      </c>
      <c r="D1744" s="76">
        <v>1</v>
      </c>
      <c r="E1744" s="77">
        <v>1</v>
      </c>
      <c r="F1744" s="274" t="s">
        <v>273</v>
      </c>
      <c r="G1744" s="75">
        <v>105.48</v>
      </c>
    </row>
    <row r="1745" spans="1:7" x14ac:dyDescent="0.4">
      <c r="A1745" s="273"/>
      <c r="B1745" s="86" t="s">
        <v>121</v>
      </c>
      <c r="C1745" s="75" t="s">
        <v>277</v>
      </c>
      <c r="D1745" s="76">
        <v>1</v>
      </c>
      <c r="E1745" s="77">
        <v>1</v>
      </c>
      <c r="F1745" s="275"/>
      <c r="G1745" s="75">
        <v>105.48</v>
      </c>
    </row>
    <row r="1746" spans="1:7" x14ac:dyDescent="0.4">
      <c r="A1746" s="273"/>
      <c r="B1746" s="86" t="s">
        <v>122</v>
      </c>
      <c r="C1746" s="75" t="s">
        <v>123</v>
      </c>
      <c r="D1746" s="76">
        <v>1</v>
      </c>
      <c r="E1746" s="77">
        <v>1</v>
      </c>
      <c r="F1746" s="275"/>
      <c r="G1746" s="75">
        <v>105.48</v>
      </c>
    </row>
    <row r="1747" spans="1:7" x14ac:dyDescent="0.4">
      <c r="A1747" s="273"/>
      <c r="B1747" s="86" t="s">
        <v>124</v>
      </c>
      <c r="C1747" s="75" t="s">
        <v>125</v>
      </c>
      <c r="D1747" s="76">
        <v>1</v>
      </c>
      <c r="E1747" s="77">
        <v>1</v>
      </c>
      <c r="F1747" s="275"/>
      <c r="G1747" s="75">
        <v>105.48</v>
      </c>
    </row>
    <row r="1748" spans="1:7" x14ac:dyDescent="0.4">
      <c r="A1748" s="273" t="s">
        <v>279</v>
      </c>
      <c r="B1748" s="86" t="s">
        <v>131</v>
      </c>
      <c r="C1748" s="75" t="s">
        <v>280</v>
      </c>
      <c r="D1748" s="76">
        <v>1</v>
      </c>
      <c r="E1748" s="77">
        <v>1</v>
      </c>
      <c r="F1748" s="274" t="s">
        <v>273</v>
      </c>
      <c r="G1748" s="75">
        <v>105.48</v>
      </c>
    </row>
    <row r="1749" spans="1:7" x14ac:dyDescent="0.4">
      <c r="A1749" s="273"/>
      <c r="B1749" s="86" t="s">
        <v>132</v>
      </c>
      <c r="C1749" s="75" t="s">
        <v>133</v>
      </c>
      <c r="D1749" s="76">
        <v>1</v>
      </c>
      <c r="E1749" s="77">
        <v>1</v>
      </c>
      <c r="F1749" s="275"/>
      <c r="G1749" s="75">
        <v>105.48</v>
      </c>
    </row>
    <row r="1750" spans="1:7" x14ac:dyDescent="0.4">
      <c r="A1750" s="273"/>
      <c r="B1750" s="86" t="s">
        <v>134</v>
      </c>
      <c r="C1750" s="75" t="s">
        <v>135</v>
      </c>
      <c r="D1750" s="76">
        <v>1</v>
      </c>
      <c r="E1750" s="77">
        <v>1</v>
      </c>
      <c r="F1750" s="275"/>
      <c r="G1750" s="79">
        <v>105.48</v>
      </c>
    </row>
    <row r="1751" spans="1:7" x14ac:dyDescent="0.4">
      <c r="A1751" s="273"/>
      <c r="B1751" s="86" t="s">
        <v>136</v>
      </c>
      <c r="C1751" s="75" t="s">
        <v>137</v>
      </c>
      <c r="D1751" s="76">
        <v>1</v>
      </c>
      <c r="E1751" s="77">
        <v>1</v>
      </c>
      <c r="F1751" s="275"/>
      <c r="G1751" s="79">
        <v>105.48</v>
      </c>
    </row>
    <row r="1752" spans="1:7" x14ac:dyDescent="0.4">
      <c r="A1752" s="273"/>
      <c r="B1752" s="86" t="s">
        <v>138</v>
      </c>
      <c r="C1752" s="75" t="s">
        <v>281</v>
      </c>
      <c r="D1752" s="75">
        <v>0</v>
      </c>
      <c r="E1752" s="77">
        <v>1</v>
      </c>
      <c r="F1752" s="77">
        <v>1</v>
      </c>
      <c r="G1752" s="75">
        <v>32.549999999999997</v>
      </c>
    </row>
    <row r="1753" spans="1:7" x14ac:dyDescent="0.4">
      <c r="A1753" s="273"/>
      <c r="B1753" s="86" t="s">
        <v>139</v>
      </c>
      <c r="C1753" s="75" t="s">
        <v>140</v>
      </c>
      <c r="D1753" s="75">
        <v>0</v>
      </c>
      <c r="E1753" s="77">
        <v>1</v>
      </c>
      <c r="F1753" s="77">
        <v>1</v>
      </c>
      <c r="G1753" s="75">
        <v>32.549999999999997</v>
      </c>
    </row>
    <row r="1754" spans="1:7" x14ac:dyDescent="0.4">
      <c r="A1754" s="273"/>
      <c r="B1754" s="86" t="s">
        <v>141</v>
      </c>
      <c r="C1754" s="75" t="s">
        <v>283</v>
      </c>
      <c r="D1754" s="75">
        <v>0</v>
      </c>
      <c r="E1754" s="77">
        <v>1</v>
      </c>
      <c r="F1754" s="77">
        <v>1</v>
      </c>
      <c r="G1754" s="75">
        <v>32.549999999999997</v>
      </c>
    </row>
    <row r="1755" spans="1:7" x14ac:dyDescent="0.4">
      <c r="A1755" s="273"/>
      <c r="B1755" s="86" t="s">
        <v>142</v>
      </c>
      <c r="C1755" s="75" t="s">
        <v>143</v>
      </c>
      <c r="D1755" s="75">
        <v>1</v>
      </c>
      <c r="E1755" s="77">
        <v>1</v>
      </c>
      <c r="F1755" s="77">
        <v>1</v>
      </c>
      <c r="G1755" s="75">
        <v>32.549999999999997</v>
      </c>
    </row>
    <row r="1756" spans="1:7" x14ac:dyDescent="0.4">
      <c r="A1756" s="273"/>
      <c r="B1756" s="86" t="s">
        <v>144</v>
      </c>
      <c r="C1756" s="75" t="s">
        <v>145</v>
      </c>
      <c r="D1756" s="75">
        <v>0</v>
      </c>
      <c r="E1756" s="77">
        <v>1</v>
      </c>
      <c r="F1756" s="77">
        <v>1</v>
      </c>
      <c r="G1756" s="75">
        <v>32.549999999999997</v>
      </c>
    </row>
    <row r="1757" spans="1:7" x14ac:dyDescent="0.4">
      <c r="A1757" s="273"/>
      <c r="B1757" s="86" t="s">
        <v>146</v>
      </c>
      <c r="C1757" s="75" t="s">
        <v>147</v>
      </c>
      <c r="D1757" s="75">
        <v>1</v>
      </c>
      <c r="E1757" s="77">
        <v>1</v>
      </c>
      <c r="F1757" s="77">
        <v>1</v>
      </c>
      <c r="G1757" s="75">
        <v>32.549999999999997</v>
      </c>
    </row>
    <row r="1758" spans="1:7" x14ac:dyDescent="0.4">
      <c r="A1758" s="273"/>
      <c r="B1758" s="86" t="s">
        <v>148</v>
      </c>
      <c r="C1758" s="75" t="s">
        <v>149</v>
      </c>
      <c r="D1758" s="75">
        <v>0</v>
      </c>
      <c r="E1758" s="77">
        <v>1</v>
      </c>
      <c r="F1758" s="77">
        <v>1</v>
      </c>
      <c r="G1758" s="75">
        <v>32.549999999999997</v>
      </c>
    </row>
    <row r="1759" spans="1:7" x14ac:dyDescent="0.4">
      <c r="A1759" s="273"/>
      <c r="B1759" s="86" t="s">
        <v>150</v>
      </c>
      <c r="C1759" s="75" t="s">
        <v>151</v>
      </c>
      <c r="D1759" s="75">
        <v>1</v>
      </c>
      <c r="E1759" s="77">
        <v>1</v>
      </c>
      <c r="F1759" s="77">
        <v>1</v>
      </c>
      <c r="G1759" s="75">
        <v>32.549999999999997</v>
      </c>
    </row>
    <row r="1760" spans="1:7" x14ac:dyDescent="0.4">
      <c r="A1760" s="273"/>
      <c r="B1760" s="86" t="s">
        <v>152</v>
      </c>
      <c r="C1760" s="75" t="s">
        <v>153</v>
      </c>
      <c r="D1760" s="75">
        <v>0</v>
      </c>
      <c r="E1760" s="77">
        <v>1</v>
      </c>
      <c r="F1760" s="77">
        <v>1</v>
      </c>
      <c r="G1760" s="75">
        <v>32.549999999999997</v>
      </c>
    </row>
    <row r="1761" spans="1:7" x14ac:dyDescent="0.4">
      <c r="A1761" s="273"/>
      <c r="B1761" s="86" t="s">
        <v>154</v>
      </c>
      <c r="C1761" s="75" t="s">
        <v>155</v>
      </c>
      <c r="D1761" s="75">
        <v>0</v>
      </c>
      <c r="E1761" s="77">
        <v>1</v>
      </c>
      <c r="F1761" s="77">
        <v>1</v>
      </c>
      <c r="G1761" s="75">
        <v>32.549999999999997</v>
      </c>
    </row>
    <row r="1762" spans="1:7" x14ac:dyDescent="0.4">
      <c r="A1762" s="273"/>
      <c r="B1762" s="86" t="s">
        <v>156</v>
      </c>
      <c r="C1762" s="75" t="s">
        <v>157</v>
      </c>
      <c r="D1762" s="75">
        <v>0</v>
      </c>
      <c r="E1762" s="77">
        <v>1</v>
      </c>
      <c r="F1762" s="77">
        <v>1</v>
      </c>
      <c r="G1762" s="75">
        <v>32.549999999999997</v>
      </c>
    </row>
    <row r="1763" spans="1:7" x14ac:dyDescent="0.4">
      <c r="A1763" s="273"/>
      <c r="B1763" s="86" t="s">
        <v>158</v>
      </c>
      <c r="C1763" s="75" t="s">
        <v>159</v>
      </c>
      <c r="D1763" s="75">
        <v>0</v>
      </c>
      <c r="E1763" s="77">
        <v>1</v>
      </c>
      <c r="F1763" s="77">
        <v>1</v>
      </c>
      <c r="G1763" s="75">
        <v>32.549999999999997</v>
      </c>
    </row>
    <row r="1764" spans="1:7" x14ac:dyDescent="0.4">
      <c r="A1764" s="273"/>
      <c r="B1764" s="86" t="s">
        <v>160</v>
      </c>
      <c r="C1764" s="75" t="s">
        <v>161</v>
      </c>
      <c r="D1764" s="75">
        <v>0</v>
      </c>
      <c r="E1764" s="77">
        <v>1</v>
      </c>
      <c r="F1764" s="77">
        <v>1</v>
      </c>
      <c r="G1764" s="75">
        <v>32.549999999999997</v>
      </c>
    </row>
    <row r="1765" spans="1:7" x14ac:dyDescent="0.4">
      <c r="A1765" s="273"/>
      <c r="B1765" s="86" t="s">
        <v>162</v>
      </c>
      <c r="C1765" s="75" t="s">
        <v>163</v>
      </c>
      <c r="D1765" s="75">
        <v>0</v>
      </c>
      <c r="E1765" s="77">
        <v>1</v>
      </c>
      <c r="F1765" s="77">
        <v>1</v>
      </c>
      <c r="G1765" s="75">
        <v>32.549999999999997</v>
      </c>
    </row>
    <row r="1766" spans="1:7" x14ac:dyDescent="0.4">
      <c r="A1766" s="273"/>
      <c r="B1766" s="86" t="s">
        <v>164</v>
      </c>
      <c r="C1766" s="75" t="s">
        <v>284</v>
      </c>
      <c r="D1766" s="75">
        <v>0</v>
      </c>
      <c r="E1766" s="77">
        <v>1</v>
      </c>
      <c r="F1766" s="77">
        <v>1</v>
      </c>
      <c r="G1766" s="75">
        <v>24.4</v>
      </c>
    </row>
    <row r="1767" spans="1:7" x14ac:dyDescent="0.4">
      <c r="A1767" s="273"/>
      <c r="B1767" s="86" t="s">
        <v>165</v>
      </c>
      <c r="C1767" s="75" t="s">
        <v>166</v>
      </c>
      <c r="D1767" s="75">
        <v>0</v>
      </c>
      <c r="E1767" s="77">
        <v>1</v>
      </c>
      <c r="F1767" s="77">
        <v>1</v>
      </c>
      <c r="G1767" s="75">
        <v>24.4</v>
      </c>
    </row>
    <row r="1768" spans="1:7" x14ac:dyDescent="0.4">
      <c r="A1768" s="273" t="s">
        <v>285</v>
      </c>
      <c r="B1768" s="86" t="s">
        <v>167</v>
      </c>
      <c r="C1768" s="75" t="s">
        <v>286</v>
      </c>
      <c r="D1768" s="76">
        <v>1</v>
      </c>
      <c r="E1768" s="77">
        <v>1</v>
      </c>
      <c r="F1768" s="274" t="s">
        <v>273</v>
      </c>
      <c r="G1768" s="75">
        <v>105.48</v>
      </c>
    </row>
    <row r="1769" spans="1:7" x14ac:dyDescent="0.4">
      <c r="A1769" s="273"/>
      <c r="B1769" s="86" t="s">
        <v>168</v>
      </c>
      <c r="C1769" s="75" t="s">
        <v>169</v>
      </c>
      <c r="D1769" s="76">
        <v>1</v>
      </c>
      <c r="E1769" s="77">
        <v>1</v>
      </c>
      <c r="F1769" s="275"/>
      <c r="G1769" s="75">
        <v>105.48</v>
      </c>
    </row>
    <row r="1770" spans="1:7" x14ac:dyDescent="0.4">
      <c r="A1770" s="273"/>
      <c r="B1770" s="86" t="s">
        <v>170</v>
      </c>
      <c r="C1770" s="75" t="s">
        <v>171</v>
      </c>
      <c r="D1770" s="76">
        <v>1</v>
      </c>
      <c r="E1770" s="77">
        <v>1</v>
      </c>
      <c r="F1770" s="275"/>
      <c r="G1770" s="75">
        <v>105.48</v>
      </c>
    </row>
    <row r="1771" spans="1:7" x14ac:dyDescent="0.4">
      <c r="A1771" s="273"/>
      <c r="B1771" s="86" t="s">
        <v>172</v>
      </c>
      <c r="C1771" s="75" t="s">
        <v>173</v>
      </c>
      <c r="D1771" s="76">
        <v>1</v>
      </c>
      <c r="E1771" s="77">
        <v>1</v>
      </c>
      <c r="F1771" s="275"/>
      <c r="G1771" s="75">
        <v>105.48</v>
      </c>
    </row>
    <row r="1772" spans="1:7" x14ac:dyDescent="0.4">
      <c r="A1772" s="273"/>
      <c r="B1772" s="86" t="s">
        <v>174</v>
      </c>
      <c r="C1772" s="75" t="s">
        <v>287</v>
      </c>
      <c r="D1772" s="76">
        <v>1</v>
      </c>
      <c r="E1772" s="77">
        <v>1</v>
      </c>
      <c r="F1772" s="275"/>
      <c r="G1772" s="75">
        <v>65</v>
      </c>
    </row>
    <row r="1773" spans="1:7" x14ac:dyDescent="0.4">
      <c r="A1773" s="273"/>
      <c r="B1773" s="86" t="s">
        <v>175</v>
      </c>
      <c r="C1773" s="75" t="s">
        <v>176</v>
      </c>
      <c r="D1773" s="76">
        <v>1</v>
      </c>
      <c r="E1773" s="77">
        <v>1</v>
      </c>
      <c r="F1773" s="276"/>
      <c r="G1773" s="75">
        <v>65</v>
      </c>
    </row>
    <row r="1774" spans="1:7" x14ac:dyDescent="0.4">
      <c r="A1774" s="273"/>
      <c r="B1774" s="86" t="s">
        <v>177</v>
      </c>
      <c r="C1774" s="75" t="s">
        <v>288</v>
      </c>
      <c r="D1774" s="76">
        <v>1</v>
      </c>
      <c r="E1774" s="77">
        <v>1</v>
      </c>
      <c r="F1774" s="274" t="s">
        <v>282</v>
      </c>
      <c r="G1774" s="75">
        <v>16.3</v>
      </c>
    </row>
    <row r="1775" spans="1:7" x14ac:dyDescent="0.4">
      <c r="A1775" s="273"/>
      <c r="B1775" s="86" t="s">
        <v>178</v>
      </c>
      <c r="C1775" s="75" t="s">
        <v>179</v>
      </c>
      <c r="D1775" s="76">
        <v>1</v>
      </c>
      <c r="E1775" s="77">
        <v>1</v>
      </c>
      <c r="F1775" s="275"/>
      <c r="G1775" s="75">
        <v>16.3</v>
      </c>
    </row>
    <row r="1776" spans="1:7" x14ac:dyDescent="0.4">
      <c r="A1776" s="273"/>
      <c r="B1776" s="86" t="s">
        <v>180</v>
      </c>
      <c r="C1776" s="75" t="s">
        <v>181</v>
      </c>
      <c r="D1776" s="76">
        <v>1</v>
      </c>
      <c r="E1776" s="77">
        <v>1</v>
      </c>
      <c r="F1776" s="275"/>
      <c r="G1776" s="75">
        <v>16.3</v>
      </c>
    </row>
    <row r="1777" spans="1:10" x14ac:dyDescent="0.4">
      <c r="A1777" s="273"/>
      <c r="B1777" s="86" t="s">
        <v>289</v>
      </c>
      <c r="C1777" s="75" t="s">
        <v>182</v>
      </c>
      <c r="D1777" s="76">
        <v>1</v>
      </c>
      <c r="E1777" s="77">
        <v>1</v>
      </c>
      <c r="F1777" s="276"/>
      <c r="G1777" s="75">
        <v>35</v>
      </c>
    </row>
    <row r="1778" spans="1:10" x14ac:dyDescent="0.4">
      <c r="A1778" s="273" t="s">
        <v>275</v>
      </c>
      <c r="B1778" s="86" t="s">
        <v>126</v>
      </c>
      <c r="C1778" s="75" t="s">
        <v>278</v>
      </c>
      <c r="D1778" s="76">
        <v>1</v>
      </c>
      <c r="E1778" s="77">
        <v>1</v>
      </c>
      <c r="F1778" s="90"/>
      <c r="G1778" s="75">
        <v>70.319999999999993</v>
      </c>
    </row>
    <row r="1779" spans="1:10" x14ac:dyDescent="0.4">
      <c r="A1779" s="273"/>
      <c r="B1779" s="86" t="s">
        <v>127</v>
      </c>
      <c r="C1779" s="75" t="s">
        <v>128</v>
      </c>
      <c r="D1779" s="76">
        <v>1</v>
      </c>
      <c r="E1779" s="77">
        <v>1</v>
      </c>
      <c r="F1779" s="90"/>
      <c r="G1779" s="75">
        <v>70.319999999999993</v>
      </c>
    </row>
    <row r="1780" spans="1:10" x14ac:dyDescent="0.4">
      <c r="A1780" s="273"/>
      <c r="B1780" s="86" t="s">
        <v>129</v>
      </c>
      <c r="C1780" s="75" t="s">
        <v>130</v>
      </c>
      <c r="D1780" s="76">
        <v>1</v>
      </c>
      <c r="E1780" s="77">
        <v>1</v>
      </c>
      <c r="F1780" s="90"/>
      <c r="G1780" s="75">
        <v>70.319999999999993</v>
      </c>
    </row>
    <row r="1781" spans="1:10" x14ac:dyDescent="0.4">
      <c r="H1781" s="91" t="e">
        <f>AVERAGE(H1740:H1751,H1757:H1759,H1768:H1780)</f>
        <v>#DIV/0!</v>
      </c>
      <c r="I1781" s="91" t="e">
        <f>AVERAGE(I1740:I1751,I1757:I1759,I1768:I1780)</f>
        <v>#DIV/0!</v>
      </c>
      <c r="J1781" s="114" t="e">
        <f>AVERAGE(J1740:J1751,J1757:J1759,J1768:J1780,J1755)</f>
        <v>#DIV/0!</v>
      </c>
    </row>
    <row r="1782" spans="1:10" x14ac:dyDescent="0.4">
      <c r="J1782" s="115" t="s">
        <v>262</v>
      </c>
    </row>
    <row r="1783" spans="1:10" x14ac:dyDescent="0.4">
      <c r="A1783" s="288" t="s">
        <v>290</v>
      </c>
      <c r="B1783" s="288"/>
      <c r="C1783" s="289" t="s">
        <v>187</v>
      </c>
      <c r="D1783" s="290"/>
      <c r="E1783" s="290" t="s">
        <v>188</v>
      </c>
      <c r="F1783" s="290"/>
      <c r="G1783" s="290" t="s">
        <v>189</v>
      </c>
      <c r="H1783" s="290"/>
      <c r="I1783" s="290" t="s">
        <v>190</v>
      </c>
      <c r="J1783" s="290"/>
    </row>
    <row r="1784" spans="1:10" ht="34.799999999999997" x14ac:dyDescent="0.4">
      <c r="A1784" s="288"/>
      <c r="B1784" s="288"/>
      <c r="C1784" s="102" t="s">
        <v>191</v>
      </c>
      <c r="D1784" s="101" t="s">
        <v>192</v>
      </c>
      <c r="E1784" s="101" t="s">
        <v>191</v>
      </c>
      <c r="F1784" s="101" t="s">
        <v>192</v>
      </c>
      <c r="G1784" s="101" t="s">
        <v>191</v>
      </c>
      <c r="H1784" s="101" t="s">
        <v>192</v>
      </c>
      <c r="I1784" s="101" t="s">
        <v>191</v>
      </c>
      <c r="J1784" s="101" t="s">
        <v>192</v>
      </c>
    </row>
    <row r="1785" spans="1:10" x14ac:dyDescent="0.4">
      <c r="A1785" s="277" t="s">
        <v>291</v>
      </c>
      <c r="B1785" s="100" t="s">
        <v>292</v>
      </c>
      <c r="C1785" s="93"/>
      <c r="D1785" s="92"/>
      <c r="E1785" s="93"/>
      <c r="F1785" s="92"/>
      <c r="G1785" s="93"/>
      <c r="H1785" s="92"/>
      <c r="I1785" s="93"/>
      <c r="J1785" s="92"/>
    </row>
    <row r="1786" spans="1:10" x14ac:dyDescent="0.4">
      <c r="A1786" s="278"/>
      <c r="B1786" s="94" t="s">
        <v>193</v>
      </c>
      <c r="C1786" s="93"/>
      <c r="D1786" s="92"/>
      <c r="E1786" s="93"/>
      <c r="F1786" s="92"/>
      <c r="G1786" s="93"/>
      <c r="H1786" s="92"/>
      <c r="I1786" s="93"/>
      <c r="J1786" s="92"/>
    </row>
    <row r="1787" spans="1:10" x14ac:dyDescent="0.4">
      <c r="A1787" s="278"/>
      <c r="B1787" s="94" t="s">
        <v>194</v>
      </c>
      <c r="C1787" s="93"/>
      <c r="D1787" s="92"/>
      <c r="E1787" s="93"/>
      <c r="F1787" s="92"/>
      <c r="G1787" s="93"/>
      <c r="H1787" s="92"/>
      <c r="I1787" s="93"/>
      <c r="J1787" s="92"/>
    </row>
    <row r="1788" spans="1:10" x14ac:dyDescent="0.4">
      <c r="A1788" s="278"/>
      <c r="B1788" s="94" t="s">
        <v>195</v>
      </c>
      <c r="C1788" s="93"/>
      <c r="D1788" s="92"/>
      <c r="E1788" s="93"/>
      <c r="F1788" s="92"/>
      <c r="G1788" s="93"/>
      <c r="H1788" s="92"/>
      <c r="I1788" s="93"/>
      <c r="J1788" s="92"/>
    </row>
    <row r="1789" spans="1:10" x14ac:dyDescent="0.4">
      <c r="A1789" s="278"/>
      <c r="B1789" s="94" t="s">
        <v>196</v>
      </c>
      <c r="C1789" s="93"/>
      <c r="D1789" s="92"/>
      <c r="E1789" s="93"/>
      <c r="F1789" s="92"/>
      <c r="G1789" s="93"/>
      <c r="H1789" s="92"/>
      <c r="I1789" s="93"/>
      <c r="J1789" s="92"/>
    </row>
    <row r="1790" spans="1:10" x14ac:dyDescent="0.4">
      <c r="A1790" s="278"/>
      <c r="B1790" s="94" t="s">
        <v>197</v>
      </c>
      <c r="C1790" s="93"/>
      <c r="D1790" s="92"/>
      <c r="E1790" s="93"/>
      <c r="F1790" s="92"/>
      <c r="G1790" s="93"/>
      <c r="H1790" s="92"/>
      <c r="I1790" s="93"/>
      <c r="J1790" s="92"/>
    </row>
    <row r="1791" spans="1:10" x14ac:dyDescent="0.4">
      <c r="A1791" s="278"/>
      <c r="B1791" s="94" t="s">
        <v>198</v>
      </c>
      <c r="C1791" s="93"/>
      <c r="D1791" s="92"/>
      <c r="E1791" s="93"/>
      <c r="F1791" s="92"/>
      <c r="G1791" s="93"/>
      <c r="H1791" s="92"/>
      <c r="I1791" s="93"/>
      <c r="J1791" s="92"/>
    </row>
    <row r="1792" spans="1:10" x14ac:dyDescent="0.4">
      <c r="A1792" s="278"/>
      <c r="B1792" s="94" t="s">
        <v>199</v>
      </c>
      <c r="C1792" s="93"/>
      <c r="D1792" s="92"/>
      <c r="E1792" s="93"/>
      <c r="F1792" s="92"/>
      <c r="G1792" s="93"/>
      <c r="H1792" s="92"/>
      <c r="I1792" s="93"/>
      <c r="J1792" s="92"/>
    </row>
    <row r="1793" spans="1:10" x14ac:dyDescent="0.4">
      <c r="A1793" s="278"/>
      <c r="B1793" s="94" t="s">
        <v>200</v>
      </c>
      <c r="C1793" s="93"/>
      <c r="D1793" s="92"/>
      <c r="E1793" s="93"/>
      <c r="F1793" s="92"/>
      <c r="G1793" s="93"/>
      <c r="H1793" s="92"/>
      <c r="I1793" s="98"/>
      <c r="J1793" s="99"/>
    </row>
    <row r="1794" spans="1:10" x14ac:dyDescent="0.4">
      <c r="A1794" s="278"/>
      <c r="B1794" s="94" t="s">
        <v>201</v>
      </c>
      <c r="C1794" s="93"/>
      <c r="D1794" s="92"/>
      <c r="E1794" s="98"/>
      <c r="F1794" s="99"/>
      <c r="G1794" s="93"/>
      <c r="H1794" s="92"/>
      <c r="I1794" s="98"/>
      <c r="J1794" s="99"/>
    </row>
    <row r="1795" spans="1:10" x14ac:dyDescent="0.4">
      <c r="A1795" s="278"/>
      <c r="B1795" s="94" t="s">
        <v>202</v>
      </c>
      <c r="C1795" s="93"/>
      <c r="D1795" s="92"/>
      <c r="E1795" s="98"/>
      <c r="F1795" s="99"/>
      <c r="G1795" s="93"/>
      <c r="H1795" s="92"/>
      <c r="I1795" s="98"/>
      <c r="J1795" s="99"/>
    </row>
    <row r="1796" spans="1:10" x14ac:dyDescent="0.4">
      <c r="A1796" s="278"/>
      <c r="B1796" s="94" t="s">
        <v>203</v>
      </c>
      <c r="C1796" s="93"/>
      <c r="D1796" s="92"/>
      <c r="E1796" s="98"/>
      <c r="F1796" s="99"/>
      <c r="G1796" s="93"/>
      <c r="H1796" s="92"/>
      <c r="I1796" s="98"/>
      <c r="J1796" s="99"/>
    </row>
    <row r="1797" spans="1:10" x14ac:dyDescent="0.4">
      <c r="A1797" s="278"/>
      <c r="B1797" s="94" t="s">
        <v>204</v>
      </c>
      <c r="C1797" s="93"/>
      <c r="D1797" s="92"/>
      <c r="E1797" s="98"/>
      <c r="F1797" s="99"/>
      <c r="G1797" s="93"/>
      <c r="H1797" s="92"/>
      <c r="I1797" s="98"/>
      <c r="J1797" s="99"/>
    </row>
    <row r="1798" spans="1:10" x14ac:dyDescent="0.4">
      <c r="A1798" s="278"/>
      <c r="B1798" s="94" t="s">
        <v>205</v>
      </c>
      <c r="C1798" s="98"/>
      <c r="D1798" s="99"/>
      <c r="E1798" s="98"/>
      <c r="F1798" s="99"/>
      <c r="G1798" s="93"/>
      <c r="H1798" s="92"/>
      <c r="I1798" s="98"/>
      <c r="J1798" s="99"/>
    </row>
    <row r="1799" spans="1:10" x14ac:dyDescent="0.4">
      <c r="A1799" s="278"/>
      <c r="B1799" s="94" t="s">
        <v>206</v>
      </c>
      <c r="C1799" s="98"/>
      <c r="D1799" s="99"/>
      <c r="E1799" s="98"/>
      <c r="F1799" s="99"/>
      <c r="G1799" s="93"/>
      <c r="H1799" s="92"/>
      <c r="I1799" s="98"/>
      <c r="J1799" s="99"/>
    </row>
    <row r="1800" spans="1:10" x14ac:dyDescent="0.4">
      <c r="A1800" s="278"/>
      <c r="B1800" s="94" t="s">
        <v>207</v>
      </c>
      <c r="C1800" s="98"/>
      <c r="D1800" s="99"/>
      <c r="E1800" s="98"/>
      <c r="F1800" s="99"/>
      <c r="G1800" s="93"/>
      <c r="H1800" s="92"/>
      <c r="I1800" s="98"/>
      <c r="J1800" s="99"/>
    </row>
    <row r="1801" spans="1:10" x14ac:dyDescent="0.4">
      <c r="A1801" s="278"/>
      <c r="B1801" s="95" t="s">
        <v>293</v>
      </c>
      <c r="C1801" s="93"/>
      <c r="D1801" s="92"/>
      <c r="E1801" s="93"/>
      <c r="F1801" s="92"/>
      <c r="G1801" s="93"/>
      <c r="H1801" s="92"/>
      <c r="I1801" s="93"/>
      <c r="J1801" s="92"/>
    </row>
    <row r="1802" spans="1:10" x14ac:dyDescent="0.4">
      <c r="A1802" s="278"/>
      <c r="B1802" s="95" t="s">
        <v>208</v>
      </c>
      <c r="C1802" s="93"/>
      <c r="D1802" s="92"/>
      <c r="E1802" s="93"/>
      <c r="F1802" s="92"/>
      <c r="G1802" s="93"/>
      <c r="H1802" s="92"/>
      <c r="I1802" s="93"/>
      <c r="J1802" s="92"/>
    </row>
    <row r="1803" spans="1:10" x14ac:dyDescent="0.4">
      <c r="A1803" s="278"/>
      <c r="B1803" s="95" t="s">
        <v>209</v>
      </c>
      <c r="C1803" s="93"/>
      <c r="D1803" s="92"/>
      <c r="E1803" s="93"/>
      <c r="F1803" s="92"/>
      <c r="G1803" s="93"/>
      <c r="H1803" s="92"/>
      <c r="I1803" s="93"/>
      <c r="J1803" s="92"/>
    </row>
    <row r="1804" spans="1:10" x14ac:dyDescent="0.4">
      <c r="A1804" s="278"/>
      <c r="B1804" s="95" t="s">
        <v>210</v>
      </c>
      <c r="C1804" s="93"/>
      <c r="D1804" s="92"/>
      <c r="E1804" s="93"/>
      <c r="F1804" s="92"/>
      <c r="G1804" s="93"/>
      <c r="H1804" s="92"/>
      <c r="I1804" s="93"/>
      <c r="J1804" s="92"/>
    </row>
    <row r="1805" spans="1:10" x14ac:dyDescent="0.4">
      <c r="A1805" s="278"/>
      <c r="B1805" s="95" t="s">
        <v>211</v>
      </c>
      <c r="C1805" s="93"/>
      <c r="D1805" s="92"/>
      <c r="E1805" s="93"/>
      <c r="F1805" s="92"/>
      <c r="G1805" s="93"/>
      <c r="H1805" s="92"/>
      <c r="I1805" s="93"/>
      <c r="J1805" s="92"/>
    </row>
    <row r="1806" spans="1:10" x14ac:dyDescent="0.4">
      <c r="A1806" s="278"/>
      <c r="B1806" s="95" t="s">
        <v>212</v>
      </c>
      <c r="C1806" s="93"/>
      <c r="D1806" s="92"/>
      <c r="E1806" s="93"/>
      <c r="F1806" s="92"/>
      <c r="G1806" s="93"/>
      <c r="H1806" s="92"/>
      <c r="I1806" s="93"/>
      <c r="J1806" s="92"/>
    </row>
    <row r="1807" spans="1:10" x14ac:dyDescent="0.4">
      <c r="A1807" s="278"/>
      <c r="B1807" s="95" t="s">
        <v>213</v>
      </c>
      <c r="C1807" s="93"/>
      <c r="D1807" s="92"/>
      <c r="E1807" s="93"/>
      <c r="F1807" s="92"/>
      <c r="G1807" s="93"/>
      <c r="H1807" s="92"/>
      <c r="I1807" s="93"/>
      <c r="J1807" s="92"/>
    </row>
    <row r="1808" spans="1:10" x14ac:dyDescent="0.4">
      <c r="A1808" s="278"/>
      <c r="B1808" s="95" t="s">
        <v>214</v>
      </c>
      <c r="C1808" s="93"/>
      <c r="D1808" s="92"/>
      <c r="E1808" s="93"/>
      <c r="F1808" s="92"/>
      <c r="G1808" s="93"/>
      <c r="H1808" s="92"/>
      <c r="I1808" s="93"/>
      <c r="J1808" s="92"/>
    </row>
    <row r="1809" spans="1:10" x14ac:dyDescent="0.4">
      <c r="A1809" s="278"/>
      <c r="B1809" s="95" t="s">
        <v>215</v>
      </c>
      <c r="C1809" s="93"/>
      <c r="D1809" s="92"/>
      <c r="E1809" s="93"/>
      <c r="F1809" s="92"/>
      <c r="G1809" s="93"/>
      <c r="H1809" s="92"/>
      <c r="I1809" s="93"/>
      <c r="J1809" s="92"/>
    </row>
    <row r="1810" spans="1:10" x14ac:dyDescent="0.4">
      <c r="A1810" s="278"/>
      <c r="B1810" s="95" t="s">
        <v>216</v>
      </c>
      <c r="C1810" s="93"/>
      <c r="D1810" s="92"/>
      <c r="E1810" s="93"/>
      <c r="F1810" s="92"/>
      <c r="G1810" s="93"/>
      <c r="H1810" s="92"/>
      <c r="I1810" s="93"/>
      <c r="J1810" s="92"/>
    </row>
    <row r="1811" spans="1:10" x14ac:dyDescent="0.4">
      <c r="A1811" s="278"/>
      <c r="B1811" s="95" t="s">
        <v>217</v>
      </c>
      <c r="C1811" s="93"/>
      <c r="D1811" s="92"/>
      <c r="E1811" s="93"/>
      <c r="F1811" s="92"/>
      <c r="G1811" s="93"/>
      <c r="H1811" s="92"/>
      <c r="I1811" s="98"/>
      <c r="J1811" s="99"/>
    </row>
    <row r="1812" spans="1:10" x14ac:dyDescent="0.4">
      <c r="A1812" s="278"/>
      <c r="B1812" s="95" t="s">
        <v>218</v>
      </c>
      <c r="C1812" s="93"/>
      <c r="D1812" s="92"/>
      <c r="E1812" s="93"/>
      <c r="F1812" s="92"/>
      <c r="G1812" s="93"/>
      <c r="H1812" s="92"/>
      <c r="I1812" s="98"/>
      <c r="J1812" s="99"/>
    </row>
    <row r="1813" spans="1:10" x14ac:dyDescent="0.4">
      <c r="A1813" s="278"/>
      <c r="B1813" s="95" t="s">
        <v>219</v>
      </c>
      <c r="C1813" s="93"/>
      <c r="D1813" s="92"/>
      <c r="E1813" s="93"/>
      <c r="F1813" s="92"/>
      <c r="G1813" s="93"/>
      <c r="H1813" s="92"/>
      <c r="I1813" s="98"/>
      <c r="J1813" s="99"/>
    </row>
    <row r="1814" spans="1:10" x14ac:dyDescent="0.4">
      <c r="A1814" s="278"/>
      <c r="B1814" s="95" t="s">
        <v>220</v>
      </c>
      <c r="C1814" s="93"/>
      <c r="D1814" s="92"/>
      <c r="E1814" s="93"/>
      <c r="F1814" s="92"/>
      <c r="G1814" s="98"/>
      <c r="H1814" s="99"/>
      <c r="I1814" s="98"/>
      <c r="J1814" s="99"/>
    </row>
    <row r="1815" spans="1:10" x14ac:dyDescent="0.4">
      <c r="A1815" s="278"/>
      <c r="B1815" s="95" t="s">
        <v>294</v>
      </c>
      <c r="C1815" s="93"/>
      <c r="D1815" s="92"/>
      <c r="E1815" s="98"/>
      <c r="F1815" s="99"/>
      <c r="G1815" s="98"/>
      <c r="H1815" s="99"/>
      <c r="I1815" s="98"/>
      <c r="J1815" s="99"/>
    </row>
    <row r="1816" spans="1:10" x14ac:dyDescent="0.4">
      <c r="A1816" s="278"/>
      <c r="B1816" s="95" t="s">
        <v>221</v>
      </c>
      <c r="C1816" s="93"/>
      <c r="D1816" s="92"/>
      <c r="E1816" s="98"/>
      <c r="F1816" s="99"/>
      <c r="G1816" s="98"/>
      <c r="H1816" s="99"/>
      <c r="I1816" s="98"/>
      <c r="J1816" s="99"/>
    </row>
    <row r="1817" spans="1:10" x14ac:dyDescent="0.4">
      <c r="A1817" s="278"/>
      <c r="B1817" s="96" t="s">
        <v>295</v>
      </c>
      <c r="C1817" s="93"/>
      <c r="D1817" s="92"/>
      <c r="E1817" s="93"/>
      <c r="F1817" s="92"/>
      <c r="G1817" s="93"/>
      <c r="H1817" s="92"/>
      <c r="I1817" s="93"/>
      <c r="J1817" s="92"/>
    </row>
    <row r="1818" spans="1:10" x14ac:dyDescent="0.4">
      <c r="A1818" s="278"/>
      <c r="B1818" s="96" t="s">
        <v>222</v>
      </c>
      <c r="C1818" s="93"/>
      <c r="D1818" s="92"/>
      <c r="E1818" s="93"/>
      <c r="F1818" s="92"/>
      <c r="G1818" s="93"/>
      <c r="H1818" s="92"/>
      <c r="I1818" s="93"/>
      <c r="J1818" s="92"/>
    </row>
    <row r="1819" spans="1:10" x14ac:dyDescent="0.4">
      <c r="A1819" s="278"/>
      <c r="B1819" s="96" t="s">
        <v>223</v>
      </c>
      <c r="C1819" s="93"/>
      <c r="D1819" s="92"/>
      <c r="E1819" s="93"/>
      <c r="F1819" s="92"/>
      <c r="G1819" s="93"/>
      <c r="H1819" s="92"/>
      <c r="I1819" s="93"/>
      <c r="J1819" s="92"/>
    </row>
    <row r="1820" spans="1:10" x14ac:dyDescent="0.4">
      <c r="A1820" s="278"/>
      <c r="B1820" s="96" t="s">
        <v>224</v>
      </c>
      <c r="C1820" s="93"/>
      <c r="D1820" s="92"/>
      <c r="E1820" s="93"/>
      <c r="F1820" s="92"/>
      <c r="G1820" s="93"/>
      <c r="H1820" s="92"/>
      <c r="I1820" s="93"/>
      <c r="J1820" s="92"/>
    </row>
    <row r="1821" spans="1:10" x14ac:dyDescent="0.4">
      <c r="A1821" s="278"/>
      <c r="B1821" s="96" t="s">
        <v>225</v>
      </c>
      <c r="C1821" s="93"/>
      <c r="D1821" s="92"/>
      <c r="E1821" s="93"/>
      <c r="F1821" s="92"/>
      <c r="G1821" s="93"/>
      <c r="H1821" s="92"/>
      <c r="I1821" s="93"/>
      <c r="J1821" s="92"/>
    </row>
    <row r="1822" spans="1:10" x14ac:dyDescent="0.4">
      <c r="A1822" s="278"/>
      <c r="B1822" s="96" t="s">
        <v>226</v>
      </c>
      <c r="C1822" s="93"/>
      <c r="D1822" s="92"/>
      <c r="E1822" s="93"/>
      <c r="F1822" s="92"/>
      <c r="G1822" s="93"/>
      <c r="H1822" s="92"/>
      <c r="I1822" s="93"/>
      <c r="J1822" s="92"/>
    </row>
    <row r="1823" spans="1:10" x14ac:dyDescent="0.4">
      <c r="A1823" s="278"/>
      <c r="B1823" s="96" t="s">
        <v>227</v>
      </c>
      <c r="C1823" s="93"/>
      <c r="D1823" s="92"/>
      <c r="E1823" s="93"/>
      <c r="F1823" s="92"/>
      <c r="G1823" s="93"/>
      <c r="H1823" s="92"/>
      <c r="I1823" s="93"/>
      <c r="J1823" s="92"/>
    </row>
    <row r="1824" spans="1:10" x14ac:dyDescent="0.4">
      <c r="A1824" s="278"/>
      <c r="B1824" s="96" t="s">
        <v>228</v>
      </c>
      <c r="C1824" s="93"/>
      <c r="D1824" s="92"/>
      <c r="E1824" s="93"/>
      <c r="F1824" s="92"/>
      <c r="G1824" s="93"/>
      <c r="H1824" s="92"/>
      <c r="I1824" s="93"/>
      <c r="J1824" s="92"/>
    </row>
    <row r="1825" spans="1:10" x14ac:dyDescent="0.4">
      <c r="A1825" s="278"/>
      <c r="B1825" s="96" t="s">
        <v>229</v>
      </c>
      <c r="C1825" s="93"/>
      <c r="D1825" s="92"/>
      <c r="E1825" s="93"/>
      <c r="F1825" s="92"/>
      <c r="G1825" s="98"/>
      <c r="H1825" s="99"/>
      <c r="I1825" s="93"/>
      <c r="J1825" s="92"/>
    </row>
    <row r="1826" spans="1:10" x14ac:dyDescent="0.4">
      <c r="A1826" s="278"/>
      <c r="B1826" s="96" t="s">
        <v>230</v>
      </c>
      <c r="C1826" s="93"/>
      <c r="D1826" s="92"/>
      <c r="E1826" s="93"/>
      <c r="F1826" s="92"/>
      <c r="G1826" s="98"/>
      <c r="H1826" s="99"/>
      <c r="I1826" s="98"/>
      <c r="J1826" s="99"/>
    </row>
    <row r="1827" spans="1:10" x14ac:dyDescent="0.4">
      <c r="A1827" s="278"/>
      <c r="B1827" s="96" t="s">
        <v>231</v>
      </c>
      <c r="C1827" s="93"/>
      <c r="D1827" s="92"/>
      <c r="E1827" s="93"/>
      <c r="F1827" s="92"/>
      <c r="G1827" s="98"/>
      <c r="H1827" s="99"/>
      <c r="I1827" s="98"/>
      <c r="J1827" s="99"/>
    </row>
    <row r="1828" spans="1:10" x14ac:dyDescent="0.4">
      <c r="A1828" s="278"/>
      <c r="B1828" s="96" t="s">
        <v>232</v>
      </c>
      <c r="C1828" s="93"/>
      <c r="D1828" s="92"/>
      <c r="E1828" s="93"/>
      <c r="F1828" s="92"/>
      <c r="G1828" s="98"/>
      <c r="H1828" s="99"/>
      <c r="I1828" s="98"/>
      <c r="J1828" s="99"/>
    </row>
    <row r="1829" spans="1:10" x14ac:dyDescent="0.4">
      <c r="A1829" s="278"/>
      <c r="B1829" s="96" t="s">
        <v>233</v>
      </c>
      <c r="C1829" s="93"/>
      <c r="D1829" s="92"/>
      <c r="E1829" s="93"/>
      <c r="F1829" s="92"/>
      <c r="G1829" s="98"/>
      <c r="H1829" s="99"/>
      <c r="I1829" s="98"/>
      <c r="J1829" s="99"/>
    </row>
    <row r="1830" spans="1:10" x14ac:dyDescent="0.4">
      <c r="A1830" s="278"/>
      <c r="B1830" s="96" t="s">
        <v>234</v>
      </c>
      <c r="C1830" s="93"/>
      <c r="D1830" s="92"/>
      <c r="E1830" s="93"/>
      <c r="F1830" s="92"/>
      <c r="G1830" s="98"/>
      <c r="H1830" s="99"/>
      <c r="I1830" s="98"/>
      <c r="J1830" s="99"/>
    </row>
    <row r="1831" spans="1:10" x14ac:dyDescent="0.4">
      <c r="A1831" s="278"/>
      <c r="B1831" s="96" t="s">
        <v>235</v>
      </c>
      <c r="C1831" s="93"/>
      <c r="D1831" s="92"/>
      <c r="E1831" s="98"/>
      <c r="F1831" s="99"/>
      <c r="G1831" s="98"/>
      <c r="H1831" s="99"/>
      <c r="I1831" s="98"/>
      <c r="J1831" s="99"/>
    </row>
    <row r="1832" spans="1:10" x14ac:dyDescent="0.4">
      <c r="A1832" s="278"/>
      <c r="B1832" s="96" t="s">
        <v>236</v>
      </c>
      <c r="C1832" s="93"/>
      <c r="D1832" s="92"/>
      <c r="E1832" s="98"/>
      <c r="F1832" s="99"/>
      <c r="G1832" s="98"/>
      <c r="H1832" s="99"/>
      <c r="I1832" s="98"/>
      <c r="J1832" s="99"/>
    </row>
    <row r="1833" spans="1:10" x14ac:dyDescent="0.4">
      <c r="A1833" s="278"/>
      <c r="B1833" s="97" t="s">
        <v>296</v>
      </c>
      <c r="C1833" s="93"/>
      <c r="D1833" s="92"/>
      <c r="E1833" s="93"/>
      <c r="F1833" s="92"/>
      <c r="G1833" s="93"/>
      <c r="H1833" s="92"/>
      <c r="I1833" s="93"/>
      <c r="J1833" s="92"/>
    </row>
    <row r="1834" spans="1:10" x14ac:dyDescent="0.4">
      <c r="A1834" s="278"/>
      <c r="B1834" s="97" t="s">
        <v>237</v>
      </c>
      <c r="C1834" s="93"/>
      <c r="D1834" s="92"/>
      <c r="E1834" s="93"/>
      <c r="F1834" s="92"/>
      <c r="G1834" s="93"/>
      <c r="H1834" s="92"/>
      <c r="I1834" s="93"/>
      <c r="J1834" s="92"/>
    </row>
    <row r="1835" spans="1:10" x14ac:dyDescent="0.4">
      <c r="A1835" s="278"/>
      <c r="B1835" s="97" t="s">
        <v>238</v>
      </c>
      <c r="C1835" s="93"/>
      <c r="D1835" s="92"/>
      <c r="E1835" s="93"/>
      <c r="F1835" s="92"/>
      <c r="G1835" s="93"/>
      <c r="H1835" s="92"/>
      <c r="I1835" s="93"/>
      <c r="J1835" s="92"/>
    </row>
    <row r="1836" spans="1:10" x14ac:dyDescent="0.4">
      <c r="A1836" s="278"/>
      <c r="B1836" s="97" t="s">
        <v>239</v>
      </c>
      <c r="C1836" s="93"/>
      <c r="D1836" s="92"/>
      <c r="E1836" s="93"/>
      <c r="F1836" s="92"/>
      <c r="G1836" s="93"/>
      <c r="H1836" s="92"/>
      <c r="I1836" s="93"/>
      <c r="J1836" s="92"/>
    </row>
    <row r="1837" spans="1:10" x14ac:dyDescent="0.4">
      <c r="A1837" s="278"/>
      <c r="B1837" s="97" t="s">
        <v>240</v>
      </c>
      <c r="C1837" s="93"/>
      <c r="D1837" s="92"/>
      <c r="E1837" s="93"/>
      <c r="F1837" s="92"/>
      <c r="G1837" s="93"/>
      <c r="H1837" s="92"/>
      <c r="I1837" s="93"/>
      <c r="J1837" s="92"/>
    </row>
    <row r="1838" spans="1:10" x14ac:dyDescent="0.4">
      <c r="A1838" s="278"/>
      <c r="B1838" s="97" t="s">
        <v>241</v>
      </c>
      <c r="C1838" s="93"/>
      <c r="D1838" s="92"/>
      <c r="E1838" s="93"/>
      <c r="F1838" s="92"/>
      <c r="G1838" s="93"/>
      <c r="H1838" s="92"/>
      <c r="I1838" s="93"/>
      <c r="J1838" s="92"/>
    </row>
    <row r="1839" spans="1:10" x14ac:dyDescent="0.4">
      <c r="A1839" s="278"/>
      <c r="B1839" s="97" t="s">
        <v>242</v>
      </c>
      <c r="C1839" s="93"/>
      <c r="D1839" s="92"/>
      <c r="E1839" s="93"/>
      <c r="F1839" s="92"/>
      <c r="G1839" s="93"/>
      <c r="H1839" s="92"/>
      <c r="I1839" s="93"/>
      <c r="J1839" s="92"/>
    </row>
    <row r="1840" spans="1:10" x14ac:dyDescent="0.4">
      <c r="A1840" s="278"/>
      <c r="B1840" s="97" t="s">
        <v>243</v>
      </c>
      <c r="C1840" s="93"/>
      <c r="D1840" s="92"/>
      <c r="E1840" s="93"/>
      <c r="F1840" s="92"/>
      <c r="G1840" s="93"/>
      <c r="H1840" s="92"/>
      <c r="I1840" s="93"/>
      <c r="J1840" s="92"/>
    </row>
    <row r="1841" spans="1:10" x14ac:dyDescent="0.4">
      <c r="A1841" s="278"/>
      <c r="B1841" s="97" t="s">
        <v>244</v>
      </c>
      <c r="C1841" s="93"/>
      <c r="D1841" s="92"/>
      <c r="E1841" s="93"/>
      <c r="F1841" s="92"/>
      <c r="G1841" s="93"/>
      <c r="H1841" s="92"/>
      <c r="I1841" s="98"/>
      <c r="J1841" s="99"/>
    </row>
    <row r="1842" spans="1:10" x14ac:dyDescent="0.4">
      <c r="A1842" s="278"/>
      <c r="B1842" s="97" t="s">
        <v>245</v>
      </c>
      <c r="C1842" s="93"/>
      <c r="D1842" s="92"/>
      <c r="E1842" s="93"/>
      <c r="F1842" s="92"/>
      <c r="G1842" s="93"/>
      <c r="H1842" s="92"/>
      <c r="I1842" s="98"/>
      <c r="J1842" s="99"/>
    </row>
    <row r="1843" spans="1:10" x14ac:dyDescent="0.4">
      <c r="A1843" s="278"/>
      <c r="B1843" s="97" t="s">
        <v>246</v>
      </c>
      <c r="C1843" s="98"/>
      <c r="D1843" s="99"/>
      <c r="E1843" s="93"/>
      <c r="F1843" s="92"/>
      <c r="G1843" s="93"/>
      <c r="H1843" s="92"/>
      <c r="I1843" s="98"/>
      <c r="J1843" s="99"/>
    </row>
    <row r="1844" spans="1:10" x14ac:dyDescent="0.4">
      <c r="A1844" s="278"/>
      <c r="B1844" s="97" t="s">
        <v>247</v>
      </c>
      <c r="C1844" s="98"/>
      <c r="D1844" s="99"/>
      <c r="E1844" s="93"/>
      <c r="F1844" s="92"/>
      <c r="G1844" s="93"/>
      <c r="H1844" s="92"/>
      <c r="I1844" s="98"/>
      <c r="J1844" s="99"/>
    </row>
    <row r="1845" spans="1:10" x14ac:dyDescent="0.4">
      <c r="A1845" s="278"/>
      <c r="B1845" s="97" t="s">
        <v>248</v>
      </c>
      <c r="C1845" s="98"/>
      <c r="D1845" s="99"/>
      <c r="E1845" s="98"/>
      <c r="F1845" s="99"/>
      <c r="G1845" s="93"/>
      <c r="H1845" s="92"/>
      <c r="I1845" s="98"/>
      <c r="J1845" s="99"/>
    </row>
    <row r="1846" spans="1:10" x14ac:dyDescent="0.4">
      <c r="A1846" s="278"/>
      <c r="B1846" s="94" t="s">
        <v>297</v>
      </c>
      <c r="C1846" s="98"/>
      <c r="D1846" s="99"/>
      <c r="E1846" s="98"/>
      <c r="F1846" s="99"/>
      <c r="G1846" s="98"/>
      <c r="H1846" s="99"/>
      <c r="I1846" s="93"/>
      <c r="J1846" s="92"/>
    </row>
    <row r="1847" spans="1:10" x14ac:dyDescent="0.4">
      <c r="A1847" s="278"/>
      <c r="B1847" s="94" t="s">
        <v>249</v>
      </c>
      <c r="C1847" s="98"/>
      <c r="D1847" s="99"/>
      <c r="E1847" s="98"/>
      <c r="F1847" s="99"/>
      <c r="G1847" s="98"/>
      <c r="H1847" s="99"/>
      <c r="I1847" s="93"/>
      <c r="J1847" s="92"/>
    </row>
    <row r="1848" spans="1:10" x14ac:dyDescent="0.4">
      <c r="A1848" s="278"/>
      <c r="B1848" s="94" t="s">
        <v>250</v>
      </c>
      <c r="C1848" s="98"/>
      <c r="D1848" s="99"/>
      <c r="E1848" s="98"/>
      <c r="F1848" s="99"/>
      <c r="G1848" s="98"/>
      <c r="H1848" s="99"/>
      <c r="I1848" s="93"/>
      <c r="J1848" s="92"/>
    </row>
    <row r="1849" spans="1:10" x14ac:dyDescent="0.4">
      <c r="A1849" s="278"/>
      <c r="B1849" s="94" t="s">
        <v>251</v>
      </c>
      <c r="C1849" s="98"/>
      <c r="D1849" s="99"/>
      <c r="E1849" s="98"/>
      <c r="F1849" s="99"/>
      <c r="G1849" s="98"/>
      <c r="H1849" s="99"/>
      <c r="I1849" s="93"/>
      <c r="J1849" s="92"/>
    </row>
    <row r="1850" spans="1:10" x14ac:dyDescent="0.4">
      <c r="A1850" s="278"/>
      <c r="B1850" s="94" t="s">
        <v>252</v>
      </c>
      <c r="C1850" s="98"/>
      <c r="D1850" s="99"/>
      <c r="E1850" s="98"/>
      <c r="F1850" s="99"/>
      <c r="G1850" s="98"/>
      <c r="H1850" s="99"/>
      <c r="I1850" s="93"/>
      <c r="J1850" s="92"/>
    </row>
    <row r="1851" spans="1:10" x14ac:dyDescent="0.4">
      <c r="A1851" s="278"/>
      <c r="B1851" s="94" t="s">
        <v>253</v>
      </c>
      <c r="C1851" s="98"/>
      <c r="D1851" s="99"/>
      <c r="E1851" s="98"/>
      <c r="F1851" s="99"/>
      <c r="G1851" s="98"/>
      <c r="H1851" s="99"/>
      <c r="I1851" s="93"/>
      <c r="J1851" s="92"/>
    </row>
    <row r="1852" spans="1:10" x14ac:dyDescent="0.4">
      <c r="A1852" s="278"/>
      <c r="B1852" s="94" t="s">
        <v>254</v>
      </c>
      <c r="C1852" s="98"/>
      <c r="D1852" s="99"/>
      <c r="E1852" s="98"/>
      <c r="F1852" s="99"/>
      <c r="G1852" s="98"/>
      <c r="H1852" s="99"/>
      <c r="I1852" s="93"/>
      <c r="J1852" s="92"/>
    </row>
    <row r="1853" spans="1:10" x14ac:dyDescent="0.4">
      <c r="A1853" s="278"/>
      <c r="B1853" s="94" t="s">
        <v>255</v>
      </c>
      <c r="C1853" s="98"/>
      <c r="D1853" s="99"/>
      <c r="E1853" s="98"/>
      <c r="F1853" s="99"/>
      <c r="G1853" s="98"/>
      <c r="H1853" s="99"/>
      <c r="I1853" s="93"/>
      <c r="J1853" s="92"/>
    </row>
    <row r="1854" spans="1:10" x14ac:dyDescent="0.4">
      <c r="A1854" s="278"/>
      <c r="B1854" s="94" t="s">
        <v>256</v>
      </c>
      <c r="C1854" s="98"/>
      <c r="D1854" s="99"/>
      <c r="E1854" s="98"/>
      <c r="F1854" s="99"/>
      <c r="G1854" s="98"/>
      <c r="H1854" s="99"/>
      <c r="I1854" s="93"/>
      <c r="J1854" s="92"/>
    </row>
    <row r="1855" spans="1:10" x14ac:dyDescent="0.4">
      <c r="A1855" s="278"/>
      <c r="B1855" s="94" t="s">
        <v>257</v>
      </c>
      <c r="C1855" s="98"/>
      <c r="D1855" s="99"/>
      <c r="E1855" s="98"/>
      <c r="F1855" s="99"/>
      <c r="G1855" s="98"/>
      <c r="H1855" s="99"/>
      <c r="I1855" s="93"/>
      <c r="J1855" s="92"/>
    </row>
    <row r="1856" spans="1:10" x14ac:dyDescent="0.4">
      <c r="A1856" s="278"/>
      <c r="B1856" s="94" t="s">
        <v>258</v>
      </c>
      <c r="C1856" s="98"/>
      <c r="D1856" s="99"/>
      <c r="E1856" s="98"/>
      <c r="F1856" s="99"/>
      <c r="G1856" s="98"/>
      <c r="H1856" s="99"/>
      <c r="I1856" s="93"/>
      <c r="J1856" s="92"/>
    </row>
    <row r="1857" spans="1:11" x14ac:dyDescent="0.4">
      <c r="A1857" s="279"/>
      <c r="B1857" s="94" t="s">
        <v>259</v>
      </c>
      <c r="C1857" s="98"/>
      <c r="D1857" s="99"/>
      <c r="E1857" s="98"/>
      <c r="F1857" s="99"/>
      <c r="G1857" s="98"/>
      <c r="H1857" s="99"/>
      <c r="I1857" s="93"/>
      <c r="J1857" s="92"/>
    </row>
    <row r="1858" spans="1:11" x14ac:dyDescent="0.4">
      <c r="A1858" s="115" t="s">
        <v>263</v>
      </c>
      <c r="B1858" s="116" t="e">
        <f>SUM(C1858,E1858,G1858,I1858)</f>
        <v>#DIV/0!</v>
      </c>
      <c r="C1858" s="103" t="e">
        <f>AVERAGE(C1785:C1797,C1801:C1842)</f>
        <v>#DIV/0!</v>
      </c>
      <c r="D1858" s="103" t="e">
        <f>AVERAGE(D1785:D1797,D1801:D1842)</f>
        <v>#DIV/0!</v>
      </c>
      <c r="E1858" s="103" t="e">
        <f>AVERAGE(E1785:E1793,E1801:E1814,E1817:E1830,E1833:E1844)</f>
        <v>#DIV/0!</v>
      </c>
      <c r="F1858" s="103" t="e">
        <f>AVERAGE(F1785:F1793,F1801:F1814,F1817:F1830,F1833:F1844)</f>
        <v>#DIV/0!</v>
      </c>
      <c r="G1858" s="103" t="e">
        <f>AVERAGE(G1785:G1813,G1817:G1824,G1833:G1845)</f>
        <v>#DIV/0!</v>
      </c>
      <c r="H1858" s="103" t="e">
        <f>AVERAGE(H1785:H1813,H1817:H1824,H1833:H1845)</f>
        <v>#DIV/0!</v>
      </c>
      <c r="I1858" s="103" t="e">
        <f>AVERAGE(I1785:I1792,I1801:I1810,I1817:I1825,I1833:I1840,I1846:I1857)</f>
        <v>#DIV/0!</v>
      </c>
      <c r="J1858" s="103" t="e">
        <f>AVERAGE(J1785:J1792,J1801:J1810,J1817:J1825,J1833:J1840,J1846:J1857)</f>
        <v>#DIV/0!</v>
      </c>
    </row>
    <row r="1859" spans="1:11" x14ac:dyDescent="0.4">
      <c r="A1859" s="115" t="s">
        <v>264</v>
      </c>
      <c r="B1859" s="116" t="e">
        <f>SUM(D1858,F1858,H1858,J1858)</f>
        <v>#DIV/0!</v>
      </c>
      <c r="C1859" s="63" t="s">
        <v>265</v>
      </c>
      <c r="D1859" s="117" t="s">
        <v>266</v>
      </c>
      <c r="E1859" s="63" t="s">
        <v>265</v>
      </c>
      <c r="F1859" s="117" t="s">
        <v>266</v>
      </c>
      <c r="G1859" s="63" t="s">
        <v>265</v>
      </c>
      <c r="H1859" s="117" t="s">
        <v>266</v>
      </c>
      <c r="I1859" s="63" t="s">
        <v>265</v>
      </c>
      <c r="J1859" s="117" t="s">
        <v>266</v>
      </c>
    </row>
    <row r="1862" spans="1:11" x14ac:dyDescent="0.4">
      <c r="A1862" s="280" t="s">
        <v>107</v>
      </c>
      <c r="B1862" s="280"/>
      <c r="C1862" s="280"/>
      <c r="D1862" s="280"/>
      <c r="E1862" s="280"/>
      <c r="F1862" s="280"/>
      <c r="G1862" s="280"/>
      <c r="H1862" s="280"/>
      <c r="I1862" s="280"/>
      <c r="J1862" s="281"/>
      <c r="K1862" s="108">
        <v>12</v>
      </c>
    </row>
    <row r="1863" spans="1:11" ht="34.799999999999997" x14ac:dyDescent="0.4">
      <c r="A1863" s="73" t="s">
        <v>267</v>
      </c>
      <c r="B1863" s="73" t="s">
        <v>268</v>
      </c>
      <c r="C1863" s="73" t="s">
        <v>269</v>
      </c>
      <c r="D1863" s="73" t="s">
        <v>108</v>
      </c>
      <c r="E1863" s="73" t="s">
        <v>109</v>
      </c>
      <c r="F1863" s="74" t="s">
        <v>270</v>
      </c>
      <c r="G1863" s="73" t="s">
        <v>110</v>
      </c>
      <c r="H1863" s="73" t="s">
        <v>111</v>
      </c>
      <c r="I1863" s="73" t="s">
        <v>112</v>
      </c>
      <c r="J1863" s="73" t="s">
        <v>113</v>
      </c>
    </row>
    <row r="1864" spans="1:11" x14ac:dyDescent="0.4">
      <c r="A1864" s="282" t="s">
        <v>271</v>
      </c>
      <c r="B1864" s="86" t="s">
        <v>114</v>
      </c>
      <c r="C1864" s="75" t="s">
        <v>272</v>
      </c>
      <c r="D1864" s="76">
        <v>1</v>
      </c>
      <c r="E1864" s="77">
        <v>1</v>
      </c>
      <c r="F1864" s="274" t="s">
        <v>273</v>
      </c>
      <c r="G1864" s="75">
        <v>105.48</v>
      </c>
      <c r="H1864" s="51">
        <v>25.5</v>
      </c>
      <c r="I1864" s="52">
        <v>26.6</v>
      </c>
      <c r="J1864" s="52">
        <v>25.947168858331978</v>
      </c>
    </row>
    <row r="1865" spans="1:11" x14ac:dyDescent="0.4">
      <c r="A1865" s="283"/>
      <c r="B1865" s="86" t="s">
        <v>115</v>
      </c>
      <c r="C1865" s="75" t="s">
        <v>274</v>
      </c>
      <c r="D1865" s="76">
        <v>1</v>
      </c>
      <c r="E1865" s="77">
        <v>1</v>
      </c>
      <c r="F1865" s="275"/>
      <c r="G1865" s="75">
        <v>105.48</v>
      </c>
      <c r="H1865" s="51">
        <v>26</v>
      </c>
      <c r="I1865" s="52">
        <v>27.1</v>
      </c>
      <c r="J1865" s="52">
        <v>26.534160006693167</v>
      </c>
    </row>
    <row r="1866" spans="1:11" x14ac:dyDescent="0.4">
      <c r="A1866" s="283"/>
      <c r="B1866" s="86" t="s">
        <v>116</v>
      </c>
      <c r="C1866" s="75" t="s">
        <v>117</v>
      </c>
      <c r="D1866" s="76">
        <v>1</v>
      </c>
      <c r="E1866" s="77">
        <v>1</v>
      </c>
      <c r="F1866" s="78"/>
      <c r="G1866" s="75">
        <v>105.48</v>
      </c>
      <c r="H1866" s="51">
        <v>26</v>
      </c>
      <c r="I1866" s="52">
        <v>27.1</v>
      </c>
      <c r="J1866" s="52">
        <v>26.612712003992765</v>
      </c>
    </row>
    <row r="1867" spans="1:11" x14ac:dyDescent="0.4">
      <c r="A1867" s="284"/>
      <c r="B1867" s="86" t="s">
        <v>118</v>
      </c>
      <c r="C1867" s="75" t="s">
        <v>119</v>
      </c>
      <c r="D1867" s="76">
        <v>1</v>
      </c>
      <c r="E1867" s="77">
        <v>1</v>
      </c>
      <c r="F1867" s="78"/>
      <c r="G1867" s="75">
        <v>105.48</v>
      </c>
      <c r="H1867" s="51">
        <v>25.9</v>
      </c>
      <c r="I1867" s="52">
        <v>27</v>
      </c>
      <c r="J1867" s="52">
        <v>26.551582992080178</v>
      </c>
    </row>
    <row r="1868" spans="1:11" x14ac:dyDescent="0.4">
      <c r="A1868" s="282" t="s">
        <v>275</v>
      </c>
      <c r="B1868" s="86" t="s">
        <v>120</v>
      </c>
      <c r="C1868" s="75" t="s">
        <v>276</v>
      </c>
      <c r="D1868" s="76">
        <v>1</v>
      </c>
      <c r="E1868" s="77">
        <v>1</v>
      </c>
      <c r="F1868" s="274" t="s">
        <v>273</v>
      </c>
      <c r="G1868" s="75">
        <v>105.48</v>
      </c>
      <c r="H1868" s="51">
        <v>19.5</v>
      </c>
      <c r="I1868" s="52">
        <v>28</v>
      </c>
      <c r="J1868" s="52">
        <v>26.562861558467784</v>
      </c>
    </row>
    <row r="1869" spans="1:11" x14ac:dyDescent="0.4">
      <c r="A1869" s="283"/>
      <c r="B1869" s="86" t="s">
        <v>121</v>
      </c>
      <c r="C1869" s="75" t="s">
        <v>277</v>
      </c>
      <c r="D1869" s="76">
        <v>1</v>
      </c>
      <c r="E1869" s="77">
        <v>1</v>
      </c>
      <c r="F1869" s="275"/>
      <c r="G1869" s="75">
        <v>105.48</v>
      </c>
      <c r="H1869" s="51">
        <v>24.3</v>
      </c>
      <c r="I1869" s="52">
        <v>27.7</v>
      </c>
      <c r="J1869" s="52">
        <v>26.468817329979629</v>
      </c>
    </row>
    <row r="1870" spans="1:11" x14ac:dyDescent="0.4">
      <c r="A1870" s="283"/>
      <c r="B1870" s="86" t="s">
        <v>122</v>
      </c>
      <c r="C1870" s="75" t="s">
        <v>123</v>
      </c>
      <c r="D1870" s="76">
        <v>1</v>
      </c>
      <c r="E1870" s="77">
        <v>1</v>
      </c>
      <c r="F1870" s="275"/>
      <c r="G1870" s="75">
        <v>105.48</v>
      </c>
      <c r="H1870" s="51">
        <v>17</v>
      </c>
      <c r="I1870" s="52">
        <v>27</v>
      </c>
      <c r="J1870" s="52">
        <v>21.191033060811872</v>
      </c>
    </row>
    <row r="1871" spans="1:11" x14ac:dyDescent="0.4">
      <c r="A1871" s="283"/>
      <c r="B1871" s="86" t="s">
        <v>124</v>
      </c>
      <c r="C1871" s="75" t="s">
        <v>125</v>
      </c>
      <c r="D1871" s="76">
        <v>1</v>
      </c>
      <c r="E1871" s="77">
        <v>1</v>
      </c>
      <c r="F1871" s="275"/>
      <c r="G1871" s="75">
        <v>105.48</v>
      </c>
      <c r="H1871" s="51">
        <v>24.9</v>
      </c>
      <c r="I1871" s="52">
        <v>27.5</v>
      </c>
      <c r="J1871" s="52">
        <v>26.191250294344051</v>
      </c>
    </row>
    <row r="1872" spans="1:11" x14ac:dyDescent="0.4">
      <c r="A1872" s="283"/>
      <c r="B1872" s="86" t="s">
        <v>126</v>
      </c>
      <c r="C1872" s="75" t="s">
        <v>278</v>
      </c>
      <c r="D1872" s="76">
        <v>1</v>
      </c>
      <c r="E1872" s="77">
        <v>1</v>
      </c>
      <c r="F1872" s="78"/>
      <c r="G1872" s="75">
        <v>70.319999999999993</v>
      </c>
      <c r="H1872" s="51">
        <v>13.9</v>
      </c>
      <c r="I1872" s="52">
        <v>26.3</v>
      </c>
      <c r="J1872" s="52">
        <v>24.473978140810075</v>
      </c>
    </row>
    <row r="1873" spans="1:10" x14ac:dyDescent="0.4">
      <c r="A1873" s="283"/>
      <c r="B1873" s="86" t="s">
        <v>127</v>
      </c>
      <c r="C1873" s="75" t="s">
        <v>128</v>
      </c>
      <c r="D1873" s="76">
        <v>1</v>
      </c>
      <c r="E1873" s="77">
        <v>1</v>
      </c>
      <c r="F1873" s="78"/>
      <c r="G1873" s="75">
        <v>70.319999999999993</v>
      </c>
      <c r="H1873" s="51">
        <v>14.1</v>
      </c>
      <c r="I1873" s="52">
        <v>26.1</v>
      </c>
      <c r="J1873" s="52">
        <v>24.513090894548593</v>
      </c>
    </row>
    <row r="1874" spans="1:10" x14ac:dyDescent="0.4">
      <c r="A1874" s="284"/>
      <c r="B1874" s="86" t="s">
        <v>129</v>
      </c>
      <c r="C1874" s="75" t="s">
        <v>130</v>
      </c>
      <c r="D1874" s="76">
        <v>1</v>
      </c>
      <c r="E1874" s="77">
        <v>1</v>
      </c>
      <c r="F1874" s="78"/>
      <c r="G1874" s="75">
        <v>70.319999999999993</v>
      </c>
      <c r="H1874" s="51">
        <v>14.8</v>
      </c>
      <c r="I1874" s="52">
        <v>26</v>
      </c>
      <c r="J1874" s="52">
        <v>24.625210701474238</v>
      </c>
    </row>
    <row r="1875" spans="1:10" x14ac:dyDescent="0.4">
      <c r="A1875" s="273" t="s">
        <v>279</v>
      </c>
      <c r="B1875" s="86" t="s">
        <v>131</v>
      </c>
      <c r="C1875" s="75" t="s">
        <v>280</v>
      </c>
      <c r="D1875" s="76">
        <v>1</v>
      </c>
      <c r="E1875" s="77">
        <v>1</v>
      </c>
      <c r="F1875" s="274" t="s">
        <v>273</v>
      </c>
      <c r="G1875" s="75">
        <v>105.48</v>
      </c>
      <c r="H1875" s="51">
        <v>24</v>
      </c>
      <c r="I1875" s="52">
        <v>25.5</v>
      </c>
      <c r="J1875" s="52">
        <v>24.86613436981952</v>
      </c>
    </row>
    <row r="1876" spans="1:10" x14ac:dyDescent="0.4">
      <c r="A1876" s="273"/>
      <c r="B1876" s="86" t="s">
        <v>132</v>
      </c>
      <c r="C1876" s="75" t="s">
        <v>133</v>
      </c>
      <c r="D1876" s="76">
        <v>1</v>
      </c>
      <c r="E1876" s="77">
        <v>1</v>
      </c>
      <c r="F1876" s="275"/>
      <c r="G1876" s="75">
        <v>105.48</v>
      </c>
      <c r="H1876" s="51">
        <v>24.4</v>
      </c>
      <c r="I1876" s="52">
        <v>25.9</v>
      </c>
      <c r="J1876" s="52">
        <v>25.221151651472233</v>
      </c>
    </row>
    <row r="1877" spans="1:10" x14ac:dyDescent="0.4">
      <c r="A1877" s="273"/>
      <c r="B1877" s="86" t="s">
        <v>134</v>
      </c>
      <c r="C1877" s="75" t="s">
        <v>135</v>
      </c>
      <c r="D1877" s="76">
        <v>1</v>
      </c>
      <c r="E1877" s="77">
        <v>1</v>
      </c>
      <c r="F1877" s="275"/>
      <c r="G1877" s="79">
        <v>105.48</v>
      </c>
      <c r="H1877" s="51">
        <v>24.5</v>
      </c>
      <c r="I1877" s="52">
        <v>26.4</v>
      </c>
      <c r="J1877" s="52">
        <v>25.252246982879878</v>
      </c>
    </row>
    <row r="1878" spans="1:10" x14ac:dyDescent="0.4">
      <c r="A1878" s="273"/>
      <c r="B1878" s="86" t="s">
        <v>136</v>
      </c>
      <c r="C1878" s="75" t="s">
        <v>137</v>
      </c>
      <c r="D1878" s="76">
        <v>1</v>
      </c>
      <c r="E1878" s="77">
        <v>1</v>
      </c>
      <c r="F1878" s="275"/>
      <c r="G1878" s="79">
        <v>105.48</v>
      </c>
      <c r="H1878" s="51">
        <v>24.1</v>
      </c>
      <c r="I1878" s="52">
        <v>26</v>
      </c>
      <c r="J1878" s="52">
        <v>24.844128275320063</v>
      </c>
    </row>
    <row r="1879" spans="1:10" x14ac:dyDescent="0.4">
      <c r="A1879" s="273"/>
      <c r="B1879" s="86" t="s">
        <v>138</v>
      </c>
      <c r="C1879" s="75" t="s">
        <v>281</v>
      </c>
      <c r="D1879" s="76">
        <v>0</v>
      </c>
      <c r="E1879" s="77">
        <v>1</v>
      </c>
      <c r="F1879" s="274" t="s">
        <v>282</v>
      </c>
      <c r="G1879" s="75">
        <v>32.549999999999997</v>
      </c>
      <c r="H1879" s="111">
        <v>25.3</v>
      </c>
      <c r="I1879" s="111">
        <v>33.5</v>
      </c>
      <c r="J1879" s="111">
        <v>32.598777177207168</v>
      </c>
    </row>
    <row r="1880" spans="1:10" x14ac:dyDescent="0.4">
      <c r="A1880" s="273"/>
      <c r="B1880" s="86" t="s">
        <v>139</v>
      </c>
      <c r="C1880" s="75" t="s">
        <v>140</v>
      </c>
      <c r="D1880" s="76">
        <v>0</v>
      </c>
      <c r="E1880" s="77">
        <v>1</v>
      </c>
      <c r="F1880" s="276"/>
      <c r="G1880" s="75">
        <v>32.549999999999997</v>
      </c>
      <c r="H1880" s="112">
        <v>23.4</v>
      </c>
      <c r="I1880" s="112">
        <v>27.2</v>
      </c>
      <c r="J1880" s="112">
        <v>26.023714421315294</v>
      </c>
    </row>
    <row r="1881" spans="1:10" x14ac:dyDescent="0.4">
      <c r="A1881" s="273"/>
      <c r="B1881" s="86" t="s">
        <v>141</v>
      </c>
      <c r="C1881" s="75" t="s">
        <v>283</v>
      </c>
      <c r="D1881" s="76">
        <v>0</v>
      </c>
      <c r="E1881" s="77">
        <v>1</v>
      </c>
      <c r="F1881" s="274" t="s">
        <v>282</v>
      </c>
      <c r="G1881" s="75">
        <v>32.549999999999997</v>
      </c>
      <c r="H1881" s="112">
        <v>21.8</v>
      </c>
      <c r="I1881" s="112">
        <v>32.700000000000003</v>
      </c>
      <c r="J1881" s="112">
        <v>31.101890811719603</v>
      </c>
    </row>
    <row r="1882" spans="1:10" x14ac:dyDescent="0.4">
      <c r="A1882" s="273"/>
      <c r="B1882" s="86" t="s">
        <v>142</v>
      </c>
      <c r="C1882" s="75" t="s">
        <v>143</v>
      </c>
      <c r="D1882" s="76">
        <v>1</v>
      </c>
      <c r="E1882" s="77">
        <v>1</v>
      </c>
      <c r="F1882" s="275"/>
      <c r="G1882" s="75">
        <v>32.549999999999997</v>
      </c>
      <c r="H1882" s="53">
        <v>22.5</v>
      </c>
      <c r="I1882" s="53">
        <v>27.8</v>
      </c>
      <c r="J1882" s="53">
        <v>26.137480201432698</v>
      </c>
    </row>
    <row r="1883" spans="1:10" x14ac:dyDescent="0.4">
      <c r="A1883" s="273"/>
      <c r="B1883" s="86" t="s">
        <v>144</v>
      </c>
      <c r="C1883" s="75" t="s">
        <v>145</v>
      </c>
      <c r="D1883" s="76">
        <v>0</v>
      </c>
      <c r="E1883" s="77">
        <v>1</v>
      </c>
      <c r="F1883" s="275"/>
      <c r="G1883" s="75">
        <v>32.549999999999997</v>
      </c>
      <c r="H1883" s="112">
        <v>17.8</v>
      </c>
      <c r="I1883" s="112">
        <v>29.5</v>
      </c>
      <c r="J1883" s="112">
        <v>27.936542597126117</v>
      </c>
    </row>
    <row r="1884" spans="1:10" x14ac:dyDescent="0.4">
      <c r="A1884" s="273"/>
      <c r="B1884" s="86" t="s">
        <v>146</v>
      </c>
      <c r="C1884" s="75" t="s">
        <v>147</v>
      </c>
      <c r="D1884" s="76">
        <v>1</v>
      </c>
      <c r="E1884" s="77">
        <v>1</v>
      </c>
      <c r="F1884" s="275"/>
      <c r="G1884" s="75">
        <v>32.549999999999997</v>
      </c>
      <c r="H1884" s="53">
        <v>21.4</v>
      </c>
      <c r="I1884" s="53">
        <v>26.9</v>
      </c>
      <c r="J1884" s="53">
        <v>24.703474713280034</v>
      </c>
    </row>
    <row r="1885" spans="1:10" x14ac:dyDescent="0.4">
      <c r="A1885" s="273"/>
      <c r="B1885" s="86" t="s">
        <v>148</v>
      </c>
      <c r="C1885" s="75" t="s">
        <v>149</v>
      </c>
      <c r="D1885" s="76">
        <v>0</v>
      </c>
      <c r="E1885" s="77">
        <v>1</v>
      </c>
      <c r="F1885" s="275"/>
      <c r="G1885" s="75">
        <v>32.549999999999997</v>
      </c>
      <c r="H1885" s="53">
        <v>20.3</v>
      </c>
      <c r="I1885" s="53">
        <v>24.4</v>
      </c>
      <c r="J1885" s="53">
        <v>21.562160054259266</v>
      </c>
    </row>
    <row r="1886" spans="1:10" x14ac:dyDescent="0.4">
      <c r="A1886" s="273"/>
      <c r="B1886" s="86" t="s">
        <v>150</v>
      </c>
      <c r="C1886" s="75" t="s">
        <v>151</v>
      </c>
      <c r="D1886" s="76">
        <v>1</v>
      </c>
      <c r="E1886" s="77">
        <v>1</v>
      </c>
      <c r="F1886" s="275"/>
      <c r="G1886" s="75">
        <v>32.549999999999997</v>
      </c>
      <c r="H1886" s="53">
        <v>21.2</v>
      </c>
      <c r="I1886" s="53">
        <v>24.2</v>
      </c>
      <c r="J1886" s="53">
        <v>23.427404201133758</v>
      </c>
    </row>
    <row r="1887" spans="1:10" x14ac:dyDescent="0.4">
      <c r="A1887" s="273"/>
      <c r="B1887" s="86" t="s">
        <v>152</v>
      </c>
      <c r="C1887" s="75" t="s">
        <v>153</v>
      </c>
      <c r="D1887" s="76">
        <v>0</v>
      </c>
      <c r="E1887" s="77">
        <v>1</v>
      </c>
      <c r="F1887" s="275"/>
      <c r="G1887" s="75">
        <v>32.549999999999997</v>
      </c>
      <c r="H1887" s="112"/>
      <c r="I1887" s="112"/>
      <c r="J1887" s="112"/>
    </row>
    <row r="1888" spans="1:10" x14ac:dyDescent="0.4">
      <c r="A1888" s="273"/>
      <c r="B1888" s="86" t="s">
        <v>154</v>
      </c>
      <c r="C1888" s="75" t="s">
        <v>155</v>
      </c>
      <c r="D1888" s="76">
        <v>0</v>
      </c>
      <c r="E1888" s="77">
        <v>1</v>
      </c>
      <c r="F1888" s="275"/>
      <c r="G1888" s="75">
        <v>32.549999999999997</v>
      </c>
      <c r="H1888" s="112">
        <v>18.399999999999999</v>
      </c>
      <c r="I1888" s="112">
        <v>99.5</v>
      </c>
      <c r="J1888" s="112">
        <v>22.382754481136075</v>
      </c>
    </row>
    <row r="1889" spans="1:10" x14ac:dyDescent="0.4">
      <c r="A1889" s="273"/>
      <c r="B1889" s="86" t="s">
        <v>156</v>
      </c>
      <c r="C1889" s="75" t="s">
        <v>157</v>
      </c>
      <c r="D1889" s="76">
        <v>0</v>
      </c>
      <c r="E1889" s="77">
        <v>1</v>
      </c>
      <c r="F1889" s="275"/>
      <c r="G1889" s="75">
        <v>32.549999999999997</v>
      </c>
      <c r="H1889" s="112">
        <v>18.399999999999999</v>
      </c>
      <c r="I1889" s="112">
        <v>25.1</v>
      </c>
      <c r="J1889" s="112">
        <v>23.977183057851555</v>
      </c>
    </row>
    <row r="1890" spans="1:10" x14ac:dyDescent="0.4">
      <c r="A1890" s="273"/>
      <c r="B1890" s="86" t="s">
        <v>158</v>
      </c>
      <c r="C1890" s="75" t="s">
        <v>159</v>
      </c>
      <c r="D1890" s="76">
        <v>0</v>
      </c>
      <c r="E1890" s="77">
        <v>1</v>
      </c>
      <c r="F1890" s="275"/>
      <c r="G1890" s="75">
        <v>32.549999999999997</v>
      </c>
      <c r="H1890" s="112">
        <v>17.7</v>
      </c>
      <c r="I1890" s="112">
        <v>29.2</v>
      </c>
      <c r="J1890" s="112">
        <v>21.609415322508042</v>
      </c>
    </row>
    <row r="1891" spans="1:10" x14ac:dyDescent="0.4">
      <c r="A1891" s="273"/>
      <c r="B1891" s="86" t="s">
        <v>160</v>
      </c>
      <c r="C1891" s="75" t="s">
        <v>161</v>
      </c>
      <c r="D1891" s="76">
        <v>0</v>
      </c>
      <c r="E1891" s="77">
        <v>1</v>
      </c>
      <c r="F1891" s="275"/>
      <c r="G1891" s="75">
        <v>32.549999999999997</v>
      </c>
      <c r="H1891" s="112">
        <v>21.2</v>
      </c>
      <c r="I1891" s="112">
        <v>25.6</v>
      </c>
      <c r="J1891" s="112">
        <v>22.483006882817978</v>
      </c>
    </row>
    <row r="1892" spans="1:10" x14ac:dyDescent="0.4">
      <c r="A1892" s="273"/>
      <c r="B1892" s="86" t="s">
        <v>162</v>
      </c>
      <c r="C1892" s="75" t="s">
        <v>163</v>
      </c>
      <c r="D1892" s="76">
        <v>0</v>
      </c>
      <c r="E1892" s="77">
        <v>1</v>
      </c>
      <c r="F1892" s="276"/>
      <c r="G1892" s="75">
        <v>32.549999999999997</v>
      </c>
      <c r="H1892" s="112">
        <v>19</v>
      </c>
      <c r="I1892" s="112">
        <v>23.8</v>
      </c>
      <c r="J1892" s="112">
        <v>21.875528539539498</v>
      </c>
    </row>
    <row r="1893" spans="1:10" x14ac:dyDescent="0.4">
      <c r="A1893" s="273"/>
      <c r="B1893" s="86" t="s">
        <v>164</v>
      </c>
      <c r="C1893" s="75" t="s">
        <v>284</v>
      </c>
      <c r="D1893" s="76">
        <v>0</v>
      </c>
      <c r="E1893" s="77">
        <v>1</v>
      </c>
      <c r="F1893" s="274" t="s">
        <v>282</v>
      </c>
      <c r="G1893" s="75">
        <v>24.4</v>
      </c>
      <c r="H1893" s="112">
        <v>27.5</v>
      </c>
      <c r="I1893" s="112">
        <v>30</v>
      </c>
      <c r="J1893" s="112">
        <v>28.669886471256667</v>
      </c>
    </row>
    <row r="1894" spans="1:10" x14ac:dyDescent="0.4">
      <c r="A1894" s="273"/>
      <c r="B1894" s="86" t="s">
        <v>165</v>
      </c>
      <c r="C1894" s="75" t="s">
        <v>166</v>
      </c>
      <c r="D1894" s="76">
        <v>0</v>
      </c>
      <c r="E1894" s="77">
        <v>1</v>
      </c>
      <c r="F1894" s="276"/>
      <c r="G1894" s="75">
        <v>24.4</v>
      </c>
      <c r="H1894" s="112">
        <v>26</v>
      </c>
      <c r="I1894" s="112">
        <v>28.5</v>
      </c>
      <c r="J1894" s="112">
        <v>27.101774468195114</v>
      </c>
    </row>
    <row r="1895" spans="1:10" x14ac:dyDescent="0.4">
      <c r="A1895" s="273" t="s">
        <v>285</v>
      </c>
      <c r="B1895" s="86" t="s">
        <v>167</v>
      </c>
      <c r="C1895" s="75" t="s">
        <v>286</v>
      </c>
      <c r="D1895" s="76">
        <v>1</v>
      </c>
      <c r="E1895" s="77">
        <v>1</v>
      </c>
      <c r="F1895" s="274" t="s">
        <v>273</v>
      </c>
      <c r="G1895" s="75">
        <v>105.48</v>
      </c>
      <c r="H1895" s="51">
        <v>24.8</v>
      </c>
      <c r="I1895" s="53">
        <v>26</v>
      </c>
      <c r="J1895" s="53">
        <v>25.5657765485998</v>
      </c>
    </row>
    <row r="1896" spans="1:10" x14ac:dyDescent="0.4">
      <c r="A1896" s="273"/>
      <c r="B1896" s="86" t="s">
        <v>168</v>
      </c>
      <c r="C1896" s="75" t="s">
        <v>169</v>
      </c>
      <c r="D1896" s="76">
        <v>1</v>
      </c>
      <c r="E1896" s="77">
        <v>1</v>
      </c>
      <c r="F1896" s="275"/>
      <c r="G1896" s="75">
        <v>105.48</v>
      </c>
      <c r="H1896" s="51">
        <v>24.6</v>
      </c>
      <c r="I1896" s="54">
        <v>25.8</v>
      </c>
      <c r="J1896" s="54">
        <v>25.342871866513704</v>
      </c>
    </row>
    <row r="1897" spans="1:10" x14ac:dyDescent="0.4">
      <c r="A1897" s="273"/>
      <c r="B1897" s="86" t="s">
        <v>170</v>
      </c>
      <c r="C1897" s="75" t="s">
        <v>171</v>
      </c>
      <c r="D1897" s="76">
        <v>1</v>
      </c>
      <c r="E1897" s="77">
        <v>1</v>
      </c>
      <c r="F1897" s="275"/>
      <c r="G1897" s="75">
        <v>105.48</v>
      </c>
      <c r="H1897" s="51">
        <v>23.9</v>
      </c>
      <c r="I1897" s="52">
        <v>25.8</v>
      </c>
      <c r="J1897" s="52">
        <v>24.947314233142599</v>
      </c>
    </row>
    <row r="1898" spans="1:10" x14ac:dyDescent="0.4">
      <c r="A1898" s="273"/>
      <c r="B1898" s="86" t="s">
        <v>172</v>
      </c>
      <c r="C1898" s="75" t="s">
        <v>173</v>
      </c>
      <c r="D1898" s="76">
        <v>1</v>
      </c>
      <c r="E1898" s="77">
        <v>1</v>
      </c>
      <c r="F1898" s="275"/>
      <c r="G1898" s="75">
        <v>105.48</v>
      </c>
      <c r="H1898" s="51">
        <v>24</v>
      </c>
      <c r="I1898" s="52">
        <v>25.7</v>
      </c>
      <c r="J1898" s="52">
        <v>24.962164505328346</v>
      </c>
    </row>
    <row r="1899" spans="1:10" x14ac:dyDescent="0.4">
      <c r="A1899" s="273"/>
      <c r="B1899" s="86" t="s">
        <v>174</v>
      </c>
      <c r="C1899" s="75" t="s">
        <v>287</v>
      </c>
      <c r="D1899" s="76">
        <v>1</v>
      </c>
      <c r="E1899" s="77">
        <v>1</v>
      </c>
      <c r="F1899" s="275"/>
      <c r="G1899" s="75">
        <v>65</v>
      </c>
      <c r="H1899" s="55">
        <v>26.1</v>
      </c>
      <c r="I1899" s="55">
        <v>28.3</v>
      </c>
      <c r="J1899" s="55">
        <v>27.236223419018422</v>
      </c>
    </row>
    <row r="1900" spans="1:10" x14ac:dyDescent="0.4">
      <c r="A1900" s="273"/>
      <c r="B1900" s="86" t="s">
        <v>175</v>
      </c>
      <c r="C1900" s="75" t="s">
        <v>176</v>
      </c>
      <c r="D1900" s="76">
        <v>1</v>
      </c>
      <c r="E1900" s="77">
        <v>1</v>
      </c>
      <c r="F1900" s="276"/>
      <c r="G1900" s="75">
        <v>65</v>
      </c>
      <c r="H1900" s="55">
        <v>24</v>
      </c>
      <c r="I1900" s="55">
        <v>26</v>
      </c>
      <c r="J1900" s="55">
        <v>24.516666666666666</v>
      </c>
    </row>
    <row r="1901" spans="1:10" x14ac:dyDescent="0.4">
      <c r="A1901" s="273"/>
      <c r="B1901" s="86" t="s">
        <v>177</v>
      </c>
      <c r="C1901" s="75" t="s">
        <v>288</v>
      </c>
      <c r="D1901" s="76">
        <v>1</v>
      </c>
      <c r="E1901" s="77">
        <v>1</v>
      </c>
      <c r="F1901" s="274" t="s">
        <v>282</v>
      </c>
      <c r="G1901" s="75">
        <v>16.3</v>
      </c>
      <c r="H1901" s="55">
        <v>23.5</v>
      </c>
      <c r="I1901" s="55">
        <v>26</v>
      </c>
      <c r="J1901" s="55">
        <v>24.533991418670009</v>
      </c>
    </row>
    <row r="1902" spans="1:10" x14ac:dyDescent="0.4">
      <c r="A1902" s="273"/>
      <c r="B1902" s="86" t="s">
        <v>178</v>
      </c>
      <c r="C1902" s="75" t="s">
        <v>179</v>
      </c>
      <c r="D1902" s="76">
        <v>1</v>
      </c>
      <c r="E1902" s="77">
        <v>1</v>
      </c>
      <c r="F1902" s="275"/>
      <c r="G1902" s="75">
        <v>16.3</v>
      </c>
      <c r="H1902" s="55">
        <v>21</v>
      </c>
      <c r="I1902" s="55">
        <v>24.5</v>
      </c>
      <c r="J1902" s="55">
        <v>22.917691723309261</v>
      </c>
    </row>
    <row r="1903" spans="1:10" x14ac:dyDescent="0.4">
      <c r="A1903" s="273"/>
      <c r="B1903" s="86" t="s">
        <v>180</v>
      </c>
      <c r="C1903" s="75" t="s">
        <v>181</v>
      </c>
      <c r="D1903" s="76">
        <v>1</v>
      </c>
      <c r="E1903" s="77">
        <v>1</v>
      </c>
      <c r="F1903" s="275"/>
      <c r="G1903" s="75">
        <v>16.3</v>
      </c>
      <c r="H1903" s="55">
        <v>18</v>
      </c>
      <c r="I1903" s="55">
        <v>29.5</v>
      </c>
      <c r="J1903" s="55">
        <v>26.953550372958549</v>
      </c>
    </row>
    <row r="1904" spans="1:10" x14ac:dyDescent="0.4">
      <c r="A1904" s="273"/>
      <c r="B1904" s="86" t="s">
        <v>289</v>
      </c>
      <c r="C1904" s="75" t="s">
        <v>182</v>
      </c>
      <c r="D1904" s="76">
        <v>1</v>
      </c>
      <c r="E1904" s="77">
        <v>1</v>
      </c>
      <c r="F1904" s="276"/>
      <c r="G1904" s="75">
        <v>35</v>
      </c>
      <c r="H1904" s="55">
        <v>24</v>
      </c>
      <c r="I1904" s="55">
        <v>26</v>
      </c>
      <c r="J1904" s="55">
        <v>24.855475787683329</v>
      </c>
    </row>
    <row r="1905" spans="1:10" x14ac:dyDescent="0.4">
      <c r="H1905" s="65">
        <f>AVERAGE(H1864:H1878,H1884:H1886,H1895:H1904)</f>
        <v>22.346428571428572</v>
      </c>
      <c r="I1905" s="65">
        <f t="shared" ref="I1905" si="11">AVERAGE(I1864:I1878,I1884:I1886,I1895:I1904)</f>
        <v>26.403571428571421</v>
      </c>
      <c r="J1905" s="113">
        <f>AVERAGE(J1864:J1878,J1884:J1886,J1895:J1904,J1882)</f>
        <v>25.086819752862844</v>
      </c>
    </row>
    <row r="1906" spans="1:10" x14ac:dyDescent="0.4">
      <c r="J1906" s="64" t="s">
        <v>261</v>
      </c>
    </row>
    <row r="1907" spans="1:10" x14ac:dyDescent="0.4">
      <c r="A1907" s="280" t="s">
        <v>183</v>
      </c>
      <c r="B1907" s="280"/>
      <c r="C1907" s="280"/>
      <c r="D1907" s="280"/>
      <c r="E1907" s="280"/>
      <c r="F1907" s="280"/>
      <c r="G1907" s="280"/>
      <c r="H1907" s="280"/>
      <c r="I1907" s="280"/>
      <c r="J1907" s="281"/>
    </row>
    <row r="1908" spans="1:10" ht="34.799999999999997" x14ac:dyDescent="0.4">
      <c r="A1908" s="73" t="s">
        <v>267</v>
      </c>
      <c r="B1908" s="73" t="s">
        <v>268</v>
      </c>
      <c r="C1908" s="73" t="s">
        <v>269</v>
      </c>
      <c r="D1908" s="73" t="s">
        <v>108</v>
      </c>
      <c r="E1908" s="73" t="s">
        <v>109</v>
      </c>
      <c r="F1908" s="74" t="s">
        <v>270</v>
      </c>
      <c r="G1908" s="73" t="s">
        <v>110</v>
      </c>
      <c r="H1908" s="73" t="s">
        <v>184</v>
      </c>
      <c r="I1908" s="73" t="s">
        <v>185</v>
      </c>
      <c r="J1908" s="73" t="s">
        <v>186</v>
      </c>
    </row>
    <row r="1909" spans="1:10" x14ac:dyDescent="0.4">
      <c r="A1909" s="285" t="s">
        <v>271</v>
      </c>
      <c r="B1909" s="87" t="s">
        <v>114</v>
      </c>
      <c r="C1909" s="88" t="s">
        <v>272</v>
      </c>
      <c r="D1909" s="89">
        <v>1</v>
      </c>
      <c r="E1909" s="88">
        <v>1</v>
      </c>
      <c r="F1909" s="274" t="s">
        <v>273</v>
      </c>
      <c r="G1909" s="75">
        <v>105.48</v>
      </c>
      <c r="H1909" s="56">
        <v>24.1</v>
      </c>
      <c r="I1909" s="57">
        <v>46.6</v>
      </c>
      <c r="J1909" s="57">
        <v>36.875899645011756</v>
      </c>
    </row>
    <row r="1910" spans="1:10" x14ac:dyDescent="0.4">
      <c r="A1910" s="286"/>
      <c r="B1910" s="87" t="s">
        <v>115</v>
      </c>
      <c r="C1910" s="88" t="s">
        <v>274</v>
      </c>
      <c r="D1910" s="89">
        <v>1</v>
      </c>
      <c r="E1910" s="88">
        <v>1</v>
      </c>
      <c r="F1910" s="275"/>
      <c r="G1910" s="75">
        <v>105.48</v>
      </c>
      <c r="H1910" s="56">
        <v>24.5</v>
      </c>
      <c r="I1910" s="57">
        <v>46.8</v>
      </c>
      <c r="J1910" s="57">
        <v>37.004108173574643</v>
      </c>
    </row>
    <row r="1911" spans="1:10" x14ac:dyDescent="0.4">
      <c r="A1911" s="286"/>
      <c r="B1911" s="87" t="s">
        <v>116</v>
      </c>
      <c r="C1911" s="88" t="s">
        <v>117</v>
      </c>
      <c r="D1911" s="89">
        <v>1</v>
      </c>
      <c r="E1911" s="88">
        <v>1</v>
      </c>
      <c r="F1911" s="78"/>
      <c r="G1911" s="75">
        <v>105.48</v>
      </c>
      <c r="H1911" s="56">
        <v>25.7</v>
      </c>
      <c r="I1911" s="57">
        <v>45.6</v>
      </c>
      <c r="J1911" s="57">
        <v>36.984516441492424</v>
      </c>
    </row>
    <row r="1912" spans="1:10" x14ac:dyDescent="0.4">
      <c r="A1912" s="287"/>
      <c r="B1912" s="87" t="s">
        <v>118</v>
      </c>
      <c r="C1912" s="88" t="s">
        <v>119</v>
      </c>
      <c r="D1912" s="89">
        <v>1</v>
      </c>
      <c r="E1912" s="88">
        <v>1</v>
      </c>
      <c r="F1912" s="78"/>
      <c r="G1912" s="75">
        <v>105.48</v>
      </c>
      <c r="H1912" s="56">
        <v>23.2</v>
      </c>
      <c r="I1912" s="57">
        <v>44.2</v>
      </c>
      <c r="J1912" s="57">
        <v>35.156717090807682</v>
      </c>
    </row>
    <row r="1913" spans="1:10" x14ac:dyDescent="0.4">
      <c r="A1913" s="273" t="s">
        <v>275</v>
      </c>
      <c r="B1913" s="86" t="s">
        <v>120</v>
      </c>
      <c r="C1913" s="75" t="s">
        <v>276</v>
      </c>
      <c r="D1913" s="76">
        <v>1</v>
      </c>
      <c r="E1913" s="77">
        <v>1</v>
      </c>
      <c r="F1913" s="274" t="s">
        <v>273</v>
      </c>
      <c r="G1913" s="75">
        <v>105.48</v>
      </c>
      <c r="H1913" s="56">
        <v>22.8</v>
      </c>
      <c r="I1913" s="57">
        <v>73.8</v>
      </c>
      <c r="J1913" s="57">
        <v>37.251804931220235</v>
      </c>
    </row>
    <row r="1914" spans="1:10" x14ac:dyDescent="0.4">
      <c r="A1914" s="273"/>
      <c r="B1914" s="86" t="s">
        <v>121</v>
      </c>
      <c r="C1914" s="75" t="s">
        <v>277</v>
      </c>
      <c r="D1914" s="76">
        <v>1</v>
      </c>
      <c r="E1914" s="77">
        <v>1</v>
      </c>
      <c r="F1914" s="275"/>
      <c r="G1914" s="75">
        <v>105.48</v>
      </c>
      <c r="H1914" s="56">
        <v>22.8</v>
      </c>
      <c r="I1914" s="57">
        <v>53.2</v>
      </c>
      <c r="J1914" s="57">
        <v>37.175433774739822</v>
      </c>
    </row>
    <row r="1915" spans="1:10" x14ac:dyDescent="0.4">
      <c r="A1915" s="273"/>
      <c r="B1915" s="86" t="s">
        <v>122</v>
      </c>
      <c r="C1915" s="75" t="s">
        <v>123</v>
      </c>
      <c r="D1915" s="76">
        <v>1</v>
      </c>
      <c r="E1915" s="77">
        <v>1</v>
      </c>
      <c r="F1915" s="275"/>
      <c r="G1915" s="75">
        <v>105.48</v>
      </c>
      <c r="H1915" s="56">
        <v>37.299999999999997</v>
      </c>
      <c r="I1915" s="57">
        <v>66</v>
      </c>
      <c r="J1915" s="57">
        <v>49.840352179488214</v>
      </c>
    </row>
    <row r="1916" spans="1:10" x14ac:dyDescent="0.4">
      <c r="A1916" s="273"/>
      <c r="B1916" s="86" t="s">
        <v>124</v>
      </c>
      <c r="C1916" s="75" t="s">
        <v>125</v>
      </c>
      <c r="D1916" s="76">
        <v>1</v>
      </c>
      <c r="E1916" s="77">
        <v>1</v>
      </c>
      <c r="F1916" s="275"/>
      <c r="G1916" s="75">
        <v>105.48</v>
      </c>
      <c r="H1916" s="56">
        <v>24</v>
      </c>
      <c r="I1916" s="57">
        <v>47.5</v>
      </c>
      <c r="J1916" s="57">
        <v>40.07350006711988</v>
      </c>
    </row>
    <row r="1917" spans="1:10" x14ac:dyDescent="0.4">
      <c r="A1917" s="273" t="s">
        <v>279</v>
      </c>
      <c r="B1917" s="86" t="s">
        <v>131</v>
      </c>
      <c r="C1917" s="75" t="s">
        <v>280</v>
      </c>
      <c r="D1917" s="76">
        <v>1</v>
      </c>
      <c r="E1917" s="77">
        <v>1</v>
      </c>
      <c r="F1917" s="274" t="s">
        <v>273</v>
      </c>
      <c r="G1917" s="75">
        <v>105.48</v>
      </c>
      <c r="H1917" s="56">
        <v>22.5</v>
      </c>
      <c r="I1917" s="57">
        <v>45.8</v>
      </c>
      <c r="J1917" s="57">
        <v>38.195485835971027</v>
      </c>
    </row>
    <row r="1918" spans="1:10" x14ac:dyDescent="0.4">
      <c r="A1918" s="273"/>
      <c r="B1918" s="86" t="s">
        <v>132</v>
      </c>
      <c r="C1918" s="75" t="s">
        <v>133</v>
      </c>
      <c r="D1918" s="76">
        <v>1</v>
      </c>
      <c r="E1918" s="77">
        <v>1</v>
      </c>
      <c r="F1918" s="275"/>
      <c r="G1918" s="75">
        <v>105.48</v>
      </c>
      <c r="H1918" s="56">
        <v>21.9</v>
      </c>
      <c r="I1918" s="57">
        <v>44.3</v>
      </c>
      <c r="J1918" s="57">
        <v>37.074655494835682</v>
      </c>
    </row>
    <row r="1919" spans="1:10" x14ac:dyDescent="0.4">
      <c r="A1919" s="273"/>
      <c r="B1919" s="86" t="s">
        <v>134</v>
      </c>
      <c r="C1919" s="75" t="s">
        <v>135</v>
      </c>
      <c r="D1919" s="76">
        <v>1</v>
      </c>
      <c r="E1919" s="77">
        <v>1</v>
      </c>
      <c r="F1919" s="275"/>
      <c r="G1919" s="79">
        <v>105.48</v>
      </c>
      <c r="H1919" s="56">
        <v>20.9</v>
      </c>
      <c r="I1919" s="57">
        <v>39.5</v>
      </c>
      <c r="J1919" s="57">
        <v>34.962139230837934</v>
      </c>
    </row>
    <row r="1920" spans="1:10" x14ac:dyDescent="0.4">
      <c r="A1920" s="273"/>
      <c r="B1920" s="86" t="s">
        <v>136</v>
      </c>
      <c r="C1920" s="75" t="s">
        <v>137</v>
      </c>
      <c r="D1920" s="76">
        <v>1</v>
      </c>
      <c r="E1920" s="77">
        <v>1</v>
      </c>
      <c r="F1920" s="275"/>
      <c r="G1920" s="79">
        <v>105.48</v>
      </c>
      <c r="H1920" s="56">
        <v>21.5</v>
      </c>
      <c r="I1920" s="57">
        <v>40.6</v>
      </c>
      <c r="J1920" s="57">
        <v>35.881135303974233</v>
      </c>
    </row>
    <row r="1921" spans="1:10" x14ac:dyDescent="0.4">
      <c r="A1921" s="273"/>
      <c r="B1921" s="86" t="s">
        <v>138</v>
      </c>
      <c r="C1921" s="75" t="s">
        <v>281</v>
      </c>
      <c r="D1921" s="75">
        <v>0</v>
      </c>
      <c r="E1921" s="77">
        <v>1</v>
      </c>
      <c r="F1921" s="77">
        <v>1</v>
      </c>
      <c r="G1921" s="75">
        <v>32.549999999999997</v>
      </c>
      <c r="H1921" s="58">
        <v>25.8</v>
      </c>
      <c r="I1921" s="58">
        <v>31.6</v>
      </c>
      <c r="J1921" s="58">
        <v>26.354365316483779</v>
      </c>
    </row>
    <row r="1922" spans="1:10" x14ac:dyDescent="0.4">
      <c r="A1922" s="273"/>
      <c r="B1922" s="86" t="s">
        <v>139</v>
      </c>
      <c r="C1922" s="75" t="s">
        <v>140</v>
      </c>
      <c r="D1922" s="75">
        <v>0</v>
      </c>
      <c r="E1922" s="77">
        <v>1</v>
      </c>
      <c r="F1922" s="77">
        <v>1</v>
      </c>
      <c r="G1922" s="75">
        <v>32.549999999999997</v>
      </c>
      <c r="H1922" s="59">
        <v>27.8</v>
      </c>
      <c r="I1922" s="59">
        <v>30.6</v>
      </c>
      <c r="J1922" s="59">
        <v>28.507460941612955</v>
      </c>
    </row>
    <row r="1923" spans="1:10" x14ac:dyDescent="0.4">
      <c r="A1923" s="273"/>
      <c r="B1923" s="86" t="s">
        <v>141</v>
      </c>
      <c r="C1923" s="75" t="s">
        <v>283</v>
      </c>
      <c r="D1923" s="75">
        <v>0</v>
      </c>
      <c r="E1923" s="77">
        <v>1</v>
      </c>
      <c r="F1923" s="77">
        <v>1</v>
      </c>
      <c r="G1923" s="75">
        <v>32.549999999999997</v>
      </c>
      <c r="H1923" s="59">
        <v>24.4</v>
      </c>
      <c r="I1923" s="59">
        <v>31.6</v>
      </c>
      <c r="J1923" s="59">
        <v>25.308625390828567</v>
      </c>
    </row>
    <row r="1924" spans="1:10" x14ac:dyDescent="0.4">
      <c r="A1924" s="273"/>
      <c r="B1924" s="86" t="s">
        <v>142</v>
      </c>
      <c r="C1924" s="75" t="s">
        <v>143</v>
      </c>
      <c r="D1924" s="75">
        <v>1</v>
      </c>
      <c r="E1924" s="77">
        <v>1</v>
      </c>
      <c r="F1924" s="77">
        <v>1</v>
      </c>
      <c r="G1924" s="75">
        <v>32.549999999999997</v>
      </c>
      <c r="H1924" s="60">
        <v>29</v>
      </c>
      <c r="I1924" s="60">
        <v>32.799999999999997</v>
      </c>
      <c r="J1924" s="60">
        <v>30.690526910212576</v>
      </c>
    </row>
    <row r="1925" spans="1:10" x14ac:dyDescent="0.4">
      <c r="A1925" s="273"/>
      <c r="B1925" s="86" t="s">
        <v>144</v>
      </c>
      <c r="C1925" s="75" t="s">
        <v>145</v>
      </c>
      <c r="D1925" s="75">
        <v>0</v>
      </c>
      <c r="E1925" s="77">
        <v>1</v>
      </c>
      <c r="F1925" s="77">
        <v>1</v>
      </c>
      <c r="G1925" s="75">
        <v>32.549999999999997</v>
      </c>
      <c r="H1925" s="59">
        <v>24.4</v>
      </c>
      <c r="I1925" s="59">
        <v>32.5</v>
      </c>
      <c r="J1925" s="59">
        <v>25.450364206403666</v>
      </c>
    </row>
    <row r="1926" spans="1:10" x14ac:dyDescent="0.4">
      <c r="A1926" s="273"/>
      <c r="B1926" s="86" t="s">
        <v>146</v>
      </c>
      <c r="C1926" s="75" t="s">
        <v>147</v>
      </c>
      <c r="D1926" s="75">
        <v>1</v>
      </c>
      <c r="E1926" s="77">
        <v>1</v>
      </c>
      <c r="F1926" s="77">
        <v>1</v>
      </c>
      <c r="G1926" s="75">
        <v>32.549999999999997</v>
      </c>
      <c r="H1926" s="60">
        <v>28.6</v>
      </c>
      <c r="I1926" s="60">
        <v>32.799999999999997</v>
      </c>
      <c r="J1926" s="60">
        <v>31.681985326236472</v>
      </c>
    </row>
    <row r="1927" spans="1:10" x14ac:dyDescent="0.4">
      <c r="A1927" s="273"/>
      <c r="B1927" s="86" t="s">
        <v>148</v>
      </c>
      <c r="C1927" s="75" t="s">
        <v>149</v>
      </c>
      <c r="D1927" s="75">
        <v>0</v>
      </c>
      <c r="E1927" s="77">
        <v>1</v>
      </c>
      <c r="F1927" s="77">
        <v>1</v>
      </c>
      <c r="G1927" s="75">
        <v>32.549999999999997</v>
      </c>
      <c r="H1927" s="60">
        <v>30.1</v>
      </c>
      <c r="I1927" s="60">
        <v>32.5</v>
      </c>
      <c r="J1927" s="60">
        <v>31.839196380938393</v>
      </c>
    </row>
    <row r="1928" spans="1:10" x14ac:dyDescent="0.4">
      <c r="A1928" s="273"/>
      <c r="B1928" s="86" t="s">
        <v>150</v>
      </c>
      <c r="C1928" s="75" t="s">
        <v>151</v>
      </c>
      <c r="D1928" s="75">
        <v>1</v>
      </c>
      <c r="E1928" s="77">
        <v>1</v>
      </c>
      <c r="F1928" s="77">
        <v>1</v>
      </c>
      <c r="G1928" s="75">
        <v>32.549999999999997</v>
      </c>
      <c r="H1928" s="60">
        <v>30.7</v>
      </c>
      <c r="I1928" s="60">
        <v>32.6</v>
      </c>
      <c r="J1928" s="60">
        <v>31.343251116148533</v>
      </c>
    </row>
    <row r="1929" spans="1:10" x14ac:dyDescent="0.4">
      <c r="A1929" s="273"/>
      <c r="B1929" s="86" t="s">
        <v>152</v>
      </c>
      <c r="C1929" s="75" t="s">
        <v>153</v>
      </c>
      <c r="D1929" s="75">
        <v>0</v>
      </c>
      <c r="E1929" s="77">
        <v>1</v>
      </c>
      <c r="F1929" s="77">
        <v>1</v>
      </c>
      <c r="G1929" s="75">
        <v>32.549999999999997</v>
      </c>
      <c r="H1929" s="59"/>
      <c r="I1929" s="59"/>
      <c r="J1929" s="59"/>
    </row>
    <row r="1930" spans="1:10" x14ac:dyDescent="0.4">
      <c r="A1930" s="273"/>
      <c r="B1930" s="86" t="s">
        <v>154</v>
      </c>
      <c r="C1930" s="75" t="s">
        <v>155</v>
      </c>
      <c r="D1930" s="75">
        <v>0</v>
      </c>
      <c r="E1930" s="77">
        <v>1</v>
      </c>
      <c r="F1930" s="77">
        <v>1</v>
      </c>
      <c r="G1930" s="75">
        <v>32.549999999999997</v>
      </c>
      <c r="H1930" s="59">
        <v>28.4</v>
      </c>
      <c r="I1930" s="59">
        <v>29.9</v>
      </c>
      <c r="J1930" s="59">
        <v>29.630716247788403</v>
      </c>
    </row>
    <row r="1931" spans="1:10" x14ac:dyDescent="0.4">
      <c r="A1931" s="273"/>
      <c r="B1931" s="86" t="s">
        <v>156</v>
      </c>
      <c r="C1931" s="75" t="s">
        <v>157</v>
      </c>
      <c r="D1931" s="75">
        <v>0</v>
      </c>
      <c r="E1931" s="77">
        <v>1</v>
      </c>
      <c r="F1931" s="77">
        <v>1</v>
      </c>
      <c r="G1931" s="75">
        <v>32.549999999999997</v>
      </c>
      <c r="H1931" s="59">
        <v>26.3</v>
      </c>
      <c r="I1931" s="59">
        <v>30.6</v>
      </c>
      <c r="J1931" s="59">
        <v>26.935364994203944</v>
      </c>
    </row>
    <row r="1932" spans="1:10" x14ac:dyDescent="0.4">
      <c r="A1932" s="273"/>
      <c r="B1932" s="86" t="s">
        <v>158</v>
      </c>
      <c r="C1932" s="75" t="s">
        <v>159</v>
      </c>
      <c r="D1932" s="75">
        <v>0</v>
      </c>
      <c r="E1932" s="77">
        <v>1</v>
      </c>
      <c r="F1932" s="77">
        <v>1</v>
      </c>
      <c r="G1932" s="75">
        <v>32.549999999999997</v>
      </c>
      <c r="H1932" s="59">
        <v>25.6</v>
      </c>
      <c r="I1932" s="59">
        <v>34</v>
      </c>
      <c r="J1932" s="59">
        <v>30.625999679618541</v>
      </c>
    </row>
    <row r="1933" spans="1:10" x14ac:dyDescent="0.4">
      <c r="A1933" s="273"/>
      <c r="B1933" s="86" t="s">
        <v>160</v>
      </c>
      <c r="C1933" s="75" t="s">
        <v>161</v>
      </c>
      <c r="D1933" s="75">
        <v>0</v>
      </c>
      <c r="E1933" s="77">
        <v>1</v>
      </c>
      <c r="F1933" s="77">
        <v>1</v>
      </c>
      <c r="G1933" s="75">
        <v>32.549999999999997</v>
      </c>
      <c r="H1933" s="59">
        <v>27.7</v>
      </c>
      <c r="I1933" s="59">
        <v>30.4</v>
      </c>
      <c r="J1933" s="59">
        <v>29.382356535905735</v>
      </c>
    </row>
    <row r="1934" spans="1:10" x14ac:dyDescent="0.4">
      <c r="A1934" s="273"/>
      <c r="B1934" s="86" t="s">
        <v>162</v>
      </c>
      <c r="C1934" s="75" t="s">
        <v>163</v>
      </c>
      <c r="D1934" s="75">
        <v>0</v>
      </c>
      <c r="E1934" s="77">
        <v>1</v>
      </c>
      <c r="F1934" s="77">
        <v>1</v>
      </c>
      <c r="G1934" s="75">
        <v>32.549999999999997</v>
      </c>
      <c r="H1934" s="59">
        <v>27</v>
      </c>
      <c r="I1934" s="59">
        <v>30.2</v>
      </c>
      <c r="J1934" s="59">
        <v>28.319564185557223</v>
      </c>
    </row>
    <row r="1935" spans="1:10" x14ac:dyDescent="0.4">
      <c r="A1935" s="273"/>
      <c r="B1935" s="86" t="s">
        <v>164</v>
      </c>
      <c r="C1935" s="75" t="s">
        <v>284</v>
      </c>
      <c r="D1935" s="75">
        <v>0</v>
      </c>
      <c r="E1935" s="77">
        <v>1</v>
      </c>
      <c r="F1935" s="77">
        <v>1</v>
      </c>
      <c r="G1935" s="75">
        <v>24.4</v>
      </c>
      <c r="H1935" s="59">
        <v>26</v>
      </c>
      <c r="I1935" s="59">
        <v>27.5</v>
      </c>
      <c r="J1935" s="59">
        <v>26.918421650104822</v>
      </c>
    </row>
    <row r="1936" spans="1:10" x14ac:dyDescent="0.4">
      <c r="A1936" s="273"/>
      <c r="B1936" s="86" t="s">
        <v>165</v>
      </c>
      <c r="C1936" s="75" t="s">
        <v>166</v>
      </c>
      <c r="D1936" s="75">
        <v>0</v>
      </c>
      <c r="E1936" s="77">
        <v>1</v>
      </c>
      <c r="F1936" s="77">
        <v>1</v>
      </c>
      <c r="G1936" s="75">
        <v>24.4</v>
      </c>
      <c r="H1936" s="59">
        <v>25.5</v>
      </c>
      <c r="I1936" s="59">
        <v>27.5</v>
      </c>
      <c r="J1936" s="59">
        <v>26.559773141544955</v>
      </c>
    </row>
    <row r="1937" spans="1:10" x14ac:dyDescent="0.4">
      <c r="A1937" s="273" t="s">
        <v>285</v>
      </c>
      <c r="B1937" s="86" t="s">
        <v>167</v>
      </c>
      <c r="C1937" s="75" t="s">
        <v>286</v>
      </c>
      <c r="D1937" s="76">
        <v>1</v>
      </c>
      <c r="E1937" s="77">
        <v>1</v>
      </c>
      <c r="F1937" s="274" t="s">
        <v>273</v>
      </c>
      <c r="G1937" s="75">
        <v>105.48</v>
      </c>
      <c r="H1937" s="56">
        <v>25.7</v>
      </c>
      <c r="I1937" s="60">
        <v>39.700000000000003</v>
      </c>
      <c r="J1937" s="60">
        <v>35.190372604446353</v>
      </c>
    </row>
    <row r="1938" spans="1:10" x14ac:dyDescent="0.4">
      <c r="A1938" s="273"/>
      <c r="B1938" s="86" t="s">
        <v>168</v>
      </c>
      <c r="C1938" s="75" t="s">
        <v>169</v>
      </c>
      <c r="D1938" s="76">
        <v>1</v>
      </c>
      <c r="E1938" s="77">
        <v>1</v>
      </c>
      <c r="F1938" s="275"/>
      <c r="G1938" s="75">
        <v>105.48</v>
      </c>
      <c r="H1938" s="56">
        <v>28.7</v>
      </c>
      <c r="I1938" s="61">
        <v>42.6</v>
      </c>
      <c r="J1938" s="61">
        <v>38.274867758099141</v>
      </c>
    </row>
    <row r="1939" spans="1:10" x14ac:dyDescent="0.4">
      <c r="A1939" s="273"/>
      <c r="B1939" s="86" t="s">
        <v>170</v>
      </c>
      <c r="C1939" s="75" t="s">
        <v>171</v>
      </c>
      <c r="D1939" s="76">
        <v>1</v>
      </c>
      <c r="E1939" s="77">
        <v>1</v>
      </c>
      <c r="F1939" s="275"/>
      <c r="G1939" s="75">
        <v>105.48</v>
      </c>
      <c r="H1939" s="56">
        <v>27.4</v>
      </c>
      <c r="I1939" s="57">
        <v>45.8</v>
      </c>
      <c r="J1939" s="57">
        <v>40.447616220029126</v>
      </c>
    </row>
    <row r="1940" spans="1:10" x14ac:dyDescent="0.4">
      <c r="A1940" s="273"/>
      <c r="B1940" s="86" t="s">
        <v>172</v>
      </c>
      <c r="C1940" s="75" t="s">
        <v>173</v>
      </c>
      <c r="D1940" s="76">
        <v>1</v>
      </c>
      <c r="E1940" s="77">
        <v>1</v>
      </c>
      <c r="F1940" s="275"/>
      <c r="G1940" s="75">
        <v>105.48</v>
      </c>
      <c r="H1940" s="56">
        <v>27</v>
      </c>
      <c r="I1940" s="57">
        <v>45.3</v>
      </c>
      <c r="J1940" s="57">
        <v>40.088349265555607</v>
      </c>
    </row>
    <row r="1941" spans="1:10" x14ac:dyDescent="0.4">
      <c r="A1941" s="273"/>
      <c r="B1941" s="86" t="s">
        <v>174</v>
      </c>
      <c r="C1941" s="75" t="s">
        <v>287</v>
      </c>
      <c r="D1941" s="76">
        <v>1</v>
      </c>
      <c r="E1941" s="77">
        <v>1</v>
      </c>
      <c r="F1941" s="275"/>
      <c r="G1941" s="75">
        <v>65</v>
      </c>
      <c r="H1941" s="62">
        <v>30.6</v>
      </c>
      <c r="I1941" s="62">
        <v>40.6</v>
      </c>
      <c r="J1941" s="62">
        <v>37.47478447889106</v>
      </c>
    </row>
    <row r="1942" spans="1:10" x14ac:dyDescent="0.4">
      <c r="A1942" s="273"/>
      <c r="B1942" s="86" t="s">
        <v>175</v>
      </c>
      <c r="C1942" s="75" t="s">
        <v>176</v>
      </c>
      <c r="D1942" s="76">
        <v>1</v>
      </c>
      <c r="E1942" s="77">
        <v>1</v>
      </c>
      <c r="F1942" s="276"/>
      <c r="G1942" s="75">
        <v>65</v>
      </c>
      <c r="H1942" s="62">
        <v>29</v>
      </c>
      <c r="I1942" s="62">
        <v>30</v>
      </c>
      <c r="J1942" s="62">
        <v>29.322365104728199</v>
      </c>
    </row>
    <row r="1943" spans="1:10" x14ac:dyDescent="0.4">
      <c r="A1943" s="273"/>
      <c r="B1943" s="86" t="s">
        <v>177</v>
      </c>
      <c r="C1943" s="75" t="s">
        <v>288</v>
      </c>
      <c r="D1943" s="76">
        <v>1</v>
      </c>
      <c r="E1943" s="77">
        <v>1</v>
      </c>
      <c r="F1943" s="274" t="s">
        <v>282</v>
      </c>
      <c r="G1943" s="75">
        <v>16.3</v>
      </c>
      <c r="H1943" s="62">
        <v>30.5</v>
      </c>
      <c r="I1943" s="62">
        <v>34.5</v>
      </c>
      <c r="J1943" s="62">
        <v>31.691676637256574</v>
      </c>
    </row>
    <row r="1944" spans="1:10" x14ac:dyDescent="0.4">
      <c r="A1944" s="273"/>
      <c r="B1944" s="86" t="s">
        <v>178</v>
      </c>
      <c r="C1944" s="75" t="s">
        <v>179</v>
      </c>
      <c r="D1944" s="76">
        <v>1</v>
      </c>
      <c r="E1944" s="77">
        <v>1</v>
      </c>
      <c r="F1944" s="275"/>
      <c r="G1944" s="75">
        <v>16.3</v>
      </c>
      <c r="H1944" s="62">
        <v>31</v>
      </c>
      <c r="I1944" s="62">
        <v>40.5</v>
      </c>
      <c r="J1944" s="62">
        <v>34.619817345292134</v>
      </c>
    </row>
    <row r="1945" spans="1:10" x14ac:dyDescent="0.4">
      <c r="A1945" s="273"/>
      <c r="B1945" s="86" t="s">
        <v>180</v>
      </c>
      <c r="C1945" s="75" t="s">
        <v>181</v>
      </c>
      <c r="D1945" s="76">
        <v>1</v>
      </c>
      <c r="E1945" s="77">
        <v>1</v>
      </c>
      <c r="F1945" s="275"/>
      <c r="G1945" s="75">
        <v>16.3</v>
      </c>
      <c r="H1945" s="62">
        <v>28</v>
      </c>
      <c r="I1945" s="62">
        <v>45</v>
      </c>
      <c r="J1945" s="62">
        <v>30.126522635332051</v>
      </c>
    </row>
    <row r="1946" spans="1:10" x14ac:dyDescent="0.4">
      <c r="A1946" s="273"/>
      <c r="B1946" s="86" t="s">
        <v>289</v>
      </c>
      <c r="C1946" s="75" t="s">
        <v>182</v>
      </c>
      <c r="D1946" s="76">
        <v>1</v>
      </c>
      <c r="E1946" s="77">
        <v>1</v>
      </c>
      <c r="F1946" s="276"/>
      <c r="G1946" s="75">
        <v>35</v>
      </c>
      <c r="H1946" s="62">
        <v>31.5</v>
      </c>
      <c r="I1946" s="62">
        <v>50.1</v>
      </c>
      <c r="J1946" s="62">
        <v>44.617185412817626</v>
      </c>
    </row>
    <row r="1947" spans="1:10" x14ac:dyDescent="0.4">
      <c r="A1947" s="273" t="s">
        <v>275</v>
      </c>
      <c r="B1947" s="86" t="s">
        <v>126</v>
      </c>
      <c r="C1947" s="75" t="s">
        <v>278</v>
      </c>
      <c r="D1947" s="76">
        <v>1</v>
      </c>
      <c r="E1947" s="77">
        <v>1</v>
      </c>
      <c r="F1947" s="90"/>
      <c r="G1947" s="75">
        <v>70.319999999999993</v>
      </c>
      <c r="H1947" s="62">
        <v>25.2</v>
      </c>
      <c r="I1947" s="62">
        <v>56.1</v>
      </c>
      <c r="J1947" s="62">
        <v>38.445655165716552</v>
      </c>
    </row>
    <row r="1948" spans="1:10" x14ac:dyDescent="0.4">
      <c r="A1948" s="273"/>
      <c r="B1948" s="86" t="s">
        <v>127</v>
      </c>
      <c r="C1948" s="75" t="s">
        <v>128</v>
      </c>
      <c r="D1948" s="76">
        <v>1</v>
      </c>
      <c r="E1948" s="77">
        <v>1</v>
      </c>
      <c r="F1948" s="90"/>
      <c r="G1948" s="75">
        <v>70.319999999999993</v>
      </c>
      <c r="H1948" s="62">
        <v>25</v>
      </c>
      <c r="I1948" s="62">
        <v>56.2</v>
      </c>
      <c r="J1948" s="62">
        <v>37.517854848939081</v>
      </c>
    </row>
    <row r="1949" spans="1:10" x14ac:dyDescent="0.4">
      <c r="A1949" s="273"/>
      <c r="B1949" s="86" t="s">
        <v>129</v>
      </c>
      <c r="C1949" s="75" t="s">
        <v>130</v>
      </c>
      <c r="D1949" s="76">
        <v>1</v>
      </c>
      <c r="E1949" s="77">
        <v>1</v>
      </c>
      <c r="F1949" s="90"/>
      <c r="G1949" s="75">
        <v>70.319999999999993</v>
      </c>
      <c r="H1949" s="62">
        <v>24.9</v>
      </c>
      <c r="I1949" s="62">
        <v>55.1</v>
      </c>
      <c r="J1949" s="62">
        <v>37.871109473847063</v>
      </c>
    </row>
    <row r="1950" spans="1:10" x14ac:dyDescent="0.4">
      <c r="H1950" s="91">
        <f>AVERAGE(H1909:H1920,H1926:H1928,H1937:H1949)</f>
        <v>26.610714285714288</v>
      </c>
      <c r="I1950" s="91">
        <f>AVERAGE(I1909:I1920,I1926:I1928,I1937:I1949)</f>
        <v>45.474999999999987</v>
      </c>
      <c r="J1950" s="114">
        <f>AVERAGE(J1909:J1920,J1926:J1928,J1937:J1949,J1924)</f>
        <v>36.473064994950349</v>
      </c>
    </row>
    <row r="1951" spans="1:10" x14ac:dyDescent="0.4">
      <c r="J1951" s="115" t="s">
        <v>262</v>
      </c>
    </row>
    <row r="1952" spans="1:10" x14ac:dyDescent="0.4">
      <c r="A1952" s="288" t="s">
        <v>290</v>
      </c>
      <c r="B1952" s="288"/>
      <c r="C1952" s="289" t="s">
        <v>187</v>
      </c>
      <c r="D1952" s="290"/>
      <c r="E1952" s="290" t="s">
        <v>188</v>
      </c>
      <c r="F1952" s="290"/>
      <c r="G1952" s="290" t="s">
        <v>189</v>
      </c>
      <c r="H1952" s="290"/>
      <c r="I1952" s="290" t="s">
        <v>190</v>
      </c>
      <c r="J1952" s="290"/>
    </row>
    <row r="1953" spans="1:10" ht="34.799999999999997" x14ac:dyDescent="0.4">
      <c r="A1953" s="288"/>
      <c r="B1953" s="288"/>
      <c r="C1953" s="102" t="s">
        <v>191</v>
      </c>
      <c r="D1953" s="101" t="s">
        <v>192</v>
      </c>
      <c r="E1953" s="101" t="s">
        <v>191</v>
      </c>
      <c r="F1953" s="101" t="s">
        <v>192</v>
      </c>
      <c r="G1953" s="101" t="s">
        <v>191</v>
      </c>
      <c r="H1953" s="101" t="s">
        <v>192</v>
      </c>
      <c r="I1953" s="101" t="s">
        <v>191</v>
      </c>
      <c r="J1953" s="101" t="s">
        <v>192</v>
      </c>
    </row>
    <row r="1954" spans="1:10" x14ac:dyDescent="0.4">
      <c r="A1954" s="277" t="s">
        <v>291</v>
      </c>
      <c r="B1954" s="100" t="s">
        <v>292</v>
      </c>
      <c r="C1954" s="93"/>
      <c r="D1954" s="92"/>
      <c r="E1954" s="93"/>
      <c r="F1954" s="92"/>
      <c r="G1954" s="93"/>
      <c r="H1954" s="92"/>
      <c r="I1954" s="93"/>
      <c r="J1954" s="92"/>
    </row>
    <row r="1955" spans="1:10" x14ac:dyDescent="0.4">
      <c r="A1955" s="278"/>
      <c r="B1955" s="94" t="s">
        <v>193</v>
      </c>
      <c r="C1955" s="93"/>
      <c r="D1955" s="92"/>
      <c r="E1955" s="93"/>
      <c r="F1955" s="92"/>
      <c r="G1955" s="93"/>
      <c r="H1955" s="92"/>
      <c r="I1955" s="93"/>
      <c r="J1955" s="92"/>
    </row>
    <row r="1956" spans="1:10" x14ac:dyDescent="0.4">
      <c r="A1956" s="278"/>
      <c r="B1956" s="94" t="s">
        <v>194</v>
      </c>
      <c r="C1956" s="93"/>
      <c r="D1956" s="92"/>
      <c r="E1956" s="93"/>
      <c r="F1956" s="92"/>
      <c r="G1956" s="93"/>
      <c r="H1956" s="92"/>
      <c r="I1956" s="93"/>
      <c r="J1956" s="92"/>
    </row>
    <row r="1957" spans="1:10" x14ac:dyDescent="0.4">
      <c r="A1957" s="278"/>
      <c r="B1957" s="94" t="s">
        <v>195</v>
      </c>
      <c r="C1957" s="93"/>
      <c r="D1957" s="92"/>
      <c r="E1957" s="93"/>
      <c r="F1957" s="92"/>
      <c r="G1957" s="93"/>
      <c r="H1957" s="92"/>
      <c r="I1957" s="93"/>
      <c r="J1957" s="92"/>
    </row>
    <row r="1958" spans="1:10" x14ac:dyDescent="0.4">
      <c r="A1958" s="278"/>
      <c r="B1958" s="94" t="s">
        <v>196</v>
      </c>
      <c r="C1958" s="93"/>
      <c r="D1958" s="92"/>
      <c r="E1958" s="93"/>
      <c r="F1958" s="92"/>
      <c r="G1958" s="93"/>
      <c r="H1958" s="92"/>
      <c r="I1958" s="93"/>
      <c r="J1958" s="92"/>
    </row>
    <row r="1959" spans="1:10" x14ac:dyDescent="0.4">
      <c r="A1959" s="278"/>
      <c r="B1959" s="94" t="s">
        <v>197</v>
      </c>
      <c r="C1959" s="93"/>
      <c r="D1959" s="92"/>
      <c r="E1959" s="93"/>
      <c r="F1959" s="92"/>
      <c r="G1959" s="93"/>
      <c r="H1959" s="92"/>
      <c r="I1959" s="93"/>
      <c r="J1959" s="92"/>
    </row>
    <row r="1960" spans="1:10" x14ac:dyDescent="0.4">
      <c r="A1960" s="278"/>
      <c r="B1960" s="94" t="s">
        <v>198</v>
      </c>
      <c r="C1960" s="93"/>
      <c r="D1960" s="92"/>
      <c r="E1960" s="93"/>
      <c r="F1960" s="92"/>
      <c r="G1960" s="93"/>
      <c r="H1960" s="92"/>
      <c r="I1960" s="93"/>
      <c r="J1960" s="92"/>
    </row>
    <row r="1961" spans="1:10" x14ac:dyDescent="0.4">
      <c r="A1961" s="278"/>
      <c r="B1961" s="94" t="s">
        <v>199</v>
      </c>
      <c r="C1961" s="93"/>
      <c r="D1961" s="92"/>
      <c r="E1961" s="93"/>
      <c r="F1961" s="92"/>
      <c r="G1961" s="93"/>
      <c r="H1961" s="92"/>
      <c r="I1961" s="93"/>
      <c r="J1961" s="92"/>
    </row>
    <row r="1962" spans="1:10" x14ac:dyDescent="0.4">
      <c r="A1962" s="278"/>
      <c r="B1962" s="94" t="s">
        <v>200</v>
      </c>
      <c r="C1962" s="93"/>
      <c r="D1962" s="92"/>
      <c r="E1962" s="93"/>
      <c r="F1962" s="92"/>
      <c r="G1962" s="93"/>
      <c r="H1962" s="92"/>
      <c r="I1962" s="98"/>
      <c r="J1962" s="99"/>
    </row>
    <row r="1963" spans="1:10" x14ac:dyDescent="0.4">
      <c r="A1963" s="278"/>
      <c r="B1963" s="94" t="s">
        <v>201</v>
      </c>
      <c r="C1963" s="93"/>
      <c r="D1963" s="92"/>
      <c r="E1963" s="98"/>
      <c r="F1963" s="99"/>
      <c r="G1963" s="93"/>
      <c r="H1963" s="92"/>
      <c r="I1963" s="98"/>
      <c r="J1963" s="99"/>
    </row>
    <row r="1964" spans="1:10" x14ac:dyDescent="0.4">
      <c r="A1964" s="278"/>
      <c r="B1964" s="94" t="s">
        <v>202</v>
      </c>
      <c r="C1964" s="93"/>
      <c r="D1964" s="92"/>
      <c r="E1964" s="98"/>
      <c r="F1964" s="99"/>
      <c r="G1964" s="93"/>
      <c r="H1964" s="92"/>
      <c r="I1964" s="98"/>
      <c r="J1964" s="99"/>
    </row>
    <row r="1965" spans="1:10" x14ac:dyDescent="0.4">
      <c r="A1965" s="278"/>
      <c r="B1965" s="94" t="s">
        <v>203</v>
      </c>
      <c r="C1965" s="93"/>
      <c r="D1965" s="92"/>
      <c r="E1965" s="98"/>
      <c r="F1965" s="99"/>
      <c r="G1965" s="93"/>
      <c r="H1965" s="92"/>
      <c r="I1965" s="98"/>
      <c r="J1965" s="99"/>
    </row>
    <row r="1966" spans="1:10" x14ac:dyDescent="0.4">
      <c r="A1966" s="278"/>
      <c r="B1966" s="94" t="s">
        <v>204</v>
      </c>
      <c r="C1966" s="93"/>
      <c r="D1966" s="92"/>
      <c r="E1966" s="98"/>
      <c r="F1966" s="99"/>
      <c r="G1966" s="93"/>
      <c r="H1966" s="92"/>
      <c r="I1966" s="98"/>
      <c r="J1966" s="99"/>
    </row>
    <row r="1967" spans="1:10" x14ac:dyDescent="0.4">
      <c r="A1967" s="278"/>
      <c r="B1967" s="94" t="s">
        <v>205</v>
      </c>
      <c r="C1967" s="98"/>
      <c r="D1967" s="99"/>
      <c r="E1967" s="98"/>
      <c r="F1967" s="99"/>
      <c r="G1967" s="93"/>
      <c r="H1967" s="92"/>
      <c r="I1967" s="98"/>
      <c r="J1967" s="99"/>
    </row>
    <row r="1968" spans="1:10" x14ac:dyDescent="0.4">
      <c r="A1968" s="278"/>
      <c r="B1968" s="94" t="s">
        <v>206</v>
      </c>
      <c r="C1968" s="98"/>
      <c r="D1968" s="99"/>
      <c r="E1968" s="98"/>
      <c r="F1968" s="99"/>
      <c r="G1968" s="93"/>
      <c r="H1968" s="92"/>
      <c r="I1968" s="98"/>
      <c r="J1968" s="99"/>
    </row>
    <row r="1969" spans="1:10" x14ac:dyDescent="0.4">
      <c r="A1969" s="278"/>
      <c r="B1969" s="94" t="s">
        <v>207</v>
      </c>
      <c r="C1969" s="98"/>
      <c r="D1969" s="99"/>
      <c r="E1969" s="98"/>
      <c r="F1969" s="99"/>
      <c r="G1969" s="93"/>
      <c r="H1969" s="92"/>
      <c r="I1969" s="98"/>
      <c r="J1969" s="99"/>
    </row>
    <row r="1970" spans="1:10" x14ac:dyDescent="0.4">
      <c r="A1970" s="278"/>
      <c r="B1970" s="95" t="s">
        <v>293</v>
      </c>
      <c r="C1970" s="93"/>
      <c r="D1970" s="92"/>
      <c r="E1970" s="93"/>
      <c r="F1970" s="92"/>
      <c r="G1970" s="93"/>
      <c r="H1970" s="92"/>
      <c r="I1970" s="93"/>
      <c r="J1970" s="92"/>
    </row>
    <row r="1971" spans="1:10" x14ac:dyDescent="0.4">
      <c r="A1971" s="278"/>
      <c r="B1971" s="95" t="s">
        <v>208</v>
      </c>
      <c r="C1971" s="93"/>
      <c r="D1971" s="92"/>
      <c r="E1971" s="93"/>
      <c r="F1971" s="92"/>
      <c r="G1971" s="93"/>
      <c r="H1971" s="92"/>
      <c r="I1971" s="93"/>
      <c r="J1971" s="92"/>
    </row>
    <row r="1972" spans="1:10" x14ac:dyDescent="0.4">
      <c r="A1972" s="278"/>
      <c r="B1972" s="95" t="s">
        <v>209</v>
      </c>
      <c r="C1972" s="93"/>
      <c r="D1972" s="92"/>
      <c r="E1972" s="93"/>
      <c r="F1972" s="92"/>
      <c r="G1972" s="93"/>
      <c r="H1972" s="92"/>
      <c r="I1972" s="93"/>
      <c r="J1972" s="92"/>
    </row>
    <row r="1973" spans="1:10" x14ac:dyDescent="0.4">
      <c r="A1973" s="278"/>
      <c r="B1973" s="95" t="s">
        <v>210</v>
      </c>
      <c r="C1973" s="93"/>
      <c r="D1973" s="92"/>
      <c r="E1973" s="93"/>
      <c r="F1973" s="92"/>
      <c r="G1973" s="93"/>
      <c r="H1973" s="92"/>
      <c r="I1973" s="93"/>
      <c r="J1973" s="92"/>
    </row>
    <row r="1974" spans="1:10" x14ac:dyDescent="0.4">
      <c r="A1974" s="278"/>
      <c r="B1974" s="95" t="s">
        <v>211</v>
      </c>
      <c r="C1974" s="93"/>
      <c r="D1974" s="92"/>
      <c r="E1974" s="93"/>
      <c r="F1974" s="92"/>
      <c r="G1974" s="93"/>
      <c r="H1974" s="92"/>
      <c r="I1974" s="93"/>
      <c r="J1974" s="92"/>
    </row>
    <row r="1975" spans="1:10" x14ac:dyDescent="0.4">
      <c r="A1975" s="278"/>
      <c r="B1975" s="95" t="s">
        <v>212</v>
      </c>
      <c r="C1975" s="93"/>
      <c r="D1975" s="92"/>
      <c r="E1975" s="93"/>
      <c r="F1975" s="92"/>
      <c r="G1975" s="93"/>
      <c r="H1975" s="92"/>
      <c r="I1975" s="93"/>
      <c r="J1975" s="92"/>
    </row>
    <row r="1976" spans="1:10" x14ac:dyDescent="0.4">
      <c r="A1976" s="278"/>
      <c r="B1976" s="95" t="s">
        <v>213</v>
      </c>
      <c r="C1976" s="93"/>
      <c r="D1976" s="92"/>
      <c r="E1976" s="93"/>
      <c r="F1976" s="92"/>
      <c r="G1976" s="93"/>
      <c r="H1976" s="92"/>
      <c r="I1976" s="93"/>
      <c r="J1976" s="92"/>
    </row>
    <row r="1977" spans="1:10" x14ac:dyDescent="0.4">
      <c r="A1977" s="278"/>
      <c r="B1977" s="95" t="s">
        <v>214</v>
      </c>
      <c r="C1977" s="93"/>
      <c r="D1977" s="92"/>
      <c r="E1977" s="93"/>
      <c r="F1977" s="92"/>
      <c r="G1977" s="93"/>
      <c r="H1977" s="92"/>
      <c r="I1977" s="93"/>
      <c r="J1977" s="92"/>
    </row>
    <row r="1978" spans="1:10" x14ac:dyDescent="0.4">
      <c r="A1978" s="278"/>
      <c r="B1978" s="95" t="s">
        <v>215</v>
      </c>
      <c r="C1978" s="93"/>
      <c r="D1978" s="92"/>
      <c r="E1978" s="93"/>
      <c r="F1978" s="92"/>
      <c r="G1978" s="93"/>
      <c r="H1978" s="92"/>
      <c r="I1978" s="93"/>
      <c r="J1978" s="92"/>
    </row>
    <row r="1979" spans="1:10" x14ac:dyDescent="0.4">
      <c r="A1979" s="278"/>
      <c r="B1979" s="95" t="s">
        <v>216</v>
      </c>
      <c r="C1979" s="93"/>
      <c r="D1979" s="92"/>
      <c r="E1979" s="93"/>
      <c r="F1979" s="92"/>
      <c r="G1979" s="93"/>
      <c r="H1979" s="92"/>
      <c r="I1979" s="93"/>
      <c r="J1979" s="92"/>
    </row>
    <row r="1980" spans="1:10" x14ac:dyDescent="0.4">
      <c r="A1980" s="278"/>
      <c r="B1980" s="95" t="s">
        <v>217</v>
      </c>
      <c r="C1980" s="93"/>
      <c r="D1980" s="92"/>
      <c r="E1980" s="93"/>
      <c r="F1980" s="92"/>
      <c r="G1980" s="93"/>
      <c r="H1980" s="92"/>
      <c r="I1980" s="98"/>
      <c r="J1980" s="99"/>
    </row>
    <row r="1981" spans="1:10" x14ac:dyDescent="0.4">
      <c r="A1981" s="278"/>
      <c r="B1981" s="95" t="s">
        <v>218</v>
      </c>
      <c r="C1981" s="93"/>
      <c r="D1981" s="92"/>
      <c r="E1981" s="93"/>
      <c r="F1981" s="92"/>
      <c r="G1981" s="93"/>
      <c r="H1981" s="92"/>
      <c r="I1981" s="98"/>
      <c r="J1981" s="99"/>
    </row>
    <row r="1982" spans="1:10" x14ac:dyDescent="0.4">
      <c r="A1982" s="278"/>
      <c r="B1982" s="95" t="s">
        <v>219</v>
      </c>
      <c r="C1982" s="93"/>
      <c r="D1982" s="92"/>
      <c r="E1982" s="93"/>
      <c r="F1982" s="92"/>
      <c r="G1982" s="93"/>
      <c r="H1982" s="92"/>
      <c r="I1982" s="98"/>
      <c r="J1982" s="99"/>
    </row>
    <row r="1983" spans="1:10" x14ac:dyDescent="0.4">
      <c r="A1983" s="278"/>
      <c r="B1983" s="95" t="s">
        <v>220</v>
      </c>
      <c r="C1983" s="93"/>
      <c r="D1983" s="92"/>
      <c r="E1983" s="93"/>
      <c r="F1983" s="92"/>
      <c r="G1983" s="98"/>
      <c r="H1983" s="99"/>
      <c r="I1983" s="98"/>
      <c r="J1983" s="99"/>
    </row>
    <row r="1984" spans="1:10" x14ac:dyDescent="0.4">
      <c r="A1984" s="278"/>
      <c r="B1984" s="95" t="s">
        <v>294</v>
      </c>
      <c r="C1984" s="93"/>
      <c r="D1984" s="92"/>
      <c r="E1984" s="98"/>
      <c r="F1984" s="99"/>
      <c r="G1984" s="98"/>
      <c r="H1984" s="99"/>
      <c r="I1984" s="98"/>
      <c r="J1984" s="99"/>
    </row>
    <row r="1985" spans="1:10" x14ac:dyDescent="0.4">
      <c r="A1985" s="278"/>
      <c r="B1985" s="95" t="s">
        <v>221</v>
      </c>
      <c r="C1985" s="93"/>
      <c r="D1985" s="92"/>
      <c r="E1985" s="98"/>
      <c r="F1985" s="99"/>
      <c r="G1985" s="98"/>
      <c r="H1985" s="99"/>
      <c r="I1985" s="98"/>
      <c r="J1985" s="99"/>
    </row>
    <row r="1986" spans="1:10" x14ac:dyDescent="0.4">
      <c r="A1986" s="278"/>
      <c r="B1986" s="96" t="s">
        <v>295</v>
      </c>
      <c r="C1986" s="93"/>
      <c r="D1986" s="92"/>
      <c r="E1986" s="93"/>
      <c r="F1986" s="92"/>
      <c r="G1986" s="93"/>
      <c r="H1986" s="92"/>
      <c r="I1986" s="93"/>
      <c r="J1986" s="92"/>
    </row>
    <row r="1987" spans="1:10" x14ac:dyDescent="0.4">
      <c r="A1987" s="278"/>
      <c r="B1987" s="96" t="s">
        <v>222</v>
      </c>
      <c r="C1987" s="93"/>
      <c r="D1987" s="92"/>
      <c r="E1987" s="93"/>
      <c r="F1987" s="92"/>
      <c r="G1987" s="93"/>
      <c r="H1987" s="92"/>
      <c r="I1987" s="93"/>
      <c r="J1987" s="92"/>
    </row>
    <row r="1988" spans="1:10" x14ac:dyDescent="0.4">
      <c r="A1988" s="278"/>
      <c r="B1988" s="96" t="s">
        <v>223</v>
      </c>
      <c r="C1988" s="93"/>
      <c r="D1988" s="92"/>
      <c r="E1988" s="93"/>
      <c r="F1988" s="92"/>
      <c r="G1988" s="93"/>
      <c r="H1988" s="92"/>
      <c r="I1988" s="93"/>
      <c r="J1988" s="92"/>
    </row>
    <row r="1989" spans="1:10" x14ac:dyDescent="0.4">
      <c r="A1989" s="278"/>
      <c r="B1989" s="96" t="s">
        <v>224</v>
      </c>
      <c r="C1989" s="93"/>
      <c r="D1989" s="92"/>
      <c r="E1989" s="93"/>
      <c r="F1989" s="92"/>
      <c r="G1989" s="93"/>
      <c r="H1989" s="92"/>
      <c r="I1989" s="93"/>
      <c r="J1989" s="92"/>
    </row>
    <row r="1990" spans="1:10" x14ac:dyDescent="0.4">
      <c r="A1990" s="278"/>
      <c r="B1990" s="96" t="s">
        <v>225</v>
      </c>
      <c r="C1990" s="93"/>
      <c r="D1990" s="92"/>
      <c r="E1990" s="93"/>
      <c r="F1990" s="92"/>
      <c r="G1990" s="93"/>
      <c r="H1990" s="92"/>
      <c r="I1990" s="93"/>
      <c r="J1990" s="92"/>
    </row>
    <row r="1991" spans="1:10" x14ac:dyDescent="0.4">
      <c r="A1991" s="278"/>
      <c r="B1991" s="96" t="s">
        <v>226</v>
      </c>
      <c r="C1991" s="93"/>
      <c r="D1991" s="92"/>
      <c r="E1991" s="93"/>
      <c r="F1991" s="92"/>
      <c r="G1991" s="93"/>
      <c r="H1991" s="92"/>
      <c r="I1991" s="93"/>
      <c r="J1991" s="92"/>
    </row>
    <row r="1992" spans="1:10" x14ac:dyDescent="0.4">
      <c r="A1992" s="278"/>
      <c r="B1992" s="96" t="s">
        <v>227</v>
      </c>
      <c r="C1992" s="93"/>
      <c r="D1992" s="92"/>
      <c r="E1992" s="93"/>
      <c r="F1992" s="92"/>
      <c r="G1992" s="93"/>
      <c r="H1992" s="92"/>
      <c r="I1992" s="93"/>
      <c r="J1992" s="92"/>
    </row>
    <row r="1993" spans="1:10" x14ac:dyDescent="0.4">
      <c r="A1993" s="278"/>
      <c r="B1993" s="96" t="s">
        <v>228</v>
      </c>
      <c r="C1993" s="93"/>
      <c r="D1993" s="92"/>
      <c r="E1993" s="93"/>
      <c r="F1993" s="92"/>
      <c r="G1993" s="93"/>
      <c r="H1993" s="92"/>
      <c r="I1993" s="93"/>
      <c r="J1993" s="92"/>
    </row>
    <row r="1994" spans="1:10" x14ac:dyDescent="0.4">
      <c r="A1994" s="278"/>
      <c r="B1994" s="96" t="s">
        <v>229</v>
      </c>
      <c r="C1994" s="93"/>
      <c r="D1994" s="92"/>
      <c r="E1994" s="93"/>
      <c r="F1994" s="92"/>
      <c r="G1994" s="98"/>
      <c r="H1994" s="99"/>
      <c r="I1994" s="93"/>
      <c r="J1994" s="92"/>
    </row>
    <row r="1995" spans="1:10" x14ac:dyDescent="0.4">
      <c r="A1995" s="278"/>
      <c r="B1995" s="96" t="s">
        <v>230</v>
      </c>
      <c r="C1995" s="93"/>
      <c r="D1995" s="92"/>
      <c r="E1995" s="93"/>
      <c r="F1995" s="92"/>
      <c r="G1995" s="98"/>
      <c r="H1995" s="99"/>
      <c r="I1995" s="98"/>
      <c r="J1995" s="99"/>
    </row>
    <row r="1996" spans="1:10" x14ac:dyDescent="0.4">
      <c r="A1996" s="278"/>
      <c r="B1996" s="96" t="s">
        <v>231</v>
      </c>
      <c r="C1996" s="93"/>
      <c r="D1996" s="92"/>
      <c r="E1996" s="93"/>
      <c r="F1996" s="92"/>
      <c r="G1996" s="98"/>
      <c r="H1996" s="99"/>
      <c r="I1996" s="98"/>
      <c r="J1996" s="99"/>
    </row>
    <row r="1997" spans="1:10" x14ac:dyDescent="0.4">
      <c r="A1997" s="278"/>
      <c r="B1997" s="96" t="s">
        <v>232</v>
      </c>
      <c r="C1997" s="93"/>
      <c r="D1997" s="92"/>
      <c r="E1997" s="93"/>
      <c r="F1997" s="92"/>
      <c r="G1997" s="98"/>
      <c r="H1997" s="99"/>
      <c r="I1997" s="98"/>
      <c r="J1997" s="99"/>
    </row>
    <row r="1998" spans="1:10" x14ac:dyDescent="0.4">
      <c r="A1998" s="278"/>
      <c r="B1998" s="96" t="s">
        <v>233</v>
      </c>
      <c r="C1998" s="93"/>
      <c r="D1998" s="92"/>
      <c r="E1998" s="93"/>
      <c r="F1998" s="92"/>
      <c r="G1998" s="98"/>
      <c r="H1998" s="99"/>
      <c r="I1998" s="98"/>
      <c r="J1998" s="99"/>
    </row>
    <row r="1999" spans="1:10" x14ac:dyDescent="0.4">
      <c r="A1999" s="278"/>
      <c r="B1999" s="96" t="s">
        <v>234</v>
      </c>
      <c r="C1999" s="93"/>
      <c r="D1999" s="92"/>
      <c r="E1999" s="93"/>
      <c r="F1999" s="92"/>
      <c r="G1999" s="98"/>
      <c r="H1999" s="99"/>
      <c r="I1999" s="98"/>
      <c r="J1999" s="99"/>
    </row>
    <row r="2000" spans="1:10" x14ac:dyDescent="0.4">
      <c r="A2000" s="278"/>
      <c r="B2000" s="96" t="s">
        <v>235</v>
      </c>
      <c r="C2000" s="93"/>
      <c r="D2000" s="92"/>
      <c r="E2000" s="98"/>
      <c r="F2000" s="99"/>
      <c r="G2000" s="98"/>
      <c r="H2000" s="99"/>
      <c r="I2000" s="98"/>
      <c r="J2000" s="99"/>
    </row>
    <row r="2001" spans="1:10" x14ac:dyDescent="0.4">
      <c r="A2001" s="278"/>
      <c r="B2001" s="96" t="s">
        <v>236</v>
      </c>
      <c r="C2001" s="93"/>
      <c r="D2001" s="92"/>
      <c r="E2001" s="98"/>
      <c r="F2001" s="99"/>
      <c r="G2001" s="98"/>
      <c r="H2001" s="99"/>
      <c r="I2001" s="98"/>
      <c r="J2001" s="99"/>
    </row>
    <row r="2002" spans="1:10" x14ac:dyDescent="0.4">
      <c r="A2002" s="278"/>
      <c r="B2002" s="97" t="s">
        <v>296</v>
      </c>
      <c r="C2002" s="93"/>
      <c r="D2002" s="92"/>
      <c r="E2002" s="93"/>
      <c r="F2002" s="92"/>
      <c r="G2002" s="93"/>
      <c r="H2002" s="92"/>
      <c r="I2002" s="93"/>
      <c r="J2002" s="92"/>
    </row>
    <row r="2003" spans="1:10" x14ac:dyDescent="0.4">
      <c r="A2003" s="278"/>
      <c r="B2003" s="97" t="s">
        <v>237</v>
      </c>
      <c r="C2003" s="93"/>
      <c r="D2003" s="92"/>
      <c r="E2003" s="93"/>
      <c r="F2003" s="92"/>
      <c r="G2003" s="93"/>
      <c r="H2003" s="92"/>
      <c r="I2003" s="93"/>
      <c r="J2003" s="92"/>
    </row>
    <row r="2004" spans="1:10" x14ac:dyDescent="0.4">
      <c r="A2004" s="278"/>
      <c r="B2004" s="97" t="s">
        <v>238</v>
      </c>
      <c r="C2004" s="93"/>
      <c r="D2004" s="92"/>
      <c r="E2004" s="93"/>
      <c r="F2004" s="92"/>
      <c r="G2004" s="93"/>
      <c r="H2004" s="92"/>
      <c r="I2004" s="93"/>
      <c r="J2004" s="92"/>
    </row>
    <row r="2005" spans="1:10" x14ac:dyDescent="0.4">
      <c r="A2005" s="278"/>
      <c r="B2005" s="97" t="s">
        <v>239</v>
      </c>
      <c r="C2005" s="93"/>
      <c r="D2005" s="92"/>
      <c r="E2005" s="93"/>
      <c r="F2005" s="92"/>
      <c r="G2005" s="93"/>
      <c r="H2005" s="92"/>
      <c r="I2005" s="93"/>
      <c r="J2005" s="92"/>
    </row>
    <row r="2006" spans="1:10" x14ac:dyDescent="0.4">
      <c r="A2006" s="278"/>
      <c r="B2006" s="97" t="s">
        <v>240</v>
      </c>
      <c r="C2006" s="93"/>
      <c r="D2006" s="92"/>
      <c r="E2006" s="93"/>
      <c r="F2006" s="92"/>
      <c r="G2006" s="93"/>
      <c r="H2006" s="92"/>
      <c r="I2006" s="93"/>
      <c r="J2006" s="92"/>
    </row>
    <row r="2007" spans="1:10" x14ac:dyDescent="0.4">
      <c r="A2007" s="278"/>
      <c r="B2007" s="97" t="s">
        <v>241</v>
      </c>
      <c r="C2007" s="93"/>
      <c r="D2007" s="92"/>
      <c r="E2007" s="93"/>
      <c r="F2007" s="92"/>
      <c r="G2007" s="93"/>
      <c r="H2007" s="92"/>
      <c r="I2007" s="93"/>
      <c r="J2007" s="92"/>
    </row>
    <row r="2008" spans="1:10" x14ac:dyDescent="0.4">
      <c r="A2008" s="278"/>
      <c r="B2008" s="97" t="s">
        <v>242</v>
      </c>
      <c r="C2008" s="93"/>
      <c r="D2008" s="92"/>
      <c r="E2008" s="93"/>
      <c r="F2008" s="92"/>
      <c r="G2008" s="93"/>
      <c r="H2008" s="92"/>
      <c r="I2008" s="93"/>
      <c r="J2008" s="92"/>
    </row>
    <row r="2009" spans="1:10" x14ac:dyDescent="0.4">
      <c r="A2009" s="278"/>
      <c r="B2009" s="97" t="s">
        <v>243</v>
      </c>
      <c r="C2009" s="93"/>
      <c r="D2009" s="92"/>
      <c r="E2009" s="93"/>
      <c r="F2009" s="92"/>
      <c r="G2009" s="93"/>
      <c r="H2009" s="92"/>
      <c r="I2009" s="93"/>
      <c r="J2009" s="92"/>
    </row>
    <row r="2010" spans="1:10" x14ac:dyDescent="0.4">
      <c r="A2010" s="278"/>
      <c r="B2010" s="97" t="s">
        <v>244</v>
      </c>
      <c r="C2010" s="93"/>
      <c r="D2010" s="92"/>
      <c r="E2010" s="93"/>
      <c r="F2010" s="92"/>
      <c r="G2010" s="93"/>
      <c r="H2010" s="92"/>
      <c r="I2010" s="98"/>
      <c r="J2010" s="99"/>
    </row>
    <row r="2011" spans="1:10" x14ac:dyDescent="0.4">
      <c r="A2011" s="278"/>
      <c r="B2011" s="97" t="s">
        <v>245</v>
      </c>
      <c r="C2011" s="93"/>
      <c r="D2011" s="92"/>
      <c r="E2011" s="93"/>
      <c r="F2011" s="92"/>
      <c r="G2011" s="93"/>
      <c r="H2011" s="92"/>
      <c r="I2011" s="98"/>
      <c r="J2011" s="99"/>
    </row>
    <row r="2012" spans="1:10" x14ac:dyDescent="0.4">
      <c r="A2012" s="278"/>
      <c r="B2012" s="97" t="s">
        <v>246</v>
      </c>
      <c r="C2012" s="98"/>
      <c r="D2012" s="99"/>
      <c r="E2012" s="93"/>
      <c r="F2012" s="92"/>
      <c r="G2012" s="93"/>
      <c r="H2012" s="92"/>
      <c r="I2012" s="98"/>
      <c r="J2012" s="99"/>
    </row>
    <row r="2013" spans="1:10" x14ac:dyDescent="0.4">
      <c r="A2013" s="278"/>
      <c r="B2013" s="97" t="s">
        <v>247</v>
      </c>
      <c r="C2013" s="98"/>
      <c r="D2013" s="99"/>
      <c r="E2013" s="93"/>
      <c r="F2013" s="92"/>
      <c r="G2013" s="93"/>
      <c r="H2013" s="92"/>
      <c r="I2013" s="98"/>
      <c r="J2013" s="99"/>
    </row>
    <row r="2014" spans="1:10" x14ac:dyDescent="0.4">
      <c r="A2014" s="278"/>
      <c r="B2014" s="97" t="s">
        <v>248</v>
      </c>
      <c r="C2014" s="98"/>
      <c r="D2014" s="99"/>
      <c r="E2014" s="98"/>
      <c r="F2014" s="99"/>
      <c r="G2014" s="93"/>
      <c r="H2014" s="92"/>
      <c r="I2014" s="98"/>
      <c r="J2014" s="99"/>
    </row>
    <row r="2015" spans="1:10" x14ac:dyDescent="0.4">
      <c r="A2015" s="278"/>
      <c r="B2015" s="94" t="s">
        <v>297</v>
      </c>
      <c r="C2015" s="98"/>
      <c r="D2015" s="99"/>
      <c r="E2015" s="98"/>
      <c r="F2015" s="99"/>
      <c r="G2015" s="98"/>
      <c r="H2015" s="99"/>
      <c r="I2015" s="93"/>
      <c r="J2015" s="92"/>
    </row>
    <row r="2016" spans="1:10" x14ac:dyDescent="0.4">
      <c r="A2016" s="278"/>
      <c r="B2016" s="94" t="s">
        <v>249</v>
      </c>
      <c r="C2016" s="98"/>
      <c r="D2016" s="99"/>
      <c r="E2016" s="98"/>
      <c r="F2016" s="99"/>
      <c r="G2016" s="98"/>
      <c r="H2016" s="99"/>
      <c r="I2016" s="93"/>
      <c r="J2016" s="92"/>
    </row>
    <row r="2017" spans="1:10" x14ac:dyDescent="0.4">
      <c r="A2017" s="278"/>
      <c r="B2017" s="94" t="s">
        <v>250</v>
      </c>
      <c r="C2017" s="98"/>
      <c r="D2017" s="99"/>
      <c r="E2017" s="98"/>
      <c r="F2017" s="99"/>
      <c r="G2017" s="98"/>
      <c r="H2017" s="99"/>
      <c r="I2017" s="93"/>
      <c r="J2017" s="92"/>
    </row>
    <row r="2018" spans="1:10" x14ac:dyDescent="0.4">
      <c r="A2018" s="278"/>
      <c r="B2018" s="94" t="s">
        <v>251</v>
      </c>
      <c r="C2018" s="98"/>
      <c r="D2018" s="99"/>
      <c r="E2018" s="98"/>
      <c r="F2018" s="99"/>
      <c r="G2018" s="98"/>
      <c r="H2018" s="99"/>
      <c r="I2018" s="93"/>
      <c r="J2018" s="92"/>
    </row>
    <row r="2019" spans="1:10" x14ac:dyDescent="0.4">
      <c r="A2019" s="278"/>
      <c r="B2019" s="94" t="s">
        <v>252</v>
      </c>
      <c r="C2019" s="98"/>
      <c r="D2019" s="99"/>
      <c r="E2019" s="98"/>
      <c r="F2019" s="99"/>
      <c r="G2019" s="98"/>
      <c r="H2019" s="99"/>
      <c r="I2019" s="93"/>
      <c r="J2019" s="92"/>
    </row>
    <row r="2020" spans="1:10" x14ac:dyDescent="0.4">
      <c r="A2020" s="278"/>
      <c r="B2020" s="94" t="s">
        <v>253</v>
      </c>
      <c r="C2020" s="98"/>
      <c r="D2020" s="99"/>
      <c r="E2020" s="98"/>
      <c r="F2020" s="99"/>
      <c r="G2020" s="98"/>
      <c r="H2020" s="99"/>
      <c r="I2020" s="93"/>
      <c r="J2020" s="92"/>
    </row>
    <row r="2021" spans="1:10" x14ac:dyDescent="0.4">
      <c r="A2021" s="278"/>
      <c r="B2021" s="94" t="s">
        <v>254</v>
      </c>
      <c r="C2021" s="98"/>
      <c r="D2021" s="99"/>
      <c r="E2021" s="98"/>
      <c r="F2021" s="99"/>
      <c r="G2021" s="98"/>
      <c r="H2021" s="99"/>
      <c r="I2021" s="93"/>
      <c r="J2021" s="92"/>
    </row>
    <row r="2022" spans="1:10" x14ac:dyDescent="0.4">
      <c r="A2022" s="278"/>
      <c r="B2022" s="94" t="s">
        <v>255</v>
      </c>
      <c r="C2022" s="98"/>
      <c r="D2022" s="99"/>
      <c r="E2022" s="98"/>
      <c r="F2022" s="99"/>
      <c r="G2022" s="98"/>
      <c r="H2022" s="99"/>
      <c r="I2022" s="93"/>
      <c r="J2022" s="92"/>
    </row>
    <row r="2023" spans="1:10" x14ac:dyDescent="0.4">
      <c r="A2023" s="278"/>
      <c r="B2023" s="94" t="s">
        <v>256</v>
      </c>
      <c r="C2023" s="98"/>
      <c r="D2023" s="99"/>
      <c r="E2023" s="98"/>
      <c r="F2023" s="99"/>
      <c r="G2023" s="98"/>
      <c r="H2023" s="99"/>
      <c r="I2023" s="93"/>
      <c r="J2023" s="92"/>
    </row>
    <row r="2024" spans="1:10" x14ac:dyDescent="0.4">
      <c r="A2024" s="278"/>
      <c r="B2024" s="94" t="s">
        <v>257</v>
      </c>
      <c r="C2024" s="98"/>
      <c r="D2024" s="99"/>
      <c r="E2024" s="98"/>
      <c r="F2024" s="99"/>
      <c r="G2024" s="98"/>
      <c r="H2024" s="99"/>
      <c r="I2024" s="93"/>
      <c r="J2024" s="92"/>
    </row>
    <row r="2025" spans="1:10" x14ac:dyDescent="0.4">
      <c r="A2025" s="278"/>
      <c r="B2025" s="94" t="s">
        <v>258</v>
      </c>
      <c r="C2025" s="98"/>
      <c r="D2025" s="99"/>
      <c r="E2025" s="98"/>
      <c r="F2025" s="99"/>
      <c r="G2025" s="98"/>
      <c r="H2025" s="99"/>
      <c r="I2025" s="93"/>
      <c r="J2025" s="92"/>
    </row>
    <row r="2026" spans="1:10" x14ac:dyDescent="0.4">
      <c r="A2026" s="279"/>
      <c r="B2026" s="94" t="s">
        <v>259</v>
      </c>
      <c r="C2026" s="98"/>
      <c r="D2026" s="99"/>
      <c r="E2026" s="98"/>
      <c r="F2026" s="99"/>
      <c r="G2026" s="98"/>
      <c r="H2026" s="99"/>
      <c r="I2026" s="93"/>
      <c r="J2026" s="92"/>
    </row>
    <row r="2027" spans="1:10" x14ac:dyDescent="0.4">
      <c r="A2027" s="115" t="s">
        <v>263</v>
      </c>
      <c r="B2027" s="116" t="e">
        <f>SUM(C2027,E2027,G2027,I2027)</f>
        <v>#DIV/0!</v>
      </c>
      <c r="C2027" s="103" t="e">
        <f>AVERAGE(C1954:C1966,C1970:C2011)</f>
        <v>#DIV/0!</v>
      </c>
      <c r="D2027" s="103" t="e">
        <f>AVERAGE(D1954:D1966,D1970:D2011)</f>
        <v>#DIV/0!</v>
      </c>
      <c r="E2027" s="103" t="e">
        <f>AVERAGE(E1954:E1962,E1970:E1983,E1986:E1999,E2002:E2013)</f>
        <v>#DIV/0!</v>
      </c>
      <c r="F2027" s="103" t="e">
        <f>AVERAGE(F1954:F1962,F1970:F1983,F1986:F1999,F2002:F2013)</f>
        <v>#DIV/0!</v>
      </c>
      <c r="G2027" s="103" t="e">
        <f>AVERAGE(G1954:G1982,G1986:G1993,G2002:G2014)</f>
        <v>#DIV/0!</v>
      </c>
      <c r="H2027" s="103" t="e">
        <f>AVERAGE(H1954:H1982,H1986:H1993,H2002:H2014)</f>
        <v>#DIV/0!</v>
      </c>
      <c r="I2027" s="103" t="e">
        <f>AVERAGE(I1954:I1961,I1970:I1979,I1986:I1994,I2002:I2009,I2015:I2026)</f>
        <v>#DIV/0!</v>
      </c>
      <c r="J2027" s="103" t="e">
        <f>AVERAGE(J1954:J1961,J1970:J1979,J1986:J1994,J2002:J2009,J2015:J2026)</f>
        <v>#DIV/0!</v>
      </c>
    </row>
    <row r="2028" spans="1:10" x14ac:dyDescent="0.4">
      <c r="A2028" s="115" t="s">
        <v>264</v>
      </c>
      <c r="B2028" s="116" t="e">
        <f>SUM(D2027,F2027,H2027,J2027)</f>
        <v>#DIV/0!</v>
      </c>
      <c r="C2028" s="63" t="s">
        <v>265</v>
      </c>
      <c r="D2028" s="117" t="s">
        <v>266</v>
      </c>
      <c r="E2028" s="63" t="s">
        <v>265</v>
      </c>
      <c r="F2028" s="117" t="s">
        <v>266</v>
      </c>
      <c r="G2028" s="63" t="s">
        <v>265</v>
      </c>
      <c r="H2028" s="117" t="s">
        <v>266</v>
      </c>
      <c r="I2028" s="63" t="s">
        <v>265</v>
      </c>
      <c r="J2028" s="117" t="s">
        <v>266</v>
      </c>
    </row>
  </sheetData>
  <mergeCells count="360">
    <mergeCell ref="I1952:J1952"/>
    <mergeCell ref="A1954:A2026"/>
    <mergeCell ref="A1947:A1949"/>
    <mergeCell ref="A1952:B1953"/>
    <mergeCell ref="C1952:D1952"/>
    <mergeCell ref="E1952:F1952"/>
    <mergeCell ref="G1952:H1952"/>
    <mergeCell ref="A1913:A1916"/>
    <mergeCell ref="F1913:F1916"/>
    <mergeCell ref="A1917:A1936"/>
    <mergeCell ref="F1917:F1920"/>
    <mergeCell ref="A1937:A1946"/>
    <mergeCell ref="F1937:F1942"/>
    <mergeCell ref="F1943:F1946"/>
    <mergeCell ref="A1895:A1904"/>
    <mergeCell ref="F1895:F1900"/>
    <mergeCell ref="F1901:F1904"/>
    <mergeCell ref="A1907:J1907"/>
    <mergeCell ref="A1909:A1912"/>
    <mergeCell ref="F1909:F1910"/>
    <mergeCell ref="A1868:A1874"/>
    <mergeCell ref="F1868:F1871"/>
    <mergeCell ref="A1875:A1894"/>
    <mergeCell ref="F1875:F1878"/>
    <mergeCell ref="F1879:F1880"/>
    <mergeCell ref="F1881:F1892"/>
    <mergeCell ref="F1893:F1894"/>
    <mergeCell ref="I1783:J1783"/>
    <mergeCell ref="A1785:A1857"/>
    <mergeCell ref="A1862:J1862"/>
    <mergeCell ref="A1864:A1867"/>
    <mergeCell ref="F1864:F1865"/>
    <mergeCell ref="A1778:A1780"/>
    <mergeCell ref="A1783:B1784"/>
    <mergeCell ref="C1783:D1783"/>
    <mergeCell ref="E1783:F1783"/>
    <mergeCell ref="G1783:H1783"/>
    <mergeCell ref="A1744:A1747"/>
    <mergeCell ref="F1744:F1747"/>
    <mergeCell ref="A1748:A1767"/>
    <mergeCell ref="F1748:F1751"/>
    <mergeCell ref="A1768:A1777"/>
    <mergeCell ref="F1768:F1773"/>
    <mergeCell ref="F1774:F1777"/>
    <mergeCell ref="A1726:A1735"/>
    <mergeCell ref="F1726:F1731"/>
    <mergeCell ref="F1732:F1735"/>
    <mergeCell ref="A1738:J1738"/>
    <mergeCell ref="A1740:A1743"/>
    <mergeCell ref="F1740:F1741"/>
    <mergeCell ref="A1699:A1705"/>
    <mergeCell ref="F1699:F1702"/>
    <mergeCell ref="A1706:A1725"/>
    <mergeCell ref="F1706:F1709"/>
    <mergeCell ref="F1710:F1711"/>
    <mergeCell ref="F1712:F1723"/>
    <mergeCell ref="F1724:F1725"/>
    <mergeCell ref="I1614:J1614"/>
    <mergeCell ref="A1616:A1688"/>
    <mergeCell ref="A1693:J1693"/>
    <mergeCell ref="A1695:A1698"/>
    <mergeCell ref="F1695:F1696"/>
    <mergeCell ref="A1609:A1611"/>
    <mergeCell ref="A1614:B1615"/>
    <mergeCell ref="C1614:D1614"/>
    <mergeCell ref="E1614:F1614"/>
    <mergeCell ref="G1614:H1614"/>
    <mergeCell ref="A1575:A1578"/>
    <mergeCell ref="F1575:F1578"/>
    <mergeCell ref="A1579:A1598"/>
    <mergeCell ref="F1579:F1582"/>
    <mergeCell ref="A1599:A1608"/>
    <mergeCell ref="F1599:F1604"/>
    <mergeCell ref="F1605:F1608"/>
    <mergeCell ref="A1557:A1566"/>
    <mergeCell ref="F1557:F1562"/>
    <mergeCell ref="F1563:F1566"/>
    <mergeCell ref="A1569:J1569"/>
    <mergeCell ref="A1571:A1574"/>
    <mergeCell ref="F1571:F1572"/>
    <mergeCell ref="A1530:A1536"/>
    <mergeCell ref="F1530:F1533"/>
    <mergeCell ref="A1537:A1556"/>
    <mergeCell ref="F1537:F1540"/>
    <mergeCell ref="F1541:F1542"/>
    <mergeCell ref="F1543:F1554"/>
    <mergeCell ref="F1555:F1556"/>
    <mergeCell ref="I1445:J1445"/>
    <mergeCell ref="A1447:A1519"/>
    <mergeCell ref="A1524:J1524"/>
    <mergeCell ref="A1526:A1529"/>
    <mergeCell ref="F1526:F1527"/>
    <mergeCell ref="A1440:A1442"/>
    <mergeCell ref="A1445:B1446"/>
    <mergeCell ref="C1445:D1445"/>
    <mergeCell ref="E1445:F1445"/>
    <mergeCell ref="G1445:H1445"/>
    <mergeCell ref="A1406:A1409"/>
    <mergeCell ref="F1406:F1409"/>
    <mergeCell ref="A1410:A1429"/>
    <mergeCell ref="F1410:F1413"/>
    <mergeCell ref="A1430:A1439"/>
    <mergeCell ref="F1430:F1435"/>
    <mergeCell ref="F1436:F1439"/>
    <mergeCell ref="A1388:A1397"/>
    <mergeCell ref="F1388:F1393"/>
    <mergeCell ref="F1394:F1397"/>
    <mergeCell ref="A1400:J1400"/>
    <mergeCell ref="A1402:A1405"/>
    <mergeCell ref="F1402:F1403"/>
    <mergeCell ref="A1361:A1367"/>
    <mergeCell ref="F1361:F1364"/>
    <mergeCell ref="A1368:A1387"/>
    <mergeCell ref="F1368:F1371"/>
    <mergeCell ref="F1372:F1373"/>
    <mergeCell ref="F1374:F1385"/>
    <mergeCell ref="F1386:F1387"/>
    <mergeCell ref="I1276:J1276"/>
    <mergeCell ref="A1278:A1350"/>
    <mergeCell ref="A1355:J1355"/>
    <mergeCell ref="A1357:A1360"/>
    <mergeCell ref="F1357:F1358"/>
    <mergeCell ref="A1271:A1273"/>
    <mergeCell ref="A1276:B1277"/>
    <mergeCell ref="C1276:D1276"/>
    <mergeCell ref="E1276:F1276"/>
    <mergeCell ref="G1276:H1276"/>
    <mergeCell ref="A1237:A1240"/>
    <mergeCell ref="F1237:F1240"/>
    <mergeCell ref="A1241:A1260"/>
    <mergeCell ref="F1241:F1244"/>
    <mergeCell ref="A1261:A1270"/>
    <mergeCell ref="F1261:F1266"/>
    <mergeCell ref="F1267:F1270"/>
    <mergeCell ref="A1219:A1228"/>
    <mergeCell ref="F1219:F1224"/>
    <mergeCell ref="F1225:F1228"/>
    <mergeCell ref="A1231:J1231"/>
    <mergeCell ref="A1233:A1236"/>
    <mergeCell ref="F1233:F1234"/>
    <mergeCell ref="A1192:A1198"/>
    <mergeCell ref="F1192:F1195"/>
    <mergeCell ref="A1199:A1218"/>
    <mergeCell ref="F1199:F1202"/>
    <mergeCell ref="F1203:F1204"/>
    <mergeCell ref="F1205:F1216"/>
    <mergeCell ref="F1217:F1218"/>
    <mergeCell ref="I1107:J1107"/>
    <mergeCell ref="A1109:A1181"/>
    <mergeCell ref="A1186:J1186"/>
    <mergeCell ref="A1188:A1191"/>
    <mergeCell ref="F1188:F1189"/>
    <mergeCell ref="A1102:A1104"/>
    <mergeCell ref="A1107:B1108"/>
    <mergeCell ref="C1107:D1107"/>
    <mergeCell ref="E1107:F1107"/>
    <mergeCell ref="G1107:H1107"/>
    <mergeCell ref="A1068:A1071"/>
    <mergeCell ref="F1068:F1071"/>
    <mergeCell ref="A1072:A1091"/>
    <mergeCell ref="F1072:F1075"/>
    <mergeCell ref="A1092:A1101"/>
    <mergeCell ref="F1092:F1097"/>
    <mergeCell ref="F1098:F1101"/>
    <mergeCell ref="A1050:A1059"/>
    <mergeCell ref="F1050:F1055"/>
    <mergeCell ref="F1056:F1059"/>
    <mergeCell ref="A1062:J1062"/>
    <mergeCell ref="A1064:A1067"/>
    <mergeCell ref="F1064:F1065"/>
    <mergeCell ref="A1023:A1029"/>
    <mergeCell ref="F1023:F1026"/>
    <mergeCell ref="A1030:A1049"/>
    <mergeCell ref="F1030:F1033"/>
    <mergeCell ref="F1034:F1035"/>
    <mergeCell ref="F1036:F1047"/>
    <mergeCell ref="F1048:F1049"/>
    <mergeCell ref="I938:J938"/>
    <mergeCell ref="A940:A1012"/>
    <mergeCell ref="A1017:J1017"/>
    <mergeCell ref="A1019:A1022"/>
    <mergeCell ref="F1019:F1020"/>
    <mergeCell ref="A933:A935"/>
    <mergeCell ref="A938:B939"/>
    <mergeCell ref="C938:D938"/>
    <mergeCell ref="E938:F938"/>
    <mergeCell ref="G938:H938"/>
    <mergeCell ref="A899:A902"/>
    <mergeCell ref="F899:F902"/>
    <mergeCell ref="A903:A922"/>
    <mergeCell ref="F903:F906"/>
    <mergeCell ref="A923:A932"/>
    <mergeCell ref="F923:F928"/>
    <mergeCell ref="F929:F932"/>
    <mergeCell ref="A881:A890"/>
    <mergeCell ref="F881:F886"/>
    <mergeCell ref="F887:F890"/>
    <mergeCell ref="A893:J893"/>
    <mergeCell ref="A895:A898"/>
    <mergeCell ref="F895:F896"/>
    <mergeCell ref="A854:A860"/>
    <mergeCell ref="F854:F857"/>
    <mergeCell ref="A861:A880"/>
    <mergeCell ref="F861:F864"/>
    <mergeCell ref="F865:F866"/>
    <mergeCell ref="F867:F878"/>
    <mergeCell ref="F879:F880"/>
    <mergeCell ref="I769:J769"/>
    <mergeCell ref="A771:A843"/>
    <mergeCell ref="A848:J848"/>
    <mergeCell ref="A850:A853"/>
    <mergeCell ref="F850:F851"/>
    <mergeCell ref="A764:A766"/>
    <mergeCell ref="A769:B770"/>
    <mergeCell ref="C769:D769"/>
    <mergeCell ref="E769:F769"/>
    <mergeCell ref="G769:H769"/>
    <mergeCell ref="A730:A733"/>
    <mergeCell ref="F730:F733"/>
    <mergeCell ref="A734:A753"/>
    <mergeCell ref="F734:F737"/>
    <mergeCell ref="A754:A763"/>
    <mergeCell ref="F754:F759"/>
    <mergeCell ref="F760:F763"/>
    <mergeCell ref="A712:A721"/>
    <mergeCell ref="F712:F717"/>
    <mergeCell ref="F718:F721"/>
    <mergeCell ref="A724:J724"/>
    <mergeCell ref="A726:A729"/>
    <mergeCell ref="F726:F727"/>
    <mergeCell ref="A685:A691"/>
    <mergeCell ref="F685:F688"/>
    <mergeCell ref="A692:A711"/>
    <mergeCell ref="F692:F695"/>
    <mergeCell ref="F696:F697"/>
    <mergeCell ref="F698:F709"/>
    <mergeCell ref="F710:F711"/>
    <mergeCell ref="I600:J600"/>
    <mergeCell ref="A602:A674"/>
    <mergeCell ref="A679:J679"/>
    <mergeCell ref="A681:A684"/>
    <mergeCell ref="F681:F682"/>
    <mergeCell ref="A595:A597"/>
    <mergeCell ref="A600:B601"/>
    <mergeCell ref="C600:D600"/>
    <mergeCell ref="E600:F600"/>
    <mergeCell ref="G600:H600"/>
    <mergeCell ref="A561:A564"/>
    <mergeCell ref="F561:F564"/>
    <mergeCell ref="A565:A584"/>
    <mergeCell ref="F565:F568"/>
    <mergeCell ref="A585:A594"/>
    <mergeCell ref="F585:F590"/>
    <mergeCell ref="F591:F594"/>
    <mergeCell ref="A543:A552"/>
    <mergeCell ref="F543:F548"/>
    <mergeCell ref="F549:F552"/>
    <mergeCell ref="A555:J555"/>
    <mergeCell ref="A557:A560"/>
    <mergeCell ref="F557:F558"/>
    <mergeCell ref="A516:A522"/>
    <mergeCell ref="F516:F519"/>
    <mergeCell ref="A523:A542"/>
    <mergeCell ref="F523:F526"/>
    <mergeCell ref="F527:F528"/>
    <mergeCell ref="F529:F540"/>
    <mergeCell ref="F541:F542"/>
    <mergeCell ref="I431:J431"/>
    <mergeCell ref="A433:A505"/>
    <mergeCell ref="A510:J510"/>
    <mergeCell ref="A512:A515"/>
    <mergeCell ref="F512:F513"/>
    <mergeCell ref="A426:A428"/>
    <mergeCell ref="A431:B432"/>
    <mergeCell ref="C431:D431"/>
    <mergeCell ref="E431:F431"/>
    <mergeCell ref="G431:H431"/>
    <mergeCell ref="A392:A395"/>
    <mergeCell ref="F392:F395"/>
    <mergeCell ref="A396:A415"/>
    <mergeCell ref="F396:F399"/>
    <mergeCell ref="A416:A425"/>
    <mergeCell ref="F416:F421"/>
    <mergeCell ref="F422:F425"/>
    <mergeCell ref="A374:A383"/>
    <mergeCell ref="F374:F379"/>
    <mergeCell ref="F380:F383"/>
    <mergeCell ref="A386:J386"/>
    <mergeCell ref="A388:A391"/>
    <mergeCell ref="F388:F389"/>
    <mergeCell ref="A347:A353"/>
    <mergeCell ref="F347:F350"/>
    <mergeCell ref="A354:A373"/>
    <mergeCell ref="F354:F357"/>
    <mergeCell ref="F358:F359"/>
    <mergeCell ref="F360:F371"/>
    <mergeCell ref="F372:F373"/>
    <mergeCell ref="I262:J262"/>
    <mergeCell ref="A264:A336"/>
    <mergeCell ref="A341:J341"/>
    <mergeCell ref="A343:A346"/>
    <mergeCell ref="F343:F344"/>
    <mergeCell ref="A257:A259"/>
    <mergeCell ref="A262:B263"/>
    <mergeCell ref="C262:D262"/>
    <mergeCell ref="E262:F262"/>
    <mergeCell ref="G262:H262"/>
    <mergeCell ref="A223:A226"/>
    <mergeCell ref="F223:F226"/>
    <mergeCell ref="A227:A246"/>
    <mergeCell ref="F227:F230"/>
    <mergeCell ref="A247:A256"/>
    <mergeCell ref="F247:F252"/>
    <mergeCell ref="F253:F256"/>
    <mergeCell ref="A205:A214"/>
    <mergeCell ref="F205:F210"/>
    <mergeCell ref="F211:F214"/>
    <mergeCell ref="A217:J217"/>
    <mergeCell ref="A219:A222"/>
    <mergeCell ref="F219:F220"/>
    <mergeCell ref="A185:A204"/>
    <mergeCell ref="F185:F188"/>
    <mergeCell ref="F189:F190"/>
    <mergeCell ref="F191:F202"/>
    <mergeCell ref="F203:F204"/>
    <mergeCell ref="A172:J172"/>
    <mergeCell ref="A174:A177"/>
    <mergeCell ref="F174:F175"/>
    <mergeCell ref="A178:A184"/>
    <mergeCell ref="F178:F181"/>
    <mergeCell ref="A93:B94"/>
    <mergeCell ref="C93:D93"/>
    <mergeCell ref="E93:F93"/>
    <mergeCell ref="G93:H93"/>
    <mergeCell ref="I93:J93"/>
    <mergeCell ref="A3:J3"/>
    <mergeCell ref="A5:A8"/>
    <mergeCell ref="A48:J48"/>
    <mergeCell ref="A50:A53"/>
    <mergeCell ref="F50:F51"/>
    <mergeCell ref="F5:F6"/>
    <mergeCell ref="F9:F12"/>
    <mergeCell ref="F42:F45"/>
    <mergeCell ref="A16:A35"/>
    <mergeCell ref="F16:F19"/>
    <mergeCell ref="F20:F21"/>
    <mergeCell ref="F22:F33"/>
    <mergeCell ref="F34:F35"/>
    <mergeCell ref="A9:A15"/>
    <mergeCell ref="A36:A45"/>
    <mergeCell ref="F36:F41"/>
    <mergeCell ref="A58:A77"/>
    <mergeCell ref="F58:F61"/>
    <mergeCell ref="A78:A87"/>
    <mergeCell ref="F78:F83"/>
    <mergeCell ref="F84:F87"/>
    <mergeCell ref="A88:A90"/>
    <mergeCell ref="A54:A57"/>
    <mergeCell ref="F54:F57"/>
    <mergeCell ref="A95:A167"/>
  </mergeCells>
  <phoneticPr fontId="1" type="noConversion"/>
  <conditionalFormatting sqref="I523:I525">
    <cfRule type="colorScale" priority="2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27">
    <cfRule type="colorScale" priority="21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8">
    <cfRule type="colorScale" priority="20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9">
    <cfRule type="colorScale" priority="20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0:I531">
    <cfRule type="colorScale" priority="20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34:I540">
    <cfRule type="colorScale" priority="20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2:I533">
    <cfRule type="colorScale" priority="20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1:I863">
    <cfRule type="colorScale" priority="20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5">
    <cfRule type="colorScale" priority="20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6">
    <cfRule type="colorScale" priority="20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7">
    <cfRule type="colorScale" priority="20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8:I869">
    <cfRule type="colorScale" priority="19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72:I878">
    <cfRule type="colorScale" priority="20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70:I871">
    <cfRule type="colorScale" priority="19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68:I1370">
    <cfRule type="colorScale" priority="19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2">
    <cfRule type="colorScale" priority="19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3">
    <cfRule type="colorScale" priority="19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4">
    <cfRule type="colorScale" priority="1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5:I1376">
    <cfRule type="colorScale" priority="19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9:I1385">
    <cfRule type="colorScale" priority="1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7:I1378">
    <cfRule type="colorScale" priority="19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37:I1539">
    <cfRule type="colorScale" priority="1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1">
    <cfRule type="colorScale" priority="18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2">
    <cfRule type="colorScale" priority="18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3">
    <cfRule type="colorScale" priority="18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4:I1545">
    <cfRule type="colorScale" priority="18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8:I1554">
    <cfRule type="colorScale" priority="1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6:I1547">
    <cfRule type="colorScale" priority="18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706:I1708">
    <cfRule type="colorScale" priority="18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710">
    <cfRule type="colorScale" priority="18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1">
    <cfRule type="colorScale" priority="18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2">
    <cfRule type="colorScale" priority="18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3:I1714">
    <cfRule type="colorScale" priority="17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717:I1723">
    <cfRule type="colorScale" priority="17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5:I1716">
    <cfRule type="colorScale" priority="17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75:J1878">
    <cfRule type="colorScale" priority="17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82">
    <cfRule type="colorScale" priority="17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4:J1885">
    <cfRule type="colorScale" priority="17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6">
    <cfRule type="colorScale" priority="17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95:J1896">
    <cfRule type="colorScale" priority="17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9:J1904">
    <cfRule type="colorScale" priority="17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64:J1874">
    <cfRule type="colorScale" priority="17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7:J1898">
    <cfRule type="colorScale" priority="16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17:J1920">
    <cfRule type="colorScale" priority="16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4">
    <cfRule type="colorScale" priority="16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6:J1927">
    <cfRule type="colorScale" priority="16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8">
    <cfRule type="colorScale" priority="16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37:J1938">
    <cfRule type="colorScale" priority="16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41:J1949">
    <cfRule type="colorScale" priority="16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09:J1916">
    <cfRule type="colorScale" priority="16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39:J1940">
    <cfRule type="colorScale" priority="16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2:J694">
    <cfRule type="colorScale" priority="15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9">
    <cfRule type="colorScale" priority="16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1:J702">
    <cfRule type="colorScale" priority="15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3">
    <cfRule type="colorScale" priority="15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12:J713">
    <cfRule type="colorScale" priority="15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6:J721">
    <cfRule type="colorScale" priority="15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81:J691">
    <cfRule type="colorScale" priority="15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4:J715">
    <cfRule type="colorScale" priority="15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34:J736">
    <cfRule type="colorScale" priority="14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41">
    <cfRule type="colorScale" priority="15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3:J744">
    <cfRule type="colorScale" priority="15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5">
    <cfRule type="colorScale" priority="15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54:J755">
    <cfRule type="colorScale" priority="14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8:J766">
    <cfRule type="colorScale" priority="14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26:J733">
    <cfRule type="colorScale" priority="14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6:J757">
    <cfRule type="colorScale" priority="14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0:J1032">
    <cfRule type="colorScale" priority="13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7">
    <cfRule type="colorScale" priority="14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39:J1040">
    <cfRule type="colorScale" priority="14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41">
    <cfRule type="colorScale" priority="14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50:J1051">
    <cfRule type="colorScale" priority="14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4:J1059">
    <cfRule type="colorScale" priority="14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19:J1029">
    <cfRule type="colorScale" priority="13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2:J1053">
    <cfRule type="colorScale" priority="13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2:J1074">
    <cfRule type="colorScale" priority="13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9">
    <cfRule type="colorScale" priority="13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1:J1082">
    <cfRule type="colorScale" priority="13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3">
    <cfRule type="colorScale" priority="13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92:J1093">
    <cfRule type="colorScale" priority="13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6:J1104">
    <cfRule type="colorScale" priority="13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64:J1071">
    <cfRule type="colorScale" priority="13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4:J1095">
    <cfRule type="colorScale" priority="12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199:J1201">
    <cfRule type="colorScale" priority="12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06">
    <cfRule type="colorScale" priority="12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08:J1209">
    <cfRule type="colorScale" priority="12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0">
    <cfRule type="colorScale" priority="12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9:J1220">
    <cfRule type="colorScale" priority="12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3:J1228">
    <cfRule type="colorScale" priority="12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188:J1198">
    <cfRule type="colorScale" priority="12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1:J1222">
    <cfRule type="colorScale" priority="12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1:J1243">
    <cfRule type="colorScale" priority="11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8">
    <cfRule type="colorScale" priority="12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0:J1251">
    <cfRule type="colorScale" priority="11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2">
    <cfRule type="colorScale" priority="11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61:J1262">
    <cfRule type="colorScale" priority="11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5:J1273">
    <cfRule type="colorScale" priority="11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33:J1240">
    <cfRule type="colorScale" priority="11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3:J1264">
    <cfRule type="colorScale" priority="11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54:J356">
    <cfRule type="colorScale" priority="9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61">
    <cfRule type="colorScale" priority="9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3:J364">
    <cfRule type="colorScale" priority="9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5">
    <cfRule type="colorScale" priority="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74:J375">
    <cfRule type="colorScale" priority="9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8:J383">
    <cfRule type="colorScale" priority="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43:J353">
    <cfRule type="colorScale" priority="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6:J377">
    <cfRule type="colorScale" priority="8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96:J398">
    <cfRule type="colorScale" priority="8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3">
    <cfRule type="colorScale" priority="8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5:J406">
    <cfRule type="colorScale" priority="8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7">
    <cfRule type="colorScale" priority="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16:J417">
    <cfRule type="colorScale" priority="8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20:J428">
    <cfRule type="colorScale" priority="8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88:J395">
    <cfRule type="colorScale" priority="8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18:J419">
    <cfRule type="colorScale" priority="8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6:J18">
    <cfRule type="colorScale" priority="2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">
    <cfRule type="colorScale" priority="3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5:J26">
    <cfRule type="colorScale" priority="3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7">
    <cfRule type="colorScale" priority="3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:J37">
    <cfRule type="colorScale" priority="2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:J45">
    <cfRule type="colorScale" priority="2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:J15">
    <cfRule type="colorScale" priority="2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8:J39">
    <cfRule type="colorScale" priority="2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58:J60">
    <cfRule type="colorScale" priority="1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5">
    <cfRule type="colorScale" priority="2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7:J68">
    <cfRule type="colorScale" priority="2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9">
    <cfRule type="colorScale" priority="2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8:J79">
    <cfRule type="colorScale" priority="2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2:J90">
    <cfRule type="colorScale" priority="2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0:J57">
    <cfRule type="colorScale" priority="1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0:J81">
    <cfRule type="colorScale" priority="1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5:J187">
    <cfRule type="colorScale" priority="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">
    <cfRule type="colorScale" priority="1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4:J195">
    <cfRule type="colorScale" priority="1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6">
    <cfRule type="colorScale" priority="1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05:J206">
    <cfRule type="colorScale" priority="1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9:J214">
    <cfRule type="colorScale" priority="1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4:J184">
    <cfRule type="colorScale" priority="1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7:J208">
    <cfRule type="colorScale" priority="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27:J229">
    <cfRule type="colorScale" priority="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4">
    <cfRule type="colorScale" priority="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6:J237">
    <cfRule type="colorScale" priority="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8">
    <cfRule type="colorScale" priority="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47:J248">
    <cfRule type="colorScale" priority="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51:J259">
    <cfRule type="colorScale" priority="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19:J226">
    <cfRule type="colorScale" priority="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49:J250">
    <cfRule type="colorScale" priority="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BE774-DE1B-4982-AB5F-571D23A80D9A}">
  <dimension ref="A1:P5"/>
  <sheetViews>
    <sheetView zoomScaleNormal="100" workbookViewId="0">
      <selection activeCell="N3" sqref="N3"/>
    </sheetView>
  </sheetViews>
  <sheetFormatPr defaultRowHeight="17.399999999999999" x14ac:dyDescent="0.4"/>
  <cols>
    <col min="1" max="1" width="13.69921875" customWidth="1"/>
    <col min="2" max="4" width="6" bestFit="1" customWidth="1"/>
    <col min="5" max="5" width="5.19921875" customWidth="1"/>
    <col min="6" max="6" width="6" bestFit="1" customWidth="1"/>
    <col min="7" max="7" width="5.19921875" customWidth="1"/>
    <col min="8" max="9" width="6" bestFit="1" customWidth="1"/>
    <col min="10" max="12" width="5.19921875" customWidth="1"/>
    <col min="13" max="13" width="6" bestFit="1" customWidth="1"/>
  </cols>
  <sheetData>
    <row r="1" spans="1:16" ht="22.95" customHeight="1" x14ac:dyDescent="0.4">
      <c r="A1" s="291" t="s">
        <v>91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O1">
        <v>13</v>
      </c>
      <c r="P1">
        <v>4.5</v>
      </c>
    </row>
    <row r="2" spans="1:16" ht="22.95" customHeight="1" x14ac:dyDescent="0.4">
      <c r="A2" s="123" t="s">
        <v>92</v>
      </c>
      <c r="B2" s="124" t="s">
        <v>95</v>
      </c>
      <c r="C2" s="124" t="s">
        <v>96</v>
      </c>
      <c r="D2" s="124" t="s">
        <v>97</v>
      </c>
      <c r="E2" s="124" t="s">
        <v>98</v>
      </c>
      <c r="F2" s="124" t="s">
        <v>99</v>
      </c>
      <c r="G2" s="124" t="s">
        <v>100</v>
      </c>
      <c r="H2" s="124" t="s">
        <v>101</v>
      </c>
      <c r="I2" s="124" t="s">
        <v>102</v>
      </c>
      <c r="J2" s="124" t="s">
        <v>103</v>
      </c>
      <c r="K2" s="124" t="s">
        <v>104</v>
      </c>
      <c r="L2" s="124" t="s">
        <v>105</v>
      </c>
      <c r="M2" s="124" t="s">
        <v>106</v>
      </c>
      <c r="O2">
        <f>P1*12</f>
        <v>54</v>
      </c>
    </row>
    <row r="3" spans="1:16" ht="22.95" customHeight="1" x14ac:dyDescent="0.4">
      <c r="A3" s="125" t="s">
        <v>298</v>
      </c>
      <c r="B3" s="126">
        <f>'Temp&amp;Hum_Download'!O2</f>
        <v>25.086819752862844</v>
      </c>
      <c r="C3" s="126">
        <f>'Temp&amp;Hum_Download'!P2</f>
        <v>25.086819752862844</v>
      </c>
      <c r="D3" s="126">
        <f>'Temp&amp;Hum_Download'!Q2</f>
        <v>25.049296165413921</v>
      </c>
      <c r="E3" s="126" t="str">
        <f>'Temp&amp;Hum_Download'!R2</f>
        <v/>
      </c>
      <c r="F3" s="126">
        <f>'Temp&amp;Hum_Download'!S2</f>
        <v>25.086819752862844</v>
      </c>
      <c r="G3" s="126" t="str">
        <f>'Temp&amp;Hum_Download'!T2</f>
        <v/>
      </c>
      <c r="H3" s="126">
        <f>'Temp&amp;Hum_Download'!U2</f>
        <v>25.086819752862844</v>
      </c>
      <c r="I3" s="126">
        <f>'Temp&amp;Hum_Download'!V2</f>
        <v>25.086819752862844</v>
      </c>
      <c r="J3" s="126" t="str">
        <f>'Temp&amp;Hum_Download'!W2</f>
        <v/>
      </c>
      <c r="K3" s="126" t="str">
        <f>'Temp&amp;Hum_Download'!X2</f>
        <v/>
      </c>
      <c r="L3" s="126" t="str">
        <f>'Temp&amp;Hum_Download'!Y2</f>
        <v/>
      </c>
      <c r="M3" s="126">
        <f>'Temp&amp;Hum_Download'!Z2</f>
        <v>25.086819752862844</v>
      </c>
    </row>
    <row r="4" spans="1:16" ht="22.95" customHeight="1" x14ac:dyDescent="0.4">
      <c r="A4" s="127" t="s">
        <v>94</v>
      </c>
      <c r="B4" s="128">
        <f>'Temp&amp;Hum_Download'!O3</f>
        <v>34.042797428590319</v>
      </c>
      <c r="C4" s="128">
        <f>'Temp&amp;Hum_Download'!P3</f>
        <v>36.473064994950349</v>
      </c>
      <c r="D4" s="128">
        <f>'Temp&amp;Hum_Download'!Q3</f>
        <v>36.679584212262412</v>
      </c>
      <c r="E4" s="128" t="str">
        <f>'Temp&amp;Hum_Download'!R3</f>
        <v/>
      </c>
      <c r="F4" s="128">
        <f>'Temp&amp;Hum_Download'!S3</f>
        <v>36.473064994950349</v>
      </c>
      <c r="G4" s="128" t="str">
        <f>'Temp&amp;Hum_Download'!T3</f>
        <v/>
      </c>
      <c r="H4" s="128">
        <f>'Temp&amp;Hum_Download'!U3</f>
        <v>36.473064994950349</v>
      </c>
      <c r="I4" s="128">
        <f>'Temp&amp;Hum_Download'!V3</f>
        <v>36.473064994950349</v>
      </c>
      <c r="J4" s="128" t="str">
        <f>'Temp&amp;Hum_Download'!W3</f>
        <v/>
      </c>
      <c r="K4" s="128" t="str">
        <f>'Temp&amp;Hum_Download'!X3</f>
        <v/>
      </c>
      <c r="L4" s="128" t="str">
        <f>'Temp&amp;Hum_Download'!Y3</f>
        <v/>
      </c>
      <c r="M4" s="128">
        <f>'Temp&amp;Hum_Download'!Z3</f>
        <v>36.473064994950349</v>
      </c>
    </row>
    <row r="5" spans="1:16" ht="22.95" customHeight="1" x14ac:dyDescent="0.4">
      <c r="A5" s="129"/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</row>
  </sheetData>
  <mergeCells count="1">
    <mergeCell ref="A1:M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B521-2D36-4A92-8A17-E3B5DD2C4820}">
  <dimension ref="A1:Y1064"/>
  <sheetViews>
    <sheetView tabSelected="1" zoomScale="85" zoomScaleNormal="85" workbookViewId="0">
      <pane xSplit="1" ySplit="3" topLeftCell="K4" activePane="bottomRight" state="frozen"/>
      <selection pane="topRight" activeCell="B1" sqref="B1"/>
      <selection pane="bottomLeft" activeCell="A4" sqref="A4"/>
      <selection pane="bottomRight" activeCell="Z1" sqref="Z1"/>
    </sheetView>
  </sheetViews>
  <sheetFormatPr defaultRowHeight="17.399999999999999" x14ac:dyDescent="0.4"/>
  <cols>
    <col min="1" max="1" width="12.59765625" customWidth="1"/>
    <col min="2" max="2" width="23.19921875" customWidth="1"/>
    <col min="3" max="3" width="24.796875" bestFit="1" customWidth="1"/>
    <col min="4" max="4" width="23.296875" customWidth="1"/>
    <col min="5" max="5" width="16.5" style="169" customWidth="1"/>
    <col min="6" max="6" width="27.59765625" bestFit="1" customWidth="1"/>
    <col min="7" max="7" width="20.3984375" bestFit="1" customWidth="1"/>
    <col min="8" max="8" width="18.59765625" bestFit="1" customWidth="1"/>
    <col min="9" max="9" width="22.59765625" customWidth="1"/>
    <col min="10" max="10" width="11.8984375" bestFit="1" customWidth="1"/>
    <col min="12" max="12" width="21.8984375" style="4" bestFit="1" customWidth="1"/>
    <col min="13" max="13" width="21.3984375" style="4" bestFit="1" customWidth="1"/>
    <col min="14" max="14" width="11.69921875" style="169" customWidth="1"/>
    <col min="15" max="15" width="18.69921875" bestFit="1" customWidth="1"/>
    <col min="16" max="16" width="23" customWidth="1"/>
    <col min="17" max="17" width="23.19921875" bestFit="1" customWidth="1"/>
    <col min="18" max="18" width="16.296875" customWidth="1"/>
    <col min="19" max="19" width="16.5" customWidth="1"/>
    <col min="21" max="25" width="17.69921875" customWidth="1"/>
  </cols>
  <sheetData>
    <row r="1" spans="1:25" ht="34.200000000000003" customHeight="1" thickBot="1" x14ac:dyDescent="0.45">
      <c r="A1" s="130" t="s">
        <v>1703</v>
      </c>
      <c r="B1" s="131"/>
      <c r="C1" s="130"/>
      <c r="E1" s="248"/>
      <c r="F1" s="201" t="s">
        <v>1700</v>
      </c>
      <c r="G1" s="201" t="s">
        <v>1692</v>
      </c>
      <c r="H1" s="202" t="s">
        <v>1693</v>
      </c>
      <c r="I1" s="217" t="s">
        <v>1694</v>
      </c>
      <c r="J1" s="216" t="s">
        <v>1695</v>
      </c>
      <c r="L1" s="137" t="s">
        <v>504</v>
      </c>
      <c r="M1" s="166">
        <f>_xlfn.NUMBERVALUE(MID(RIGHT(A1,10),6,2))</f>
        <v>12</v>
      </c>
      <c r="N1" s="251"/>
      <c r="O1" s="18"/>
      <c r="P1" s="248"/>
      <c r="Q1" s="201" t="s">
        <v>1700</v>
      </c>
      <c r="R1" s="201" t="s">
        <v>1692</v>
      </c>
      <c r="S1" s="202" t="s">
        <v>1693</v>
      </c>
      <c r="U1" s="255" t="s">
        <v>1712</v>
      </c>
      <c r="V1" s="256" t="s">
        <v>1710</v>
      </c>
      <c r="W1" s="256" t="s">
        <v>1711</v>
      </c>
      <c r="X1" s="257" t="s">
        <v>1693</v>
      </c>
      <c r="Y1" s="258" t="s">
        <v>1709</v>
      </c>
    </row>
    <row r="2" spans="1:25" ht="25.8" customHeight="1" thickBot="1" x14ac:dyDescent="0.45">
      <c r="A2" s="170" t="s">
        <v>503</v>
      </c>
      <c r="B2" s="171"/>
      <c r="C2" s="171"/>
      <c r="D2" s="197" t="s">
        <v>1691</v>
      </c>
      <c r="E2" s="203"/>
      <c r="F2" s="245" t="e">
        <f>SUBTOTAL(109,F4:F1064)</f>
        <v>#VALUE!</v>
      </c>
      <c r="G2" s="246">
        <f>SUBTOTAL(109, G4:G1063)</f>
        <v>1113.4000000000012</v>
      </c>
      <c r="H2" s="246">
        <f>SUBTOTAL(109, H4:H1063)</f>
        <v>733.6299731182819</v>
      </c>
      <c r="I2" s="149" t="s">
        <v>1647</v>
      </c>
      <c r="L2" s="137" t="s">
        <v>1648</v>
      </c>
      <c r="M2" s="167" t="s">
        <v>1704</v>
      </c>
      <c r="O2" s="168"/>
      <c r="P2" s="243"/>
      <c r="Q2" s="253">
        <f>SUBTOTAL(109,Q4:Q1064)</f>
        <v>19.00739247311828</v>
      </c>
      <c r="R2" s="249">
        <f t="shared" ref="R2" si="0">SUBTOTAL(109,R4:R1064)</f>
        <v>35.200000000000003</v>
      </c>
      <c r="S2" s="253">
        <f>R2-Q2</f>
        <v>16.192607526881723</v>
      </c>
      <c r="U2" s="302" t="s">
        <v>1713</v>
      </c>
      <c r="V2" s="301">
        <v>35.200000000000003</v>
      </c>
      <c r="W2" s="259">
        <v>19.00739247311828</v>
      </c>
      <c r="X2" s="260">
        <f>V2-W2</f>
        <v>16.192607526881723</v>
      </c>
      <c r="Y2" s="303" t="str">
        <f>IF(SIGN(X2)&gt;=0,IF(W2=0,"미사용 랙","적정 사용"),"사용초과")</f>
        <v>적정 사용</v>
      </c>
    </row>
    <row r="3" spans="1:25" ht="30" customHeight="1" thickBot="1" x14ac:dyDescent="0.45">
      <c r="A3" s="209" t="s">
        <v>1650</v>
      </c>
      <c r="B3" s="210" t="s">
        <v>1651</v>
      </c>
      <c r="C3" s="210" t="s">
        <v>1652</v>
      </c>
      <c r="D3" s="211" t="s">
        <v>1653</v>
      </c>
      <c r="E3" s="212" t="s">
        <v>1654</v>
      </c>
      <c r="F3" s="213" t="s">
        <v>1655</v>
      </c>
      <c r="G3" s="214" t="s">
        <v>1656</v>
      </c>
      <c r="H3" s="250" t="s">
        <v>1657</v>
      </c>
      <c r="I3" s="215" t="s">
        <v>731</v>
      </c>
      <c r="L3" s="209" t="s">
        <v>1650</v>
      </c>
      <c r="M3" s="210" t="s">
        <v>1651</v>
      </c>
      <c r="N3" s="210" t="s">
        <v>1652</v>
      </c>
      <c r="O3" s="211" t="s">
        <v>1653</v>
      </c>
      <c r="P3" s="212" t="s">
        <v>1654</v>
      </c>
      <c r="Q3" s="213" t="s">
        <v>1655</v>
      </c>
      <c r="R3" s="214" t="s">
        <v>1656</v>
      </c>
      <c r="S3" s="250" t="s">
        <v>1657</v>
      </c>
    </row>
    <row r="4" spans="1:25" ht="18" thickBot="1" x14ac:dyDescent="0.45">
      <c r="A4" s="242" t="s">
        <v>300</v>
      </c>
      <c r="B4" s="204" t="s">
        <v>732</v>
      </c>
      <c r="C4" s="242"/>
      <c r="D4" s="205" t="s">
        <v>1696</v>
      </c>
      <c r="E4" s="206">
        <v>259.5</v>
      </c>
      <c r="F4" s="244">
        <f>E4/(24*31)</f>
        <v>0.34879032258064518</v>
      </c>
      <c r="G4" s="207">
        <v>4</v>
      </c>
      <c r="H4" s="208">
        <f>IFERROR(G4-F4, "")</f>
        <v>3.651209677419355</v>
      </c>
      <c r="I4" s="165"/>
      <c r="L4" s="168" t="str" cm="1">
        <f t="array" ref="L4:S31">IF(M2="", "", _xlfn._xlws.FILTER(A4:H1064, ISNUMBER(SEARCH(M2,D4:D1064)), "찾을 수 없음"))</f>
        <v>K 2-4</v>
      </c>
      <c r="M4" s="168" t="str">
        <v>G2103</v>
      </c>
      <c r="N4" s="169">
        <v>0</v>
      </c>
      <c r="O4" s="247" t="str">
        <v>Settle Bank Co., Ltd.</v>
      </c>
      <c r="P4">
        <v>0</v>
      </c>
      <c r="Q4" s="252">
        <v>0</v>
      </c>
      <c r="R4">
        <v>8.8000000000000007</v>
      </c>
      <c r="S4">
        <v>8.8000000000000007</v>
      </c>
    </row>
    <row r="5" spans="1:25" ht="18" thickBot="1" x14ac:dyDescent="0.45">
      <c r="A5" s="233"/>
      <c r="B5" s="139" t="s">
        <v>734</v>
      </c>
      <c r="C5" s="233"/>
      <c r="D5" s="134" t="s">
        <v>733</v>
      </c>
      <c r="E5" s="198">
        <v>244.4</v>
      </c>
      <c r="F5" s="244">
        <f t="shared" ref="F5:F68" si="1">E5/(24*31)</f>
        <v>0.32849462365591398</v>
      </c>
      <c r="G5" s="172">
        <v>4</v>
      </c>
      <c r="H5" s="208">
        <f t="shared" ref="H5:H68" si="2">IFERROR(G5-F5, "")</f>
        <v>3.6715053763440859</v>
      </c>
      <c r="I5" t="s">
        <v>768</v>
      </c>
      <c r="L5" s="168">
        <v>0</v>
      </c>
      <c r="M5" s="168" t="str">
        <v>G2104</v>
      </c>
      <c r="N5" s="169">
        <v>0</v>
      </c>
      <c r="O5" t="str">
        <v>Settle Bank Co., Ltd.</v>
      </c>
      <c r="P5">
        <v>3724.7</v>
      </c>
      <c r="Q5" s="252">
        <v>5.0063172043010749</v>
      </c>
      <c r="R5">
        <v>0</v>
      </c>
      <c r="S5">
        <v>-5.0063172043010749</v>
      </c>
    </row>
    <row r="6" spans="1:25" ht="18" thickBot="1" x14ac:dyDescent="0.45">
      <c r="A6" s="233" t="s">
        <v>301</v>
      </c>
      <c r="B6" s="140"/>
      <c r="C6" s="233"/>
      <c r="D6" s="134" t="s">
        <v>774</v>
      </c>
      <c r="E6" s="198">
        <v>432.7</v>
      </c>
      <c r="F6" s="244">
        <f t="shared" si="1"/>
        <v>0.5815860215053763</v>
      </c>
      <c r="G6" s="172" t="s">
        <v>1658</v>
      </c>
      <c r="H6" s="208" t="str">
        <f t="shared" si="2"/>
        <v/>
      </c>
      <c r="L6" s="168">
        <v>0</v>
      </c>
      <c r="M6" s="168" t="str">
        <v>G2105</v>
      </c>
      <c r="N6" s="169">
        <v>0</v>
      </c>
      <c r="O6" t="str">
        <v>Settle Bank Co., Ltd.</v>
      </c>
      <c r="P6">
        <v>0</v>
      </c>
      <c r="Q6" s="252">
        <v>0</v>
      </c>
      <c r="R6">
        <v>0</v>
      </c>
      <c r="S6">
        <v>0</v>
      </c>
    </row>
    <row r="7" spans="1:25" ht="18" thickBot="1" x14ac:dyDescent="0.45">
      <c r="A7" s="233"/>
      <c r="B7" s="140"/>
      <c r="C7" s="233"/>
      <c r="D7" s="134" t="s">
        <v>775</v>
      </c>
      <c r="E7" s="198">
        <v>13073.7</v>
      </c>
      <c r="F7" s="244">
        <f t="shared" si="1"/>
        <v>17.572177419354841</v>
      </c>
      <c r="G7" s="172" t="s">
        <v>1658</v>
      </c>
      <c r="H7" s="208" t="str">
        <f t="shared" si="2"/>
        <v/>
      </c>
      <c r="L7" s="4">
        <v>0</v>
      </c>
      <c r="M7" s="4" t="str">
        <v>G2106</v>
      </c>
      <c r="N7" s="169">
        <v>0</v>
      </c>
      <c r="O7" t="str">
        <v>Settle Bank Co., Ltd.</v>
      </c>
      <c r="P7">
        <v>0</v>
      </c>
      <c r="Q7" s="252">
        <v>0</v>
      </c>
      <c r="R7">
        <v>0</v>
      </c>
      <c r="S7">
        <v>0</v>
      </c>
    </row>
    <row r="8" spans="1:25" ht="27" thickBot="1" x14ac:dyDescent="0.45">
      <c r="A8" s="133" t="s">
        <v>302</v>
      </c>
      <c r="B8" s="133" t="s">
        <v>735</v>
      </c>
      <c r="C8" s="133"/>
      <c r="D8" s="135" t="s">
        <v>733</v>
      </c>
      <c r="E8" s="198">
        <v>6819.2</v>
      </c>
      <c r="F8" s="244">
        <f t="shared" si="1"/>
        <v>9.1655913978494628</v>
      </c>
      <c r="G8" s="172">
        <v>17.600000000000001</v>
      </c>
      <c r="H8" s="208">
        <f t="shared" si="2"/>
        <v>8.4344086021505387</v>
      </c>
      <c r="L8" s="4" t="str">
        <v>K 2-2</v>
      </c>
      <c r="M8" s="4" t="str">
        <v>G2201</v>
      </c>
      <c r="N8" s="169">
        <v>0</v>
      </c>
      <c r="O8" t="str">
        <v>Settle Bank Co., Ltd.</v>
      </c>
      <c r="P8">
        <v>0</v>
      </c>
      <c r="Q8" s="252">
        <v>0</v>
      </c>
      <c r="R8">
        <v>6.6</v>
      </c>
      <c r="S8">
        <v>6.6</v>
      </c>
    </row>
    <row r="9" spans="1:25" ht="27" thickBot="1" x14ac:dyDescent="0.45">
      <c r="A9" s="133" t="s">
        <v>303</v>
      </c>
      <c r="B9" s="133" t="s">
        <v>736</v>
      </c>
      <c r="C9" s="133"/>
      <c r="D9" s="135" t="s">
        <v>733</v>
      </c>
      <c r="E9" s="198">
        <v>10500.3</v>
      </c>
      <c r="F9" s="244">
        <f t="shared" si="1"/>
        <v>14.113306451612901</v>
      </c>
      <c r="G9" s="172">
        <v>17.600000000000001</v>
      </c>
      <c r="H9" s="208">
        <f t="shared" si="2"/>
        <v>3.4866935483871</v>
      </c>
      <c r="L9" s="4">
        <v>0</v>
      </c>
      <c r="M9" s="4" t="str">
        <v>G2203</v>
      </c>
      <c r="N9" s="169">
        <v>0</v>
      </c>
      <c r="O9" t="str">
        <v>Settle Bank Co., Ltd.</v>
      </c>
      <c r="P9">
        <v>1627.1</v>
      </c>
      <c r="Q9" s="252">
        <v>2.1869623655913979</v>
      </c>
      <c r="R9">
        <v>0</v>
      </c>
      <c r="S9">
        <v>-2.1869623655913979</v>
      </c>
    </row>
    <row r="10" spans="1:25" ht="27" thickBot="1" x14ac:dyDescent="0.45">
      <c r="A10" s="133" t="s">
        <v>304</v>
      </c>
      <c r="B10" s="133" t="s">
        <v>737</v>
      </c>
      <c r="C10" s="133"/>
      <c r="D10" s="135" t="s">
        <v>733</v>
      </c>
      <c r="E10" s="198">
        <v>11308.5</v>
      </c>
      <c r="F10" s="244">
        <f t="shared" si="1"/>
        <v>15.199596774193548</v>
      </c>
      <c r="G10" s="172">
        <v>17.600000000000001</v>
      </c>
      <c r="H10" s="208">
        <f t="shared" si="2"/>
        <v>2.4004032258064534</v>
      </c>
      <c r="L10" s="4">
        <v>0</v>
      </c>
      <c r="M10" s="4" t="str">
        <v>G2205</v>
      </c>
      <c r="N10" s="169">
        <v>0</v>
      </c>
      <c r="O10" t="str">
        <v>Settle Bank Co., Ltd.</v>
      </c>
      <c r="P10">
        <v>0</v>
      </c>
      <c r="Q10" s="252">
        <v>0</v>
      </c>
      <c r="R10">
        <v>0</v>
      </c>
      <c r="S10">
        <v>0</v>
      </c>
    </row>
    <row r="11" spans="1:25" ht="27" thickBot="1" x14ac:dyDescent="0.45">
      <c r="A11" s="133" t="s">
        <v>305</v>
      </c>
      <c r="B11" s="133" t="s">
        <v>738</v>
      </c>
      <c r="C11" s="133"/>
      <c r="D11" s="135" t="s">
        <v>733</v>
      </c>
      <c r="E11" s="198">
        <v>13280</v>
      </c>
      <c r="F11" s="244">
        <f t="shared" si="1"/>
        <v>17.849462365591396</v>
      </c>
      <c r="G11" s="172">
        <v>17.600000000000001</v>
      </c>
      <c r="H11" s="208">
        <f t="shared" si="2"/>
        <v>-0.24946236559139479</v>
      </c>
      <c r="L11" s="4" t="str">
        <v>K 2-3</v>
      </c>
      <c r="M11" s="4" t="str">
        <v>G2202</v>
      </c>
      <c r="N11" s="169">
        <v>0</v>
      </c>
      <c r="O11" t="str">
        <v>Settle Bank Co., Ltd.</v>
      </c>
      <c r="P11">
        <v>0</v>
      </c>
      <c r="Q11" s="252">
        <v>0</v>
      </c>
      <c r="R11">
        <v>6.6</v>
      </c>
      <c r="S11">
        <v>6.6</v>
      </c>
    </row>
    <row r="12" spans="1:25" ht="27" thickBot="1" x14ac:dyDescent="0.45">
      <c r="A12" s="133" t="s">
        <v>306</v>
      </c>
      <c r="B12" s="133" t="s">
        <v>739</v>
      </c>
      <c r="C12" s="133"/>
      <c r="D12" s="135" t="s">
        <v>733</v>
      </c>
      <c r="E12" s="198">
        <v>11444.599999999999</v>
      </c>
      <c r="F12" s="244">
        <f t="shared" si="1"/>
        <v>15.382526881720429</v>
      </c>
      <c r="G12" s="172">
        <v>17.600000000000001</v>
      </c>
      <c r="H12" s="208">
        <f t="shared" si="2"/>
        <v>2.2174731182795728</v>
      </c>
      <c r="L12" s="4">
        <v>0</v>
      </c>
      <c r="M12" s="4" t="str">
        <v>G2204</v>
      </c>
      <c r="N12" s="169">
        <v>0</v>
      </c>
      <c r="O12" t="str">
        <v>Settle Bank Co., Ltd.</v>
      </c>
      <c r="P12">
        <v>2022.8000000000002</v>
      </c>
      <c r="Q12" s="252">
        <v>2.7188172043010757</v>
      </c>
      <c r="R12">
        <v>0</v>
      </c>
      <c r="S12">
        <v>-2.7188172043010757</v>
      </c>
    </row>
    <row r="13" spans="1:25" ht="27" thickBot="1" x14ac:dyDescent="0.45">
      <c r="A13" s="133" t="s">
        <v>307</v>
      </c>
      <c r="B13" s="133" t="s">
        <v>740</v>
      </c>
      <c r="C13" s="133"/>
      <c r="D13" s="135" t="s">
        <v>733</v>
      </c>
      <c r="E13" s="198">
        <v>11480.099999999999</v>
      </c>
      <c r="F13" s="244">
        <f t="shared" si="1"/>
        <v>15.430241935483869</v>
      </c>
      <c r="G13" s="172">
        <v>17.600000000000001</v>
      </c>
      <c r="H13" s="208">
        <f t="shared" si="2"/>
        <v>2.1697580645161327</v>
      </c>
      <c r="L13" s="4">
        <v>0</v>
      </c>
      <c r="M13" s="4" t="str">
        <v>G2206</v>
      </c>
      <c r="N13" s="169">
        <v>0</v>
      </c>
      <c r="O13" t="str">
        <v>Settle Bank Co., Ltd.</v>
      </c>
      <c r="P13">
        <v>0</v>
      </c>
      <c r="Q13" s="252">
        <v>0</v>
      </c>
      <c r="R13">
        <v>0</v>
      </c>
      <c r="S13">
        <v>0</v>
      </c>
    </row>
    <row r="14" spans="1:25" ht="18" thickBot="1" x14ac:dyDescent="0.45">
      <c r="A14" s="173"/>
      <c r="B14" s="174"/>
      <c r="C14" s="174"/>
      <c r="D14" s="175"/>
      <c r="E14" s="198">
        <v>9046.9</v>
      </c>
      <c r="F14" s="244">
        <f t="shared" si="1"/>
        <v>12.15981182795699</v>
      </c>
      <c r="G14" s="172" t="s">
        <v>1658</v>
      </c>
      <c r="H14" s="208" t="str">
        <f t="shared" si="2"/>
        <v/>
      </c>
      <c r="L14" s="4" t="str">
        <v>K 2-1</v>
      </c>
      <c r="M14" s="4" t="str">
        <v>G2301</v>
      </c>
      <c r="N14" s="169">
        <v>0</v>
      </c>
      <c r="O14" t="str">
        <v>Settle Bank Co., Ltd.</v>
      </c>
      <c r="P14">
        <v>0</v>
      </c>
      <c r="Q14" s="252">
        <v>0</v>
      </c>
      <c r="R14">
        <v>13.2</v>
      </c>
      <c r="S14">
        <v>13.2</v>
      </c>
    </row>
    <row r="15" spans="1:25" ht="18" thickBot="1" x14ac:dyDescent="0.45">
      <c r="A15" s="241" t="s">
        <v>329</v>
      </c>
      <c r="B15" s="234" t="s">
        <v>1663</v>
      </c>
      <c r="C15" s="241"/>
      <c r="D15" s="136" t="s">
        <v>741</v>
      </c>
      <c r="E15" s="198">
        <v>0</v>
      </c>
      <c r="F15" s="244">
        <f t="shared" si="1"/>
        <v>0</v>
      </c>
      <c r="G15" s="172">
        <v>13.200000000000001</v>
      </c>
      <c r="H15" s="208">
        <f t="shared" si="2"/>
        <v>13.200000000000001</v>
      </c>
      <c r="L15" s="4">
        <v>0</v>
      </c>
      <c r="M15" s="4" t="str">
        <v>G2302</v>
      </c>
      <c r="N15" s="169">
        <v>0</v>
      </c>
      <c r="O15" t="str">
        <v>Settle Bank Co., Ltd.</v>
      </c>
      <c r="P15">
        <v>6766.9</v>
      </c>
      <c r="Q15" s="252">
        <v>9.0952956989247316</v>
      </c>
      <c r="R15">
        <v>0</v>
      </c>
      <c r="S15">
        <v>-9.0952956989247316</v>
      </c>
    </row>
    <row r="16" spans="1:25" ht="18" thickBot="1" x14ac:dyDescent="0.45">
      <c r="A16" s="241"/>
      <c r="B16" s="234" t="s">
        <v>488</v>
      </c>
      <c r="C16" s="241"/>
      <c r="D16" s="136" t="s">
        <v>741</v>
      </c>
      <c r="E16" s="198">
        <v>10569.6</v>
      </c>
      <c r="F16" s="244">
        <f t="shared" si="1"/>
        <v>14.206451612903226</v>
      </c>
      <c r="G16" s="172">
        <v>0</v>
      </c>
      <c r="H16" s="208">
        <f t="shared" si="2"/>
        <v>-14.206451612903226</v>
      </c>
      <c r="L16" s="4">
        <v>0</v>
      </c>
      <c r="M16" s="4" t="str">
        <v>G2303</v>
      </c>
      <c r="N16" s="169">
        <v>0</v>
      </c>
      <c r="O16" t="str">
        <v>Settle Bank Co., Ltd.</v>
      </c>
      <c r="P16">
        <v>0</v>
      </c>
      <c r="Q16" s="252">
        <v>0</v>
      </c>
      <c r="R16">
        <v>0</v>
      </c>
      <c r="S16">
        <v>0</v>
      </c>
    </row>
    <row r="17" spans="1:19" ht="18" thickBot="1" x14ac:dyDescent="0.45">
      <c r="A17" s="241"/>
      <c r="B17" s="234" t="s">
        <v>489</v>
      </c>
      <c r="C17" s="241"/>
      <c r="D17" s="136" t="s">
        <v>741</v>
      </c>
      <c r="E17" s="198">
        <v>0</v>
      </c>
      <c r="F17" s="244">
        <f t="shared" si="1"/>
        <v>0</v>
      </c>
      <c r="G17" s="172">
        <v>0</v>
      </c>
      <c r="H17" s="208">
        <f t="shared" si="2"/>
        <v>0</v>
      </c>
      <c r="L17" s="4">
        <v>0</v>
      </c>
      <c r="M17" s="4" t="str">
        <v>G2304</v>
      </c>
      <c r="N17" s="169">
        <v>0</v>
      </c>
      <c r="O17" t="str">
        <v>Settle Bank Co., Ltd.</v>
      </c>
      <c r="P17">
        <v>0</v>
      </c>
      <c r="Q17" s="252">
        <v>0</v>
      </c>
      <c r="R17">
        <v>0</v>
      </c>
      <c r="S17">
        <v>0</v>
      </c>
    </row>
    <row r="18" spans="1:19" ht="18" thickBot="1" x14ac:dyDescent="0.45">
      <c r="A18" s="241"/>
      <c r="B18" s="234" t="s">
        <v>490</v>
      </c>
      <c r="C18" s="241"/>
      <c r="D18" s="136" t="s">
        <v>741</v>
      </c>
      <c r="E18" s="198">
        <v>0</v>
      </c>
      <c r="F18" s="244">
        <f t="shared" si="1"/>
        <v>0</v>
      </c>
      <c r="G18" s="172">
        <v>0</v>
      </c>
      <c r="H18" s="208">
        <f t="shared" si="2"/>
        <v>0</v>
      </c>
      <c r="L18" s="4">
        <v>0</v>
      </c>
      <c r="M18" s="4" t="str">
        <v>G2305</v>
      </c>
      <c r="N18" s="169">
        <v>0</v>
      </c>
      <c r="O18" t="str">
        <v>Settle Bank Co., Ltd.</v>
      </c>
      <c r="P18">
        <v>0</v>
      </c>
      <c r="Q18" s="252">
        <v>0</v>
      </c>
      <c r="R18">
        <v>0</v>
      </c>
      <c r="S18">
        <v>0</v>
      </c>
    </row>
    <row r="19" spans="1:19" ht="18" thickBot="1" x14ac:dyDescent="0.45">
      <c r="A19" s="241"/>
      <c r="B19" s="234" t="s">
        <v>491</v>
      </c>
      <c r="C19" s="241"/>
      <c r="D19" s="136" t="s">
        <v>741</v>
      </c>
      <c r="E19" s="198">
        <v>0</v>
      </c>
      <c r="F19" s="244">
        <f t="shared" si="1"/>
        <v>0</v>
      </c>
      <c r="G19" s="172">
        <v>0</v>
      </c>
      <c r="H19" s="208">
        <f t="shared" si="2"/>
        <v>0</v>
      </c>
      <c r="L19" s="4">
        <v>0</v>
      </c>
      <c r="M19" s="4" t="str">
        <v>G2306</v>
      </c>
      <c r="N19" s="169">
        <v>0</v>
      </c>
      <c r="O19" t="str">
        <v>Settle Bank Co., Ltd.</v>
      </c>
      <c r="P19">
        <v>0</v>
      </c>
      <c r="Q19" s="252">
        <v>0</v>
      </c>
      <c r="R19">
        <v>0</v>
      </c>
      <c r="S19">
        <v>0</v>
      </c>
    </row>
    <row r="20" spans="1:19" ht="18" thickBot="1" x14ac:dyDescent="0.45">
      <c r="A20" s="241"/>
      <c r="B20" s="234" t="s">
        <v>492</v>
      </c>
      <c r="C20" s="241"/>
      <c r="D20" s="136" t="s">
        <v>741</v>
      </c>
      <c r="E20" s="198">
        <v>0</v>
      </c>
      <c r="F20" s="244">
        <f t="shared" si="1"/>
        <v>0</v>
      </c>
      <c r="G20" s="172">
        <v>0</v>
      </c>
      <c r="H20" s="208">
        <f t="shared" si="2"/>
        <v>0</v>
      </c>
      <c r="L20" s="4">
        <v>0</v>
      </c>
      <c r="M20" s="4" t="str">
        <v>C605</v>
      </c>
      <c r="N20" s="169">
        <v>0</v>
      </c>
      <c r="O20" t="str">
        <v>Settle Bank Co., Ltd.</v>
      </c>
      <c r="P20">
        <v>0</v>
      </c>
      <c r="Q20" s="252">
        <v>0</v>
      </c>
      <c r="R20">
        <v>0</v>
      </c>
      <c r="S20">
        <v>0</v>
      </c>
    </row>
    <row r="21" spans="1:19" ht="18" thickBot="1" x14ac:dyDescent="0.45">
      <c r="A21" s="241" t="s">
        <v>331</v>
      </c>
      <c r="B21" s="234" t="s">
        <v>1664</v>
      </c>
      <c r="C21" s="241"/>
      <c r="D21" s="136" t="s">
        <v>741</v>
      </c>
      <c r="E21" s="198">
        <v>0</v>
      </c>
      <c r="F21" s="244">
        <f t="shared" si="1"/>
        <v>0</v>
      </c>
      <c r="G21" s="172">
        <v>6.6</v>
      </c>
      <c r="H21" s="208">
        <f t="shared" si="2"/>
        <v>6.6</v>
      </c>
      <c r="L21" s="4">
        <v>0</v>
      </c>
      <c r="M21" s="4" t="str">
        <v>C606</v>
      </c>
      <c r="N21" s="169">
        <v>0</v>
      </c>
      <c r="O21" t="str">
        <v>Settle Bank Co., Ltd.</v>
      </c>
      <c r="P21">
        <v>0</v>
      </c>
      <c r="Q21" s="252">
        <v>0</v>
      </c>
      <c r="R21">
        <v>0</v>
      </c>
      <c r="S21">
        <v>0</v>
      </c>
    </row>
    <row r="22" spans="1:19" ht="18" thickBot="1" x14ac:dyDescent="0.45">
      <c r="A22" s="241"/>
      <c r="B22" s="234" t="s">
        <v>498</v>
      </c>
      <c r="C22" s="241"/>
      <c r="D22" s="136" t="s">
        <v>741</v>
      </c>
      <c r="E22" s="198">
        <v>3982.5</v>
      </c>
      <c r="F22" s="244">
        <f t="shared" si="1"/>
        <v>5.352822580645161</v>
      </c>
      <c r="G22" s="172">
        <v>0</v>
      </c>
      <c r="H22" s="208">
        <f t="shared" si="2"/>
        <v>-5.352822580645161</v>
      </c>
      <c r="L22" s="4">
        <v>0</v>
      </c>
      <c r="M22" s="4" t="str">
        <v>C608</v>
      </c>
      <c r="N22" s="169">
        <v>0</v>
      </c>
      <c r="O22" t="str">
        <v>Settle Bank Co., Ltd.</v>
      </c>
      <c r="P22">
        <v>0</v>
      </c>
      <c r="Q22" s="252">
        <v>0</v>
      </c>
      <c r="R22">
        <v>0</v>
      </c>
      <c r="S22">
        <v>0</v>
      </c>
    </row>
    <row r="23" spans="1:19" ht="18" thickBot="1" x14ac:dyDescent="0.45">
      <c r="A23" s="241"/>
      <c r="B23" s="234" t="s">
        <v>1665</v>
      </c>
      <c r="C23" s="241"/>
      <c r="D23" s="136" t="s">
        <v>741</v>
      </c>
      <c r="E23" s="198">
        <v>0</v>
      </c>
      <c r="F23" s="244">
        <f t="shared" si="1"/>
        <v>0</v>
      </c>
      <c r="G23" s="172">
        <v>0</v>
      </c>
      <c r="H23" s="208">
        <f t="shared" si="2"/>
        <v>0</v>
      </c>
      <c r="L23" s="4">
        <v>0</v>
      </c>
      <c r="M23" s="4" t="str">
        <v>C609</v>
      </c>
      <c r="N23" s="169">
        <v>0</v>
      </c>
      <c r="O23" t="str">
        <v>Settle Bank Co., Ltd.</v>
      </c>
      <c r="P23">
        <v>0</v>
      </c>
      <c r="Q23" s="252">
        <v>0</v>
      </c>
      <c r="R23">
        <v>0</v>
      </c>
      <c r="S23">
        <v>0</v>
      </c>
    </row>
    <row r="24" spans="1:19" ht="18" thickBot="1" x14ac:dyDescent="0.45">
      <c r="A24" s="241" t="s">
        <v>330</v>
      </c>
      <c r="B24" s="234" t="s">
        <v>571</v>
      </c>
      <c r="C24" s="241"/>
      <c r="D24" s="136" t="s">
        <v>741</v>
      </c>
      <c r="E24" s="198">
        <v>0</v>
      </c>
      <c r="F24" s="244">
        <f t="shared" si="1"/>
        <v>0</v>
      </c>
      <c r="G24" s="172">
        <v>11</v>
      </c>
      <c r="H24" s="208">
        <f t="shared" si="2"/>
        <v>11</v>
      </c>
      <c r="L24" s="4">
        <v>0</v>
      </c>
      <c r="M24" s="4" t="str">
        <v>C709</v>
      </c>
      <c r="N24" s="169">
        <v>0</v>
      </c>
      <c r="O24" t="str">
        <v>Settle Bank Co., Ltd.</v>
      </c>
      <c r="P24">
        <v>0</v>
      </c>
      <c r="Q24" s="252">
        <v>0</v>
      </c>
      <c r="R24">
        <v>0</v>
      </c>
      <c r="S24">
        <v>0</v>
      </c>
    </row>
    <row r="25" spans="1:19" ht="18" thickBot="1" x14ac:dyDescent="0.45">
      <c r="A25" s="241"/>
      <c r="B25" s="234" t="s">
        <v>493</v>
      </c>
      <c r="C25" s="241"/>
      <c r="D25" s="136" t="s">
        <v>741</v>
      </c>
      <c r="E25" s="198">
        <v>3046.1</v>
      </c>
      <c r="F25" s="244">
        <f t="shared" si="1"/>
        <v>4.0942204301075265</v>
      </c>
      <c r="G25" s="172">
        <v>0</v>
      </c>
      <c r="H25" s="208">
        <f t="shared" si="2"/>
        <v>-4.0942204301075265</v>
      </c>
      <c r="L25" s="4">
        <v>0</v>
      </c>
      <c r="M25" s="4" t="str">
        <v>C710</v>
      </c>
      <c r="N25" s="169">
        <v>0</v>
      </c>
      <c r="O25" t="str">
        <v>Settle Bank Co., Ltd.</v>
      </c>
      <c r="P25">
        <v>0</v>
      </c>
      <c r="Q25" s="252">
        <v>0</v>
      </c>
      <c r="R25">
        <v>0</v>
      </c>
      <c r="S25">
        <v>0</v>
      </c>
    </row>
    <row r="26" spans="1:19" ht="18" thickBot="1" x14ac:dyDescent="0.45">
      <c r="A26" s="241"/>
      <c r="B26" s="234" t="s">
        <v>494</v>
      </c>
      <c r="C26" s="241"/>
      <c r="D26" s="136" t="s">
        <v>741</v>
      </c>
      <c r="E26" s="198">
        <v>0</v>
      </c>
      <c r="F26" s="244">
        <f t="shared" si="1"/>
        <v>0</v>
      </c>
      <c r="G26" s="172">
        <v>0</v>
      </c>
      <c r="H26" s="208">
        <f t="shared" si="2"/>
        <v>0</v>
      </c>
      <c r="L26" s="4">
        <v>0</v>
      </c>
      <c r="M26" s="4" t="str">
        <v>C711</v>
      </c>
      <c r="N26" s="169">
        <v>0</v>
      </c>
      <c r="O26" t="str">
        <v>Settle Bank Co., Ltd.</v>
      </c>
      <c r="P26">
        <v>0</v>
      </c>
      <c r="Q26" s="252">
        <v>0</v>
      </c>
      <c r="R26">
        <v>0</v>
      </c>
      <c r="S26">
        <v>0</v>
      </c>
    </row>
    <row r="27" spans="1:19" ht="18" thickBot="1" x14ac:dyDescent="0.45">
      <c r="A27" s="241"/>
      <c r="B27" s="234" t="s">
        <v>495</v>
      </c>
      <c r="C27" s="241"/>
      <c r="D27" s="136" t="s">
        <v>741</v>
      </c>
      <c r="E27" s="198">
        <v>0</v>
      </c>
      <c r="F27" s="244">
        <f t="shared" si="1"/>
        <v>0</v>
      </c>
      <c r="G27" s="172">
        <v>0</v>
      </c>
      <c r="H27" s="208">
        <f t="shared" si="2"/>
        <v>0</v>
      </c>
      <c r="L27" s="4">
        <v>0</v>
      </c>
      <c r="M27" s="4" t="str">
        <v>C806</v>
      </c>
      <c r="N27" s="169">
        <v>0</v>
      </c>
      <c r="O27" t="str">
        <v>Settle Bank Co., Ltd.</v>
      </c>
      <c r="P27">
        <v>0</v>
      </c>
      <c r="Q27" s="252">
        <v>0</v>
      </c>
      <c r="R27">
        <v>0</v>
      </c>
      <c r="S27">
        <v>0</v>
      </c>
    </row>
    <row r="28" spans="1:19" ht="18" thickBot="1" x14ac:dyDescent="0.45">
      <c r="A28" s="241"/>
      <c r="B28" s="234" t="s">
        <v>496</v>
      </c>
      <c r="C28" s="241"/>
      <c r="D28" s="136" t="s">
        <v>741</v>
      </c>
      <c r="E28" s="198">
        <v>0</v>
      </c>
      <c r="F28" s="244">
        <f t="shared" si="1"/>
        <v>0</v>
      </c>
      <c r="G28" s="172">
        <v>0</v>
      </c>
      <c r="H28" s="208">
        <f t="shared" si="2"/>
        <v>0</v>
      </c>
      <c r="L28" s="4">
        <v>0</v>
      </c>
      <c r="M28" s="4" t="str">
        <v>C807</v>
      </c>
      <c r="N28" s="169">
        <v>0</v>
      </c>
      <c r="O28" t="str">
        <v>Settle Bank Co., Ltd.</v>
      </c>
      <c r="P28">
        <v>0</v>
      </c>
      <c r="Q28" s="252">
        <v>0</v>
      </c>
      <c r="R28">
        <v>0</v>
      </c>
      <c r="S28">
        <v>0</v>
      </c>
    </row>
    <row r="29" spans="1:19" ht="18" thickBot="1" x14ac:dyDescent="0.45">
      <c r="A29" s="241" t="s">
        <v>332</v>
      </c>
      <c r="B29" s="234" t="s">
        <v>1666</v>
      </c>
      <c r="C29" s="241"/>
      <c r="D29" s="136" t="s">
        <v>741</v>
      </c>
      <c r="E29" s="198">
        <v>0</v>
      </c>
      <c r="F29" s="244">
        <f t="shared" si="1"/>
        <v>0</v>
      </c>
      <c r="G29" s="172">
        <v>13.2</v>
      </c>
      <c r="H29" s="208">
        <f t="shared" si="2"/>
        <v>13.2</v>
      </c>
      <c r="L29" s="4">
        <v>0</v>
      </c>
      <c r="M29" s="4" t="str">
        <v>C808</v>
      </c>
      <c r="N29" s="169">
        <v>0</v>
      </c>
      <c r="O29" t="str">
        <v>Settle Bank Co., Ltd.</v>
      </c>
      <c r="P29">
        <v>0</v>
      </c>
      <c r="Q29" s="252">
        <v>0</v>
      </c>
      <c r="R29">
        <v>0</v>
      </c>
      <c r="S29">
        <v>0</v>
      </c>
    </row>
    <row r="30" spans="1:19" ht="18" thickBot="1" x14ac:dyDescent="0.45">
      <c r="A30" s="241"/>
      <c r="B30" s="234" t="s">
        <v>1667</v>
      </c>
      <c r="C30" s="241"/>
      <c r="D30" s="136" t="s">
        <v>741</v>
      </c>
      <c r="E30" s="198">
        <v>9341.6</v>
      </c>
      <c r="F30" s="244">
        <f t="shared" si="1"/>
        <v>12.555913978494624</v>
      </c>
      <c r="G30" s="172">
        <v>0</v>
      </c>
      <c r="H30" s="208">
        <f t="shared" si="2"/>
        <v>-12.555913978494624</v>
      </c>
      <c r="L30" s="4">
        <v>0</v>
      </c>
      <c r="M30" s="4" t="str">
        <v>C809</v>
      </c>
      <c r="N30" s="169">
        <v>0</v>
      </c>
      <c r="O30" t="str">
        <v>Settle Bank Co., Ltd.</v>
      </c>
      <c r="P30">
        <v>0</v>
      </c>
      <c r="Q30" s="252">
        <v>0</v>
      </c>
      <c r="R30">
        <v>0</v>
      </c>
      <c r="S30">
        <v>0</v>
      </c>
    </row>
    <row r="31" spans="1:19" ht="18" thickBot="1" x14ac:dyDescent="0.45">
      <c r="A31" s="241"/>
      <c r="B31" s="234" t="s">
        <v>499</v>
      </c>
      <c r="C31" s="241"/>
      <c r="D31" s="136" t="s">
        <v>741</v>
      </c>
      <c r="E31" s="198">
        <v>0</v>
      </c>
      <c r="F31" s="244">
        <f t="shared" si="1"/>
        <v>0</v>
      </c>
      <c r="G31" s="172">
        <v>0</v>
      </c>
      <c r="H31" s="208">
        <f t="shared" si="2"/>
        <v>0</v>
      </c>
      <c r="L31" s="4">
        <v>0</v>
      </c>
      <c r="M31" s="4" t="str">
        <v>C810</v>
      </c>
      <c r="N31" s="169">
        <v>0</v>
      </c>
      <c r="O31" t="str">
        <v>Settle Bank Co., Ltd.</v>
      </c>
      <c r="P31">
        <v>0</v>
      </c>
      <c r="Q31" s="252">
        <v>0</v>
      </c>
      <c r="R31">
        <v>0</v>
      </c>
      <c r="S31">
        <v>0</v>
      </c>
    </row>
    <row r="32" spans="1:19" ht="18" thickBot="1" x14ac:dyDescent="0.45">
      <c r="A32" s="241"/>
      <c r="B32" s="234" t="s">
        <v>500</v>
      </c>
      <c r="C32" s="241"/>
      <c r="D32" s="136" t="s">
        <v>741</v>
      </c>
      <c r="E32" s="198">
        <v>0</v>
      </c>
      <c r="F32" s="244">
        <f t="shared" si="1"/>
        <v>0</v>
      </c>
      <c r="G32" s="172">
        <v>0</v>
      </c>
      <c r="H32" s="208">
        <f t="shared" si="2"/>
        <v>0</v>
      </c>
      <c r="Q32" s="252"/>
    </row>
    <row r="33" spans="1:17" ht="18" thickBot="1" x14ac:dyDescent="0.45">
      <c r="A33" s="241"/>
      <c r="B33" s="234" t="s">
        <v>501</v>
      </c>
      <c r="C33" s="241"/>
      <c r="D33" s="136" t="s">
        <v>741</v>
      </c>
      <c r="E33" s="198">
        <v>0</v>
      </c>
      <c r="F33" s="244">
        <f t="shared" si="1"/>
        <v>0</v>
      </c>
      <c r="G33" s="172">
        <v>0</v>
      </c>
      <c r="H33" s="208">
        <f t="shared" si="2"/>
        <v>0</v>
      </c>
      <c r="Q33" s="252"/>
    </row>
    <row r="34" spans="1:17" ht="18" thickBot="1" x14ac:dyDescent="0.45">
      <c r="A34" s="241"/>
      <c r="B34" s="234" t="s">
        <v>502</v>
      </c>
      <c r="C34" s="241"/>
      <c r="D34" s="136" t="s">
        <v>741</v>
      </c>
      <c r="E34" s="198">
        <v>0</v>
      </c>
      <c r="F34" s="244">
        <f t="shared" si="1"/>
        <v>0</v>
      </c>
      <c r="G34" s="172">
        <v>0</v>
      </c>
      <c r="H34" s="208">
        <f t="shared" si="2"/>
        <v>0</v>
      </c>
      <c r="Q34" s="252"/>
    </row>
    <row r="35" spans="1:17" ht="18" thickBot="1" x14ac:dyDescent="0.45">
      <c r="A35" s="241" t="s">
        <v>328</v>
      </c>
      <c r="B35" s="234" t="s">
        <v>574</v>
      </c>
      <c r="C35" s="241"/>
      <c r="D35" s="136" t="s">
        <v>1702</v>
      </c>
      <c r="E35" s="198">
        <v>0</v>
      </c>
      <c r="F35" s="244">
        <f t="shared" si="1"/>
        <v>0</v>
      </c>
      <c r="G35" s="172">
        <v>8.8000000000000007</v>
      </c>
      <c r="H35" s="208">
        <f t="shared" si="2"/>
        <v>8.8000000000000007</v>
      </c>
      <c r="Q35" s="252"/>
    </row>
    <row r="36" spans="1:17" ht="18" thickBot="1" x14ac:dyDescent="0.45">
      <c r="A36" s="241"/>
      <c r="B36" s="234" t="s">
        <v>575</v>
      </c>
      <c r="C36" s="241"/>
      <c r="D36" s="136" t="s">
        <v>742</v>
      </c>
      <c r="E36" s="198">
        <v>3724.7</v>
      </c>
      <c r="F36" s="244">
        <f t="shared" si="1"/>
        <v>5.0063172043010749</v>
      </c>
      <c r="G36" s="172">
        <v>0</v>
      </c>
      <c r="H36" s="208">
        <f t="shared" si="2"/>
        <v>-5.0063172043010749</v>
      </c>
      <c r="Q36" s="252"/>
    </row>
    <row r="37" spans="1:17" ht="18" thickBot="1" x14ac:dyDescent="0.45">
      <c r="A37" s="241"/>
      <c r="B37" s="234" t="s">
        <v>965</v>
      </c>
      <c r="C37" s="241"/>
      <c r="D37" s="136" t="s">
        <v>742</v>
      </c>
      <c r="E37" s="198">
        <v>0</v>
      </c>
      <c r="F37" s="244">
        <f t="shared" si="1"/>
        <v>0</v>
      </c>
      <c r="G37" s="172">
        <v>0</v>
      </c>
      <c r="H37" s="208">
        <f t="shared" si="2"/>
        <v>0</v>
      </c>
      <c r="Q37" s="252"/>
    </row>
    <row r="38" spans="1:17" ht="18" thickBot="1" x14ac:dyDescent="0.45">
      <c r="A38" s="241"/>
      <c r="B38" s="234" t="s">
        <v>966</v>
      </c>
      <c r="C38" s="241"/>
      <c r="D38" s="136" t="s">
        <v>742</v>
      </c>
      <c r="E38" s="198">
        <v>0</v>
      </c>
      <c r="F38" s="244">
        <f t="shared" si="1"/>
        <v>0</v>
      </c>
      <c r="G38" s="172">
        <v>0</v>
      </c>
      <c r="H38" s="208">
        <f t="shared" si="2"/>
        <v>0</v>
      </c>
      <c r="Q38" s="252"/>
    </row>
    <row r="39" spans="1:17" ht="18" thickBot="1" x14ac:dyDescent="0.45">
      <c r="A39" s="241" t="s">
        <v>326</v>
      </c>
      <c r="B39" s="234" t="s">
        <v>1668</v>
      </c>
      <c r="C39" s="241"/>
      <c r="D39" s="136" t="s">
        <v>742</v>
      </c>
      <c r="E39" s="198">
        <v>0</v>
      </c>
      <c r="F39" s="244">
        <f t="shared" si="1"/>
        <v>0</v>
      </c>
      <c r="G39" s="172">
        <v>6.6</v>
      </c>
      <c r="H39" s="208">
        <f t="shared" si="2"/>
        <v>6.6</v>
      </c>
      <c r="Q39" s="252"/>
    </row>
    <row r="40" spans="1:17" ht="18" thickBot="1" x14ac:dyDescent="0.45">
      <c r="A40" s="241"/>
      <c r="B40" s="234" t="s">
        <v>1669</v>
      </c>
      <c r="C40" s="241"/>
      <c r="D40" s="136" t="s">
        <v>742</v>
      </c>
      <c r="E40" s="198">
        <v>1627.1</v>
      </c>
      <c r="F40" s="244">
        <f t="shared" si="1"/>
        <v>2.1869623655913979</v>
      </c>
      <c r="G40" s="172">
        <v>0</v>
      </c>
      <c r="H40" s="208">
        <f t="shared" si="2"/>
        <v>-2.1869623655913979</v>
      </c>
      <c r="Q40" s="252"/>
    </row>
    <row r="41" spans="1:17" ht="18" thickBot="1" x14ac:dyDescent="0.45">
      <c r="A41" s="241"/>
      <c r="B41" s="234" t="s">
        <v>1670</v>
      </c>
      <c r="C41" s="241"/>
      <c r="D41" s="136" t="s">
        <v>742</v>
      </c>
      <c r="E41" s="198">
        <v>0</v>
      </c>
      <c r="F41" s="244">
        <f t="shared" si="1"/>
        <v>0</v>
      </c>
      <c r="G41" s="172">
        <v>0</v>
      </c>
      <c r="H41" s="208">
        <f t="shared" si="2"/>
        <v>0</v>
      </c>
      <c r="Q41" s="252"/>
    </row>
    <row r="42" spans="1:17" ht="18" thickBot="1" x14ac:dyDescent="0.45">
      <c r="A42" s="241" t="s">
        <v>327</v>
      </c>
      <c r="B42" s="234" t="s">
        <v>1671</v>
      </c>
      <c r="C42" s="241"/>
      <c r="D42" s="136" t="s">
        <v>742</v>
      </c>
      <c r="E42" s="198">
        <v>0</v>
      </c>
      <c r="F42" s="244">
        <f t="shared" si="1"/>
        <v>0</v>
      </c>
      <c r="G42" s="172">
        <v>6.6</v>
      </c>
      <c r="H42" s="208">
        <f t="shared" si="2"/>
        <v>6.6</v>
      </c>
      <c r="Q42" s="252"/>
    </row>
    <row r="43" spans="1:17" ht="18" thickBot="1" x14ac:dyDescent="0.45">
      <c r="A43" s="241"/>
      <c r="B43" s="234" t="s">
        <v>576</v>
      </c>
      <c r="C43" s="241"/>
      <c r="D43" s="136" t="s">
        <v>742</v>
      </c>
      <c r="E43" s="198">
        <v>2022.8000000000002</v>
      </c>
      <c r="F43" s="244">
        <f t="shared" si="1"/>
        <v>2.7188172043010757</v>
      </c>
      <c r="G43" s="172">
        <v>0</v>
      </c>
      <c r="H43" s="208">
        <f t="shared" si="2"/>
        <v>-2.7188172043010757</v>
      </c>
      <c r="Q43" s="252"/>
    </row>
    <row r="44" spans="1:17" ht="18" thickBot="1" x14ac:dyDescent="0.45">
      <c r="A44" s="241"/>
      <c r="B44" s="234" t="s">
        <v>1672</v>
      </c>
      <c r="C44" s="241"/>
      <c r="D44" s="136" t="s">
        <v>742</v>
      </c>
      <c r="E44" s="198">
        <v>0</v>
      </c>
      <c r="F44" s="244">
        <f t="shared" si="1"/>
        <v>0</v>
      </c>
      <c r="G44" s="172">
        <v>0</v>
      </c>
      <c r="H44" s="208">
        <f t="shared" si="2"/>
        <v>0</v>
      </c>
      <c r="Q44" s="252"/>
    </row>
    <row r="45" spans="1:17" ht="18" thickBot="1" x14ac:dyDescent="0.45">
      <c r="A45" s="241" t="s">
        <v>325</v>
      </c>
      <c r="B45" s="234" t="s">
        <v>1673</v>
      </c>
      <c r="C45" s="241"/>
      <c r="D45" s="136" t="s">
        <v>742</v>
      </c>
      <c r="E45" s="198">
        <v>0</v>
      </c>
      <c r="F45" s="244">
        <f t="shared" si="1"/>
        <v>0</v>
      </c>
      <c r="G45" s="172">
        <v>13.2</v>
      </c>
      <c r="H45" s="208">
        <f t="shared" si="2"/>
        <v>13.2</v>
      </c>
      <c r="Q45" s="252"/>
    </row>
    <row r="46" spans="1:17" ht="18" thickBot="1" x14ac:dyDescent="0.45">
      <c r="A46" s="241"/>
      <c r="B46" s="234" t="s">
        <v>1674</v>
      </c>
      <c r="C46" s="241"/>
      <c r="D46" s="136" t="s">
        <v>742</v>
      </c>
      <c r="E46" s="198">
        <v>6766.9</v>
      </c>
      <c r="F46" s="244">
        <f t="shared" si="1"/>
        <v>9.0952956989247316</v>
      </c>
      <c r="G46" s="172">
        <v>0</v>
      </c>
      <c r="H46" s="208">
        <f t="shared" si="2"/>
        <v>-9.0952956989247316</v>
      </c>
      <c r="Q46" s="252"/>
    </row>
    <row r="47" spans="1:17" ht="18" thickBot="1" x14ac:dyDescent="0.45">
      <c r="A47" s="241"/>
      <c r="B47" s="234" t="s">
        <v>1675</v>
      </c>
      <c r="C47" s="241"/>
      <c r="D47" s="136" t="s">
        <v>742</v>
      </c>
      <c r="E47" s="198">
        <v>0</v>
      </c>
      <c r="F47" s="244">
        <f t="shared" si="1"/>
        <v>0</v>
      </c>
      <c r="G47" s="172">
        <v>0</v>
      </c>
      <c r="H47" s="208">
        <f t="shared" si="2"/>
        <v>0</v>
      </c>
      <c r="Q47" s="252"/>
    </row>
    <row r="48" spans="1:17" ht="18" thickBot="1" x14ac:dyDescent="0.45">
      <c r="A48" s="241"/>
      <c r="B48" s="234" t="s">
        <v>1676</v>
      </c>
      <c r="C48" s="241"/>
      <c r="D48" s="136" t="s">
        <v>742</v>
      </c>
      <c r="E48" s="198">
        <v>0</v>
      </c>
      <c r="F48" s="244">
        <f t="shared" si="1"/>
        <v>0</v>
      </c>
      <c r="G48" s="172">
        <v>0</v>
      </c>
      <c r="H48" s="208">
        <f t="shared" si="2"/>
        <v>0</v>
      </c>
      <c r="Q48" s="252"/>
    </row>
    <row r="49" spans="1:17" ht="18" thickBot="1" x14ac:dyDescent="0.45">
      <c r="A49" s="241"/>
      <c r="B49" s="234" t="s">
        <v>1677</v>
      </c>
      <c r="C49" s="241"/>
      <c r="D49" s="136" t="s">
        <v>742</v>
      </c>
      <c r="E49" s="198">
        <v>0</v>
      </c>
      <c r="F49" s="244">
        <f t="shared" si="1"/>
        <v>0</v>
      </c>
      <c r="G49" s="172">
        <v>0</v>
      </c>
      <c r="H49" s="208">
        <f t="shared" si="2"/>
        <v>0</v>
      </c>
      <c r="Q49" s="252"/>
    </row>
    <row r="50" spans="1:17" ht="18" thickBot="1" x14ac:dyDescent="0.45">
      <c r="A50" s="241"/>
      <c r="B50" s="234" t="s">
        <v>1678</v>
      </c>
      <c r="C50" s="241"/>
      <c r="D50" s="136" t="s">
        <v>742</v>
      </c>
      <c r="E50" s="198">
        <v>0</v>
      </c>
      <c r="F50" s="244">
        <f t="shared" si="1"/>
        <v>0</v>
      </c>
      <c r="G50" s="172">
        <v>0</v>
      </c>
      <c r="H50" s="208">
        <f t="shared" si="2"/>
        <v>0</v>
      </c>
      <c r="Q50" s="252"/>
    </row>
    <row r="51" spans="1:17" ht="18" thickBot="1" x14ac:dyDescent="0.45">
      <c r="A51" s="241" t="s">
        <v>324</v>
      </c>
      <c r="B51" s="234"/>
      <c r="C51" s="241"/>
      <c r="D51" s="136"/>
      <c r="E51" s="198">
        <v>0</v>
      </c>
      <c r="F51" s="244">
        <f t="shared" si="1"/>
        <v>0</v>
      </c>
      <c r="G51" s="172" t="s">
        <v>1658</v>
      </c>
      <c r="H51" s="208" t="str">
        <f t="shared" si="2"/>
        <v/>
      </c>
      <c r="Q51" s="252"/>
    </row>
    <row r="52" spans="1:17" ht="18" thickBot="1" x14ac:dyDescent="0.45">
      <c r="A52" s="241"/>
      <c r="B52" s="234"/>
      <c r="C52" s="241"/>
      <c r="D52" s="136"/>
      <c r="E52" s="198">
        <v>0</v>
      </c>
      <c r="F52" s="244">
        <f t="shared" si="1"/>
        <v>0</v>
      </c>
      <c r="G52" s="172" t="s">
        <v>1658</v>
      </c>
      <c r="H52" s="208" t="str">
        <f t="shared" si="2"/>
        <v/>
      </c>
      <c r="Q52" s="252"/>
    </row>
    <row r="53" spans="1:17" ht="18" thickBot="1" x14ac:dyDescent="0.45">
      <c r="A53" s="241"/>
      <c r="B53" s="234"/>
      <c r="C53" s="241"/>
      <c r="D53" s="136"/>
      <c r="E53" s="198">
        <v>0</v>
      </c>
      <c r="F53" s="244">
        <f t="shared" si="1"/>
        <v>0</v>
      </c>
      <c r="G53" s="172" t="s">
        <v>1658</v>
      </c>
      <c r="H53" s="208" t="str">
        <f t="shared" si="2"/>
        <v/>
      </c>
      <c r="Q53" s="252"/>
    </row>
    <row r="54" spans="1:17" ht="18" thickBot="1" x14ac:dyDescent="0.45">
      <c r="A54" s="241" t="s">
        <v>323</v>
      </c>
      <c r="B54" s="234" t="s">
        <v>1679</v>
      </c>
      <c r="C54" s="241"/>
      <c r="D54" s="136"/>
      <c r="E54" s="198">
        <v>0</v>
      </c>
      <c r="F54" s="244">
        <f t="shared" si="1"/>
        <v>0</v>
      </c>
      <c r="G54" s="172">
        <v>0</v>
      </c>
      <c r="H54" s="208">
        <f t="shared" si="2"/>
        <v>0</v>
      </c>
      <c r="Q54" s="252"/>
    </row>
    <row r="55" spans="1:17" ht="18" thickBot="1" x14ac:dyDescent="0.45">
      <c r="A55" s="241"/>
      <c r="B55" s="234" t="s">
        <v>1680</v>
      </c>
      <c r="C55" s="241"/>
      <c r="D55" s="136"/>
      <c r="E55" s="198">
        <v>0</v>
      </c>
      <c r="F55" s="244">
        <f t="shared" si="1"/>
        <v>0</v>
      </c>
      <c r="G55" s="172">
        <v>0</v>
      </c>
      <c r="H55" s="208">
        <f t="shared" si="2"/>
        <v>0</v>
      </c>
      <c r="Q55" s="252"/>
    </row>
    <row r="56" spans="1:17" ht="18" thickBot="1" x14ac:dyDescent="0.45">
      <c r="A56" s="241"/>
      <c r="B56" s="234"/>
      <c r="C56" s="241"/>
      <c r="D56" s="136"/>
      <c r="E56" s="198">
        <v>0</v>
      </c>
      <c r="F56" s="244">
        <f t="shared" si="1"/>
        <v>0</v>
      </c>
      <c r="G56" s="172" t="s">
        <v>1658</v>
      </c>
      <c r="H56" s="208" t="str">
        <f t="shared" si="2"/>
        <v/>
      </c>
      <c r="Q56" s="252"/>
    </row>
    <row r="57" spans="1:17" ht="18" thickBot="1" x14ac:dyDescent="0.45">
      <c r="A57" s="241"/>
      <c r="B57" s="234"/>
      <c r="C57" s="241"/>
      <c r="D57" s="136"/>
      <c r="E57" s="198">
        <v>0</v>
      </c>
      <c r="F57" s="244">
        <f t="shared" si="1"/>
        <v>0</v>
      </c>
      <c r="G57" s="172" t="s">
        <v>1658</v>
      </c>
      <c r="H57" s="208" t="str">
        <f t="shared" si="2"/>
        <v/>
      </c>
      <c r="Q57" s="252"/>
    </row>
    <row r="58" spans="1:17" ht="18" thickBot="1" x14ac:dyDescent="0.45">
      <c r="A58" s="241"/>
      <c r="B58" s="234"/>
      <c r="C58" s="241"/>
      <c r="D58" s="136"/>
      <c r="E58" s="198">
        <v>0</v>
      </c>
      <c r="F58" s="244">
        <f t="shared" si="1"/>
        <v>0</v>
      </c>
      <c r="G58" s="172" t="s">
        <v>1658</v>
      </c>
      <c r="H58" s="208" t="str">
        <f t="shared" si="2"/>
        <v/>
      </c>
      <c r="Q58" s="252"/>
    </row>
    <row r="59" spans="1:17" ht="18" thickBot="1" x14ac:dyDescent="0.45">
      <c r="A59" s="241"/>
      <c r="B59" s="234"/>
      <c r="C59" s="241"/>
      <c r="D59" s="136"/>
      <c r="E59" s="198">
        <v>0</v>
      </c>
      <c r="F59" s="244">
        <f t="shared" si="1"/>
        <v>0</v>
      </c>
      <c r="G59" s="172" t="s">
        <v>1658</v>
      </c>
      <c r="H59" s="208" t="str">
        <f t="shared" si="2"/>
        <v/>
      </c>
      <c r="Q59" s="252"/>
    </row>
    <row r="60" spans="1:17" ht="18" thickBot="1" x14ac:dyDescent="0.45">
      <c r="A60" s="241"/>
      <c r="B60" s="234"/>
      <c r="C60" s="241"/>
      <c r="D60" s="136"/>
      <c r="E60" s="198">
        <v>0</v>
      </c>
      <c r="F60" s="244">
        <f t="shared" si="1"/>
        <v>0</v>
      </c>
      <c r="G60" s="172" t="s">
        <v>1658</v>
      </c>
      <c r="H60" s="208" t="str">
        <f t="shared" si="2"/>
        <v/>
      </c>
      <c r="Q60" s="252"/>
    </row>
    <row r="61" spans="1:17" ht="18" thickBot="1" x14ac:dyDescent="0.45">
      <c r="A61" s="241"/>
      <c r="B61" s="234"/>
      <c r="C61" s="241"/>
      <c r="D61" s="136"/>
      <c r="E61" s="198">
        <v>0</v>
      </c>
      <c r="F61" s="244">
        <f t="shared" si="1"/>
        <v>0</v>
      </c>
      <c r="G61" s="172" t="s">
        <v>1658</v>
      </c>
      <c r="H61" s="208" t="str">
        <f t="shared" si="2"/>
        <v/>
      </c>
      <c r="Q61" s="252"/>
    </row>
    <row r="62" spans="1:17" ht="18" thickBot="1" x14ac:dyDescent="0.45">
      <c r="A62" s="241" t="s">
        <v>322</v>
      </c>
      <c r="B62" s="234" t="s">
        <v>770</v>
      </c>
      <c r="C62" s="241"/>
      <c r="D62" s="136" t="s">
        <v>741</v>
      </c>
      <c r="E62" s="198">
        <v>0</v>
      </c>
      <c r="F62" s="244">
        <f t="shared" si="1"/>
        <v>0</v>
      </c>
      <c r="G62" s="172">
        <v>20.9</v>
      </c>
      <c r="H62" s="208">
        <f t="shared" si="2"/>
        <v>20.9</v>
      </c>
      <c r="Q62" s="252"/>
    </row>
    <row r="63" spans="1:17" ht="18" thickBot="1" x14ac:dyDescent="0.45">
      <c r="A63" s="241"/>
      <c r="B63" s="234" t="s">
        <v>477</v>
      </c>
      <c r="C63" s="241"/>
      <c r="D63" s="136"/>
      <c r="E63" s="198">
        <v>10900</v>
      </c>
      <c r="F63" s="244">
        <f t="shared" si="1"/>
        <v>14.650537634408602</v>
      </c>
      <c r="G63" s="172">
        <v>0</v>
      </c>
      <c r="H63" s="208">
        <f t="shared" si="2"/>
        <v>-14.650537634408602</v>
      </c>
    </row>
    <row r="64" spans="1:17" ht="18" thickBot="1" x14ac:dyDescent="0.45">
      <c r="A64" s="241"/>
      <c r="B64" s="234" t="s">
        <v>478</v>
      </c>
      <c r="C64" s="241"/>
      <c r="D64" s="136" t="s">
        <v>743</v>
      </c>
      <c r="E64" s="198">
        <v>0</v>
      </c>
      <c r="F64" s="244">
        <f t="shared" si="1"/>
        <v>0</v>
      </c>
      <c r="G64" s="172">
        <v>0</v>
      </c>
      <c r="H64" s="208">
        <f t="shared" si="2"/>
        <v>0</v>
      </c>
    </row>
    <row r="65" spans="1:8" ht="18" thickBot="1" x14ac:dyDescent="0.45">
      <c r="A65" s="241"/>
      <c r="B65" s="234" t="s">
        <v>479</v>
      </c>
      <c r="C65" s="241"/>
      <c r="D65" s="136" t="s">
        <v>743</v>
      </c>
      <c r="E65" s="198">
        <v>0</v>
      </c>
      <c r="F65" s="244">
        <f t="shared" si="1"/>
        <v>0</v>
      </c>
      <c r="G65" s="172">
        <v>0</v>
      </c>
      <c r="H65" s="208">
        <f t="shared" si="2"/>
        <v>0</v>
      </c>
    </row>
    <row r="66" spans="1:8" ht="18" thickBot="1" x14ac:dyDescent="0.45">
      <c r="A66" s="241"/>
      <c r="B66" s="234" t="s">
        <v>480</v>
      </c>
      <c r="C66" s="241"/>
      <c r="D66" s="136" t="s">
        <v>743</v>
      </c>
      <c r="E66" s="198">
        <v>0</v>
      </c>
      <c r="F66" s="244">
        <f t="shared" si="1"/>
        <v>0</v>
      </c>
      <c r="G66" s="172">
        <v>0</v>
      </c>
      <c r="H66" s="208">
        <f t="shared" si="2"/>
        <v>0</v>
      </c>
    </row>
    <row r="67" spans="1:8" ht="18" thickBot="1" x14ac:dyDescent="0.45">
      <c r="A67" s="241"/>
      <c r="B67" s="234" t="s">
        <v>481</v>
      </c>
      <c r="C67" s="241"/>
      <c r="D67" s="136" t="s">
        <v>743</v>
      </c>
      <c r="E67" s="198">
        <v>0</v>
      </c>
      <c r="F67" s="244">
        <f t="shared" si="1"/>
        <v>0</v>
      </c>
      <c r="G67" s="172">
        <v>0</v>
      </c>
      <c r="H67" s="208">
        <f t="shared" si="2"/>
        <v>0</v>
      </c>
    </row>
    <row r="68" spans="1:8" ht="18" thickBot="1" x14ac:dyDescent="0.45">
      <c r="A68" s="241"/>
      <c r="B68" s="234" t="s">
        <v>482</v>
      </c>
      <c r="C68" s="241"/>
      <c r="D68" s="136" t="s">
        <v>743</v>
      </c>
      <c r="E68" s="198">
        <v>0</v>
      </c>
      <c r="F68" s="244">
        <f t="shared" si="1"/>
        <v>0</v>
      </c>
      <c r="G68" s="172">
        <v>0</v>
      </c>
      <c r="H68" s="208">
        <f t="shared" si="2"/>
        <v>0</v>
      </c>
    </row>
    <row r="69" spans="1:8" ht="18" thickBot="1" x14ac:dyDescent="0.45">
      <c r="A69" s="241"/>
      <c r="B69" s="234" t="s">
        <v>483</v>
      </c>
      <c r="C69" s="241"/>
      <c r="D69" s="136" t="s">
        <v>743</v>
      </c>
      <c r="E69" s="198">
        <v>0</v>
      </c>
      <c r="F69" s="244">
        <f t="shared" ref="F69:F132" si="3">E69/(24*31)</f>
        <v>0</v>
      </c>
      <c r="G69" s="172">
        <v>0</v>
      </c>
      <c r="H69" s="208">
        <f t="shared" ref="H69:H132" si="4">IFERROR(G69-F69, "")</f>
        <v>0</v>
      </c>
    </row>
    <row r="70" spans="1:8" ht="18" thickBot="1" x14ac:dyDescent="0.45">
      <c r="A70" s="241"/>
      <c r="B70" s="234" t="s">
        <v>484</v>
      </c>
      <c r="C70" s="241"/>
      <c r="D70" s="136" t="s">
        <v>743</v>
      </c>
      <c r="E70" s="198">
        <v>0</v>
      </c>
      <c r="F70" s="244">
        <f t="shared" si="3"/>
        <v>0</v>
      </c>
      <c r="G70" s="172">
        <v>0</v>
      </c>
      <c r="H70" s="208">
        <f t="shared" si="4"/>
        <v>0</v>
      </c>
    </row>
    <row r="71" spans="1:8" ht="18" thickBot="1" x14ac:dyDescent="0.45">
      <c r="A71" s="241"/>
      <c r="B71" s="234" t="s">
        <v>485</v>
      </c>
      <c r="C71" s="241"/>
      <c r="D71" s="136" t="s">
        <v>743</v>
      </c>
      <c r="E71" s="198">
        <v>0</v>
      </c>
      <c r="F71" s="244">
        <f t="shared" si="3"/>
        <v>0</v>
      </c>
      <c r="G71" s="172">
        <v>0</v>
      </c>
      <c r="H71" s="208">
        <f t="shared" si="4"/>
        <v>0</v>
      </c>
    </row>
    <row r="72" spans="1:8" ht="18" thickBot="1" x14ac:dyDescent="0.45">
      <c r="A72" s="241" t="s">
        <v>321</v>
      </c>
      <c r="B72" s="234"/>
      <c r="C72" s="241"/>
      <c r="D72" s="136"/>
      <c r="E72" s="198">
        <v>0</v>
      </c>
      <c r="F72" s="244">
        <f t="shared" si="3"/>
        <v>0</v>
      </c>
      <c r="G72" s="172" t="s">
        <v>1658</v>
      </c>
      <c r="H72" s="208" t="str">
        <f t="shared" si="4"/>
        <v/>
      </c>
    </row>
    <row r="73" spans="1:8" ht="18" thickBot="1" x14ac:dyDescent="0.45">
      <c r="A73" s="241"/>
      <c r="B73" s="234"/>
      <c r="C73" s="241"/>
      <c r="D73" s="136"/>
      <c r="E73" s="198">
        <v>0</v>
      </c>
      <c r="F73" s="244">
        <f t="shared" si="3"/>
        <v>0</v>
      </c>
      <c r="G73" s="172" t="s">
        <v>1658</v>
      </c>
      <c r="H73" s="208" t="str">
        <f t="shared" si="4"/>
        <v/>
      </c>
    </row>
    <row r="74" spans="1:8" ht="18" thickBot="1" x14ac:dyDescent="0.45">
      <c r="A74" s="241"/>
      <c r="B74" s="234"/>
      <c r="C74" s="241"/>
      <c r="D74" s="136"/>
      <c r="E74" s="198">
        <v>0</v>
      </c>
      <c r="F74" s="244">
        <f t="shared" si="3"/>
        <v>0</v>
      </c>
      <c r="G74" s="172" t="s">
        <v>1658</v>
      </c>
      <c r="H74" s="208" t="str">
        <f t="shared" si="4"/>
        <v/>
      </c>
    </row>
    <row r="75" spans="1:8" ht="18" thickBot="1" x14ac:dyDescent="0.45">
      <c r="A75" s="241"/>
      <c r="B75" s="234"/>
      <c r="C75" s="241"/>
      <c r="D75" s="136"/>
      <c r="E75" s="198">
        <v>0</v>
      </c>
      <c r="F75" s="244">
        <f t="shared" si="3"/>
        <v>0</v>
      </c>
      <c r="G75" s="172" t="s">
        <v>1658</v>
      </c>
      <c r="H75" s="208" t="str">
        <f t="shared" si="4"/>
        <v/>
      </c>
    </row>
    <row r="76" spans="1:8" ht="18" thickBot="1" x14ac:dyDescent="0.45">
      <c r="A76" s="241"/>
      <c r="B76" s="234"/>
      <c r="C76" s="241"/>
      <c r="D76" s="136"/>
      <c r="E76" s="198">
        <v>0</v>
      </c>
      <c r="F76" s="244">
        <f t="shared" si="3"/>
        <v>0</v>
      </c>
      <c r="G76" s="172" t="s">
        <v>1658</v>
      </c>
      <c r="H76" s="208" t="str">
        <f t="shared" si="4"/>
        <v/>
      </c>
    </row>
    <row r="77" spans="1:8" ht="18" thickBot="1" x14ac:dyDescent="0.45">
      <c r="A77" s="241"/>
      <c r="B77" s="234"/>
      <c r="C77" s="241"/>
      <c r="D77" s="136"/>
      <c r="E77" s="198">
        <v>0</v>
      </c>
      <c r="F77" s="244">
        <f t="shared" si="3"/>
        <v>0</v>
      </c>
      <c r="G77" s="172" t="s">
        <v>1658</v>
      </c>
      <c r="H77" s="208" t="str">
        <f t="shared" si="4"/>
        <v/>
      </c>
    </row>
    <row r="78" spans="1:8" ht="18" thickBot="1" x14ac:dyDescent="0.45">
      <c r="A78" s="241"/>
      <c r="B78" s="234"/>
      <c r="C78" s="241"/>
      <c r="D78" s="136"/>
      <c r="E78" s="198">
        <v>0</v>
      </c>
      <c r="F78" s="244">
        <f t="shared" si="3"/>
        <v>0</v>
      </c>
      <c r="G78" s="172" t="s">
        <v>1658</v>
      </c>
      <c r="H78" s="208" t="str">
        <f t="shared" si="4"/>
        <v/>
      </c>
    </row>
    <row r="79" spans="1:8" ht="18" thickBot="1" x14ac:dyDescent="0.45">
      <c r="A79" s="241"/>
      <c r="B79" s="234"/>
      <c r="C79" s="241"/>
      <c r="D79" s="136"/>
      <c r="E79" s="198">
        <v>0</v>
      </c>
      <c r="F79" s="244">
        <f t="shared" si="3"/>
        <v>0</v>
      </c>
      <c r="G79" s="172" t="s">
        <v>1658</v>
      </c>
      <c r="H79" s="208" t="str">
        <f t="shared" si="4"/>
        <v/>
      </c>
    </row>
    <row r="80" spans="1:8" ht="18" thickBot="1" x14ac:dyDescent="0.45">
      <c r="A80" s="241"/>
      <c r="B80" s="234"/>
      <c r="C80" s="241"/>
      <c r="D80" s="136"/>
      <c r="E80" s="198">
        <v>0</v>
      </c>
      <c r="F80" s="244">
        <f t="shared" si="3"/>
        <v>0</v>
      </c>
      <c r="G80" s="172" t="s">
        <v>1658</v>
      </c>
      <c r="H80" s="208" t="str">
        <f t="shared" si="4"/>
        <v/>
      </c>
    </row>
    <row r="81" spans="1:8" ht="18" thickBot="1" x14ac:dyDescent="0.45">
      <c r="A81" s="241"/>
      <c r="B81" s="234"/>
      <c r="C81" s="241"/>
      <c r="D81" s="136"/>
      <c r="E81" s="198">
        <v>0</v>
      </c>
      <c r="F81" s="244">
        <f t="shared" si="3"/>
        <v>0</v>
      </c>
      <c r="G81" s="172" t="s">
        <v>1658</v>
      </c>
      <c r="H81" s="208" t="str">
        <f t="shared" si="4"/>
        <v/>
      </c>
    </row>
    <row r="82" spans="1:8" ht="18" thickBot="1" x14ac:dyDescent="0.45">
      <c r="A82" s="241" t="s">
        <v>320</v>
      </c>
      <c r="B82" s="234" t="s">
        <v>771</v>
      </c>
      <c r="C82" s="241"/>
      <c r="D82" s="136"/>
      <c r="E82" s="198">
        <v>0</v>
      </c>
      <c r="F82" s="244">
        <f t="shared" si="3"/>
        <v>0</v>
      </c>
      <c r="G82" s="172">
        <v>15.4</v>
      </c>
      <c r="H82" s="208">
        <f t="shared" si="4"/>
        <v>15.4</v>
      </c>
    </row>
    <row r="83" spans="1:8" ht="18" thickBot="1" x14ac:dyDescent="0.45">
      <c r="A83" s="241"/>
      <c r="B83" s="234" t="s">
        <v>467</v>
      </c>
      <c r="C83" s="241"/>
      <c r="D83" s="136" t="s">
        <v>743</v>
      </c>
      <c r="E83" s="198">
        <v>4084.4</v>
      </c>
      <c r="F83" s="244">
        <f t="shared" si="3"/>
        <v>5.4897849462365595</v>
      </c>
      <c r="G83" s="172">
        <v>0</v>
      </c>
      <c r="H83" s="208">
        <f t="shared" si="4"/>
        <v>-5.4897849462365595</v>
      </c>
    </row>
    <row r="84" spans="1:8" ht="18" thickBot="1" x14ac:dyDescent="0.45">
      <c r="A84" s="241"/>
      <c r="B84" s="234" t="s">
        <v>468</v>
      </c>
      <c r="C84" s="241"/>
      <c r="D84" s="136" t="s">
        <v>743</v>
      </c>
      <c r="E84" s="198">
        <v>0</v>
      </c>
      <c r="F84" s="244">
        <f t="shared" si="3"/>
        <v>0</v>
      </c>
      <c r="G84" s="172">
        <v>0</v>
      </c>
      <c r="H84" s="208">
        <f t="shared" si="4"/>
        <v>0</v>
      </c>
    </row>
    <row r="85" spans="1:8" ht="18" thickBot="1" x14ac:dyDescent="0.45">
      <c r="A85" s="241"/>
      <c r="B85" s="234" t="s">
        <v>469</v>
      </c>
      <c r="C85" s="241"/>
      <c r="D85" s="136"/>
      <c r="E85" s="198">
        <v>0</v>
      </c>
      <c r="F85" s="244">
        <f t="shared" si="3"/>
        <v>0</v>
      </c>
      <c r="G85" s="172">
        <v>0</v>
      </c>
      <c r="H85" s="208">
        <f t="shared" si="4"/>
        <v>0</v>
      </c>
    </row>
    <row r="86" spans="1:8" ht="18" thickBot="1" x14ac:dyDescent="0.45">
      <c r="A86" s="241"/>
      <c r="B86" s="234" t="s">
        <v>470</v>
      </c>
      <c r="C86" s="241"/>
      <c r="D86" s="136"/>
      <c r="E86" s="198">
        <v>0</v>
      </c>
      <c r="F86" s="244">
        <f t="shared" si="3"/>
        <v>0</v>
      </c>
      <c r="G86" s="172">
        <v>0</v>
      </c>
      <c r="H86" s="208">
        <f t="shared" si="4"/>
        <v>0</v>
      </c>
    </row>
    <row r="87" spans="1:8" ht="18" thickBot="1" x14ac:dyDescent="0.45">
      <c r="A87" s="241"/>
      <c r="B87" s="234" t="s">
        <v>471</v>
      </c>
      <c r="C87" s="241"/>
      <c r="D87" s="136"/>
      <c r="E87" s="198">
        <v>0</v>
      </c>
      <c r="F87" s="244">
        <f t="shared" si="3"/>
        <v>0</v>
      </c>
      <c r="G87" s="172">
        <v>0</v>
      </c>
      <c r="H87" s="208">
        <f t="shared" si="4"/>
        <v>0</v>
      </c>
    </row>
    <row r="88" spans="1:8" ht="18" thickBot="1" x14ac:dyDescent="0.45">
      <c r="A88" s="241"/>
      <c r="B88" s="234" t="s">
        <v>472</v>
      </c>
      <c r="C88" s="241"/>
      <c r="D88" s="136" t="s">
        <v>744</v>
      </c>
      <c r="E88" s="198">
        <v>0</v>
      </c>
      <c r="F88" s="244">
        <f t="shared" si="3"/>
        <v>0</v>
      </c>
      <c r="G88" s="172">
        <v>0</v>
      </c>
      <c r="H88" s="208">
        <f t="shared" si="4"/>
        <v>0</v>
      </c>
    </row>
    <row r="89" spans="1:8" ht="18" thickBot="1" x14ac:dyDescent="0.45">
      <c r="A89" s="241"/>
      <c r="B89" s="234" t="s">
        <v>473</v>
      </c>
      <c r="C89" s="241"/>
      <c r="D89" s="136" t="s">
        <v>744</v>
      </c>
      <c r="E89" s="198">
        <v>0</v>
      </c>
      <c r="F89" s="244">
        <f t="shared" si="3"/>
        <v>0</v>
      </c>
      <c r="G89" s="172">
        <v>0</v>
      </c>
      <c r="H89" s="208">
        <f t="shared" si="4"/>
        <v>0</v>
      </c>
    </row>
    <row r="90" spans="1:8" ht="18" thickBot="1" x14ac:dyDescent="0.45">
      <c r="A90" s="241"/>
      <c r="B90" s="234" t="s">
        <v>474</v>
      </c>
      <c r="C90" s="241"/>
      <c r="D90" s="136" t="s">
        <v>744</v>
      </c>
      <c r="E90" s="198">
        <v>0</v>
      </c>
      <c r="F90" s="244">
        <f t="shared" si="3"/>
        <v>0</v>
      </c>
      <c r="G90" s="172">
        <v>0</v>
      </c>
      <c r="H90" s="208">
        <f t="shared" si="4"/>
        <v>0</v>
      </c>
    </row>
    <row r="91" spans="1:8" ht="18" thickBot="1" x14ac:dyDescent="0.45">
      <c r="A91" s="241"/>
      <c r="B91" s="234" t="s">
        <v>475</v>
      </c>
      <c r="C91" s="241"/>
      <c r="D91" s="136" t="s">
        <v>745</v>
      </c>
      <c r="E91" s="198">
        <v>0</v>
      </c>
      <c r="F91" s="244">
        <f t="shared" si="3"/>
        <v>0</v>
      </c>
      <c r="G91" s="172">
        <v>0</v>
      </c>
      <c r="H91" s="208">
        <f t="shared" si="4"/>
        <v>0</v>
      </c>
    </row>
    <row r="92" spans="1:8" ht="18" thickBot="1" x14ac:dyDescent="0.45">
      <c r="A92" s="241" t="s">
        <v>319</v>
      </c>
      <c r="B92" s="234" t="s">
        <v>772</v>
      </c>
      <c r="C92" s="241"/>
      <c r="D92" s="136"/>
      <c r="E92" s="198">
        <v>0</v>
      </c>
      <c r="F92" s="244">
        <f t="shared" si="3"/>
        <v>0</v>
      </c>
      <c r="G92" s="172">
        <v>7.2</v>
      </c>
      <c r="H92" s="208">
        <f t="shared" si="4"/>
        <v>7.2</v>
      </c>
    </row>
    <row r="93" spans="1:8" ht="18" thickBot="1" x14ac:dyDescent="0.45">
      <c r="A93" s="241"/>
      <c r="B93" s="234" t="s">
        <v>457</v>
      </c>
      <c r="C93" s="241"/>
      <c r="D93" s="136"/>
      <c r="E93" s="198">
        <v>2159.8000000000002</v>
      </c>
      <c r="F93" s="244">
        <f t="shared" si="3"/>
        <v>2.9029569892473122</v>
      </c>
      <c r="G93" s="172">
        <v>0</v>
      </c>
      <c r="H93" s="208">
        <f t="shared" si="4"/>
        <v>-2.9029569892473122</v>
      </c>
    </row>
    <row r="94" spans="1:8" ht="18" thickBot="1" x14ac:dyDescent="0.45">
      <c r="A94" s="241"/>
      <c r="B94" s="234" t="s">
        <v>458</v>
      </c>
      <c r="C94" s="241"/>
      <c r="D94" s="136"/>
      <c r="E94" s="198">
        <v>0</v>
      </c>
      <c r="F94" s="244">
        <f t="shared" si="3"/>
        <v>0</v>
      </c>
      <c r="G94" s="172">
        <v>0</v>
      </c>
      <c r="H94" s="208">
        <f t="shared" si="4"/>
        <v>0</v>
      </c>
    </row>
    <row r="95" spans="1:8" ht="18" thickBot="1" x14ac:dyDescent="0.45">
      <c r="A95" s="241"/>
      <c r="B95" s="234" t="s">
        <v>459</v>
      </c>
      <c r="C95" s="241"/>
      <c r="D95" s="136" t="s">
        <v>733</v>
      </c>
      <c r="E95" s="198">
        <v>0</v>
      </c>
      <c r="F95" s="244">
        <f t="shared" si="3"/>
        <v>0</v>
      </c>
      <c r="G95" s="172">
        <v>0</v>
      </c>
      <c r="H95" s="208">
        <f t="shared" si="4"/>
        <v>0</v>
      </c>
    </row>
    <row r="96" spans="1:8" ht="18" thickBot="1" x14ac:dyDescent="0.45">
      <c r="A96" s="241"/>
      <c r="B96" s="234" t="s">
        <v>460</v>
      </c>
      <c r="C96" s="241"/>
      <c r="D96" s="136" t="s">
        <v>733</v>
      </c>
      <c r="E96" s="198">
        <v>0</v>
      </c>
      <c r="F96" s="244">
        <f t="shared" si="3"/>
        <v>0</v>
      </c>
      <c r="G96" s="172">
        <v>0</v>
      </c>
      <c r="H96" s="208">
        <f t="shared" si="4"/>
        <v>0</v>
      </c>
    </row>
    <row r="97" spans="1:8" ht="18" thickBot="1" x14ac:dyDescent="0.45">
      <c r="A97" s="241"/>
      <c r="B97" s="234" t="s">
        <v>461</v>
      </c>
      <c r="C97" s="241"/>
      <c r="D97" s="136" t="s">
        <v>745</v>
      </c>
      <c r="E97" s="198">
        <v>0</v>
      </c>
      <c r="F97" s="244">
        <f t="shared" si="3"/>
        <v>0</v>
      </c>
      <c r="G97" s="172">
        <v>0</v>
      </c>
      <c r="H97" s="208">
        <f t="shared" si="4"/>
        <v>0</v>
      </c>
    </row>
    <row r="98" spans="1:8" ht="18" thickBot="1" x14ac:dyDescent="0.45">
      <c r="A98" s="241"/>
      <c r="B98" s="234" t="s">
        <v>462</v>
      </c>
      <c r="C98" s="241"/>
      <c r="D98" s="136"/>
      <c r="E98" s="198">
        <v>0</v>
      </c>
      <c r="F98" s="244">
        <f t="shared" si="3"/>
        <v>0</v>
      </c>
      <c r="G98" s="172">
        <v>0</v>
      </c>
      <c r="H98" s="208">
        <f t="shared" si="4"/>
        <v>0</v>
      </c>
    </row>
    <row r="99" spans="1:8" ht="18" thickBot="1" x14ac:dyDescent="0.45">
      <c r="A99" s="241"/>
      <c r="B99" s="234" t="s">
        <v>463</v>
      </c>
      <c r="C99" s="241"/>
      <c r="D99" s="136" t="s">
        <v>745</v>
      </c>
      <c r="E99" s="198">
        <v>0</v>
      </c>
      <c r="F99" s="244">
        <f t="shared" si="3"/>
        <v>0</v>
      </c>
      <c r="G99" s="172">
        <v>0</v>
      </c>
      <c r="H99" s="208">
        <f t="shared" si="4"/>
        <v>0</v>
      </c>
    </row>
    <row r="100" spans="1:8" ht="18" thickBot="1" x14ac:dyDescent="0.45">
      <c r="A100" s="241"/>
      <c r="B100" s="234" t="s">
        <v>464</v>
      </c>
      <c r="C100" s="241"/>
      <c r="D100" s="136"/>
      <c r="E100" s="198">
        <v>0</v>
      </c>
      <c r="F100" s="244">
        <f t="shared" si="3"/>
        <v>0</v>
      </c>
      <c r="G100" s="172">
        <v>0</v>
      </c>
      <c r="H100" s="208">
        <f t="shared" si="4"/>
        <v>0</v>
      </c>
    </row>
    <row r="101" spans="1:8" ht="18" thickBot="1" x14ac:dyDescent="0.45">
      <c r="A101" s="218"/>
      <c r="B101" s="234" t="s">
        <v>465</v>
      </c>
      <c r="C101" s="241"/>
      <c r="D101" s="136"/>
      <c r="E101" s="198">
        <v>0</v>
      </c>
      <c r="F101" s="244">
        <f t="shared" si="3"/>
        <v>0</v>
      </c>
      <c r="G101" s="172">
        <v>0</v>
      </c>
      <c r="H101" s="208">
        <f t="shared" si="4"/>
        <v>0</v>
      </c>
    </row>
    <row r="102" spans="1:8" ht="18" thickBot="1" x14ac:dyDescent="0.45">
      <c r="A102" s="241" t="s">
        <v>318</v>
      </c>
      <c r="B102" s="234"/>
      <c r="C102" s="241"/>
      <c r="D102" s="136"/>
      <c r="E102" s="198">
        <v>0</v>
      </c>
      <c r="F102" s="244">
        <f t="shared" si="3"/>
        <v>0</v>
      </c>
      <c r="G102" s="172" t="s">
        <v>1658</v>
      </c>
      <c r="H102" s="208" t="str">
        <f t="shared" si="4"/>
        <v/>
      </c>
    </row>
    <row r="103" spans="1:8" ht="18" thickBot="1" x14ac:dyDescent="0.45">
      <c r="A103" s="241"/>
      <c r="B103" s="234"/>
      <c r="C103" s="241"/>
      <c r="D103" s="136"/>
      <c r="E103" s="198">
        <v>1773.7</v>
      </c>
      <c r="F103" s="244">
        <f t="shared" si="3"/>
        <v>2.3840053763440863</v>
      </c>
      <c r="G103" s="172" t="s">
        <v>1658</v>
      </c>
      <c r="H103" s="208" t="str">
        <f t="shared" si="4"/>
        <v/>
      </c>
    </row>
    <row r="104" spans="1:8" ht="18" thickBot="1" x14ac:dyDescent="0.45">
      <c r="A104" s="241"/>
      <c r="B104" s="234" t="s">
        <v>773</v>
      </c>
      <c r="C104" s="241"/>
      <c r="D104" s="136"/>
      <c r="E104" s="198">
        <v>0</v>
      </c>
      <c r="F104" s="244">
        <f t="shared" si="3"/>
        <v>0</v>
      </c>
      <c r="G104" s="172">
        <v>0</v>
      </c>
      <c r="H104" s="208">
        <f t="shared" si="4"/>
        <v>0</v>
      </c>
    </row>
    <row r="105" spans="1:8" ht="22.2" thickBot="1" x14ac:dyDescent="0.45">
      <c r="A105" s="241"/>
      <c r="B105" s="234" t="s">
        <v>447</v>
      </c>
      <c r="C105" s="218"/>
      <c r="D105" s="136" t="s">
        <v>746</v>
      </c>
      <c r="E105" s="198">
        <v>0</v>
      </c>
      <c r="F105" s="244">
        <f t="shared" si="3"/>
        <v>0</v>
      </c>
      <c r="G105" s="172">
        <v>0</v>
      </c>
      <c r="H105" s="208">
        <f t="shared" si="4"/>
        <v>0</v>
      </c>
    </row>
    <row r="106" spans="1:8" ht="18" thickBot="1" x14ac:dyDescent="0.45">
      <c r="A106" s="241"/>
      <c r="B106" s="234" t="s">
        <v>448</v>
      </c>
      <c r="C106" s="241"/>
      <c r="D106" s="136" t="s">
        <v>747</v>
      </c>
      <c r="E106" s="198">
        <v>0</v>
      </c>
      <c r="F106" s="244">
        <f t="shared" si="3"/>
        <v>0</v>
      </c>
      <c r="G106" s="172">
        <v>0</v>
      </c>
      <c r="H106" s="208">
        <f t="shared" si="4"/>
        <v>0</v>
      </c>
    </row>
    <row r="107" spans="1:8" ht="18" thickBot="1" x14ac:dyDescent="0.45">
      <c r="A107" s="241"/>
      <c r="B107" s="234" t="s">
        <v>449</v>
      </c>
      <c r="C107" s="241"/>
      <c r="D107" s="136" t="s">
        <v>748</v>
      </c>
      <c r="E107" s="198">
        <v>0</v>
      </c>
      <c r="F107" s="244">
        <f t="shared" si="3"/>
        <v>0</v>
      </c>
      <c r="G107" s="172">
        <v>0</v>
      </c>
      <c r="H107" s="208">
        <f t="shared" si="4"/>
        <v>0</v>
      </c>
    </row>
    <row r="108" spans="1:8" ht="18" thickBot="1" x14ac:dyDescent="0.45">
      <c r="A108" s="241"/>
      <c r="B108" s="234" t="s">
        <v>450</v>
      </c>
      <c r="C108" s="241"/>
      <c r="D108" s="136" t="s">
        <v>749</v>
      </c>
      <c r="E108" s="198">
        <v>0</v>
      </c>
      <c r="F108" s="244">
        <f t="shared" si="3"/>
        <v>0</v>
      </c>
      <c r="G108" s="172">
        <v>0</v>
      </c>
      <c r="H108" s="208">
        <f t="shared" si="4"/>
        <v>0</v>
      </c>
    </row>
    <row r="109" spans="1:8" ht="18" thickBot="1" x14ac:dyDescent="0.45">
      <c r="A109" s="241"/>
      <c r="B109" s="234" t="s">
        <v>451</v>
      </c>
      <c r="C109" s="241"/>
      <c r="D109" s="136"/>
      <c r="E109" s="198">
        <v>0</v>
      </c>
      <c r="F109" s="244">
        <f t="shared" si="3"/>
        <v>0</v>
      </c>
      <c r="G109" s="172">
        <v>0</v>
      </c>
      <c r="H109" s="208">
        <f t="shared" si="4"/>
        <v>0</v>
      </c>
    </row>
    <row r="110" spans="1:8" ht="18" thickBot="1" x14ac:dyDescent="0.45">
      <c r="A110" s="241"/>
      <c r="B110" s="234" t="s">
        <v>452</v>
      </c>
      <c r="C110" s="241"/>
      <c r="D110" s="136"/>
      <c r="E110" s="198">
        <v>0</v>
      </c>
      <c r="F110" s="244">
        <f t="shared" si="3"/>
        <v>0</v>
      </c>
      <c r="G110" s="172">
        <v>0</v>
      </c>
      <c r="H110" s="208">
        <f t="shared" si="4"/>
        <v>0</v>
      </c>
    </row>
    <row r="111" spans="1:8" ht="18" thickBot="1" x14ac:dyDescent="0.45">
      <c r="A111" s="241"/>
      <c r="B111" s="234" t="s">
        <v>453</v>
      </c>
      <c r="C111" s="218"/>
      <c r="D111" s="136" t="s">
        <v>749</v>
      </c>
      <c r="E111" s="198">
        <v>0</v>
      </c>
      <c r="F111" s="244">
        <f t="shared" si="3"/>
        <v>0</v>
      </c>
      <c r="G111" s="172">
        <v>0</v>
      </c>
      <c r="H111" s="208">
        <f t="shared" si="4"/>
        <v>0</v>
      </c>
    </row>
    <row r="112" spans="1:8" ht="18" thickBot="1" x14ac:dyDescent="0.45">
      <c r="A112" s="241"/>
      <c r="B112" s="234" t="s">
        <v>454</v>
      </c>
      <c r="C112" s="218"/>
      <c r="D112" s="136" t="s">
        <v>750</v>
      </c>
      <c r="E112" s="198">
        <v>0</v>
      </c>
      <c r="F112" s="244">
        <f t="shared" si="3"/>
        <v>0</v>
      </c>
      <c r="G112" s="172">
        <v>0</v>
      </c>
      <c r="H112" s="208">
        <f t="shared" si="4"/>
        <v>0</v>
      </c>
    </row>
    <row r="113" spans="1:8" ht="18" thickBot="1" x14ac:dyDescent="0.45">
      <c r="A113" s="241"/>
      <c r="B113" s="234" t="s">
        <v>455</v>
      </c>
      <c r="C113" s="241"/>
      <c r="D113" s="136" t="s">
        <v>751</v>
      </c>
      <c r="E113" s="198">
        <v>0</v>
      </c>
      <c r="F113" s="244">
        <f t="shared" si="3"/>
        <v>0</v>
      </c>
      <c r="G113" s="172">
        <v>0</v>
      </c>
      <c r="H113" s="208">
        <f t="shared" si="4"/>
        <v>0</v>
      </c>
    </row>
    <row r="114" spans="1:8" ht="18" thickBot="1" x14ac:dyDescent="0.45">
      <c r="A114" s="240" t="s">
        <v>317</v>
      </c>
      <c r="B114" s="234"/>
      <c r="C114" s="240"/>
      <c r="D114" s="136"/>
      <c r="E114" s="198">
        <v>0</v>
      </c>
      <c r="F114" s="244">
        <f t="shared" si="3"/>
        <v>0</v>
      </c>
      <c r="G114" s="172" t="s">
        <v>1658</v>
      </c>
      <c r="H114" s="208" t="str">
        <f t="shared" si="4"/>
        <v/>
      </c>
    </row>
    <row r="115" spans="1:8" ht="18" thickBot="1" x14ac:dyDescent="0.45">
      <c r="A115" s="240"/>
      <c r="B115" s="234"/>
      <c r="C115" s="240"/>
      <c r="D115" s="136"/>
      <c r="E115" s="198">
        <v>0</v>
      </c>
      <c r="F115" s="244">
        <f t="shared" si="3"/>
        <v>0</v>
      </c>
      <c r="G115" s="172" t="s">
        <v>1658</v>
      </c>
      <c r="H115" s="208" t="str">
        <f t="shared" si="4"/>
        <v/>
      </c>
    </row>
    <row r="116" spans="1:8" ht="18" thickBot="1" x14ac:dyDescent="0.45">
      <c r="A116" s="240"/>
      <c r="B116" s="234"/>
      <c r="C116" s="240"/>
      <c r="D116" s="136"/>
      <c r="E116" s="198">
        <v>0</v>
      </c>
      <c r="F116" s="244">
        <f t="shared" si="3"/>
        <v>0</v>
      </c>
      <c r="G116" s="172" t="s">
        <v>1658</v>
      </c>
      <c r="H116" s="208" t="str">
        <f t="shared" si="4"/>
        <v/>
      </c>
    </row>
    <row r="117" spans="1:8" ht="18" thickBot="1" x14ac:dyDescent="0.45">
      <c r="A117" s="240"/>
      <c r="B117" s="234"/>
      <c r="C117" s="240"/>
      <c r="D117" s="136"/>
      <c r="E117" s="198">
        <v>0</v>
      </c>
      <c r="F117" s="244">
        <f t="shared" si="3"/>
        <v>0</v>
      </c>
      <c r="G117" s="172" t="s">
        <v>1658</v>
      </c>
      <c r="H117" s="208" t="str">
        <f t="shared" si="4"/>
        <v/>
      </c>
    </row>
    <row r="118" spans="1:8" ht="18" thickBot="1" x14ac:dyDescent="0.45">
      <c r="A118" s="240"/>
      <c r="B118" s="234"/>
      <c r="C118" s="240"/>
      <c r="D118" s="136"/>
      <c r="E118" s="198">
        <v>0</v>
      </c>
      <c r="F118" s="244">
        <f t="shared" si="3"/>
        <v>0</v>
      </c>
      <c r="G118" s="172" t="s">
        <v>1658</v>
      </c>
      <c r="H118" s="208" t="str">
        <f t="shared" si="4"/>
        <v/>
      </c>
    </row>
    <row r="119" spans="1:8" ht="18" thickBot="1" x14ac:dyDescent="0.45">
      <c r="A119" s="240"/>
      <c r="B119" s="234"/>
      <c r="C119" s="240"/>
      <c r="D119" s="136"/>
      <c r="E119" s="198">
        <v>0</v>
      </c>
      <c r="F119" s="244">
        <f t="shared" si="3"/>
        <v>0</v>
      </c>
      <c r="G119" s="172" t="s">
        <v>1658</v>
      </c>
      <c r="H119" s="208" t="str">
        <f t="shared" si="4"/>
        <v/>
      </c>
    </row>
    <row r="120" spans="1:8" ht="18" thickBot="1" x14ac:dyDescent="0.45">
      <c r="A120" s="240"/>
      <c r="B120" s="234"/>
      <c r="C120" s="240"/>
      <c r="D120" s="136"/>
      <c r="E120" s="198">
        <v>0</v>
      </c>
      <c r="F120" s="244">
        <f t="shared" si="3"/>
        <v>0</v>
      </c>
      <c r="G120" s="172" t="s">
        <v>1658</v>
      </c>
      <c r="H120" s="208" t="str">
        <f t="shared" si="4"/>
        <v/>
      </c>
    </row>
    <row r="121" spans="1:8" ht="18" thickBot="1" x14ac:dyDescent="0.45">
      <c r="A121" s="240"/>
      <c r="B121" s="234"/>
      <c r="C121" s="240"/>
      <c r="D121" s="136"/>
      <c r="E121" s="198">
        <v>0</v>
      </c>
      <c r="F121" s="244">
        <f t="shared" si="3"/>
        <v>0</v>
      </c>
      <c r="G121" s="172" t="s">
        <v>1658</v>
      </c>
      <c r="H121" s="208" t="str">
        <f t="shared" si="4"/>
        <v/>
      </c>
    </row>
    <row r="122" spans="1:8" ht="18" thickBot="1" x14ac:dyDescent="0.45">
      <c r="A122" s="240" t="s">
        <v>316</v>
      </c>
      <c r="B122" s="234" t="s">
        <v>1681</v>
      </c>
      <c r="C122" s="240"/>
      <c r="D122" s="136"/>
      <c r="E122" s="198">
        <v>0</v>
      </c>
      <c r="F122" s="244">
        <f t="shared" si="3"/>
        <v>0</v>
      </c>
      <c r="G122" s="172">
        <v>6.6</v>
      </c>
      <c r="H122" s="208">
        <f t="shared" si="4"/>
        <v>6.6</v>
      </c>
    </row>
    <row r="123" spans="1:8" ht="18" thickBot="1" x14ac:dyDescent="0.45">
      <c r="A123" s="240"/>
      <c r="B123" s="234" t="s">
        <v>434</v>
      </c>
      <c r="C123" s="240"/>
      <c r="D123" s="136"/>
      <c r="E123" s="198">
        <v>2101.1</v>
      </c>
      <c r="F123" s="244">
        <f t="shared" si="3"/>
        <v>2.8240591397849459</v>
      </c>
      <c r="G123" s="172">
        <v>0</v>
      </c>
      <c r="H123" s="208">
        <f t="shared" si="4"/>
        <v>-2.8240591397849459</v>
      </c>
    </row>
    <row r="124" spans="1:8" ht="18" thickBot="1" x14ac:dyDescent="0.45">
      <c r="A124" s="240"/>
      <c r="B124" s="234" t="s">
        <v>435</v>
      </c>
      <c r="C124" s="240"/>
      <c r="D124" s="136"/>
      <c r="E124" s="198">
        <v>0</v>
      </c>
      <c r="F124" s="244">
        <f t="shared" si="3"/>
        <v>0</v>
      </c>
      <c r="G124" s="172">
        <v>0</v>
      </c>
      <c r="H124" s="208">
        <f t="shared" si="4"/>
        <v>0</v>
      </c>
    </row>
    <row r="125" spans="1:8" ht="18" thickBot="1" x14ac:dyDescent="0.45">
      <c r="A125" s="240"/>
      <c r="B125" s="234" t="s">
        <v>436</v>
      </c>
      <c r="C125" s="240"/>
      <c r="D125" s="136"/>
      <c r="E125" s="198">
        <v>0</v>
      </c>
      <c r="F125" s="244">
        <f t="shared" si="3"/>
        <v>0</v>
      </c>
      <c r="G125" s="172">
        <v>0</v>
      </c>
      <c r="H125" s="208">
        <f t="shared" si="4"/>
        <v>0</v>
      </c>
    </row>
    <row r="126" spans="1:8" ht="18" thickBot="1" x14ac:dyDescent="0.45">
      <c r="A126" s="240"/>
      <c r="B126" s="234" t="s">
        <v>437</v>
      </c>
      <c r="C126" s="240"/>
      <c r="D126" s="136"/>
      <c r="E126" s="198">
        <v>0</v>
      </c>
      <c r="F126" s="244">
        <f t="shared" si="3"/>
        <v>0</v>
      </c>
      <c r="G126" s="172">
        <v>0</v>
      </c>
      <c r="H126" s="208">
        <f t="shared" si="4"/>
        <v>0</v>
      </c>
    </row>
    <row r="127" spans="1:8" ht="18" thickBot="1" x14ac:dyDescent="0.45">
      <c r="A127" s="240"/>
      <c r="B127" s="234" t="s">
        <v>438</v>
      </c>
      <c r="C127" s="240"/>
      <c r="D127" s="136" t="s">
        <v>744</v>
      </c>
      <c r="E127" s="198">
        <v>0</v>
      </c>
      <c r="F127" s="244">
        <f t="shared" si="3"/>
        <v>0</v>
      </c>
      <c r="G127" s="172">
        <v>0</v>
      </c>
      <c r="H127" s="208">
        <f t="shared" si="4"/>
        <v>0</v>
      </c>
    </row>
    <row r="128" spans="1:8" ht="18" thickBot="1" x14ac:dyDescent="0.45">
      <c r="A128" s="240"/>
      <c r="B128" s="234" t="s">
        <v>439</v>
      </c>
      <c r="C128" s="240"/>
      <c r="D128" s="136"/>
      <c r="E128" s="198">
        <v>0</v>
      </c>
      <c r="F128" s="244">
        <f t="shared" si="3"/>
        <v>0</v>
      </c>
      <c r="G128" s="172">
        <v>0</v>
      </c>
      <c r="H128" s="208">
        <f t="shared" si="4"/>
        <v>0</v>
      </c>
    </row>
    <row r="129" spans="1:8" ht="18" thickBot="1" x14ac:dyDescent="0.45">
      <c r="A129" s="240"/>
      <c r="B129" s="234" t="s">
        <v>440</v>
      </c>
      <c r="C129" s="240"/>
      <c r="D129" s="136" t="s">
        <v>744</v>
      </c>
      <c r="E129" s="198">
        <v>0</v>
      </c>
      <c r="F129" s="244">
        <f t="shared" si="3"/>
        <v>0</v>
      </c>
      <c r="G129" s="172">
        <v>0</v>
      </c>
      <c r="H129" s="208">
        <f t="shared" si="4"/>
        <v>0</v>
      </c>
    </row>
    <row r="130" spans="1:8" ht="18" thickBot="1" x14ac:dyDescent="0.45">
      <c r="A130" s="240"/>
      <c r="B130" s="234" t="s">
        <v>441</v>
      </c>
      <c r="C130" s="240"/>
      <c r="D130" s="136" t="s">
        <v>744</v>
      </c>
      <c r="E130" s="198">
        <v>0</v>
      </c>
      <c r="F130" s="244">
        <f t="shared" si="3"/>
        <v>0</v>
      </c>
      <c r="G130" s="172">
        <v>0</v>
      </c>
      <c r="H130" s="208">
        <f t="shared" si="4"/>
        <v>0</v>
      </c>
    </row>
    <row r="131" spans="1:8" ht="28.8" customHeight="1" thickBot="1" x14ac:dyDescent="0.45">
      <c r="A131" s="240"/>
      <c r="B131" s="234" t="s">
        <v>442</v>
      </c>
      <c r="C131" s="240"/>
      <c r="D131" s="136"/>
      <c r="E131" s="198">
        <v>0</v>
      </c>
      <c r="F131" s="244">
        <f t="shared" si="3"/>
        <v>0</v>
      </c>
      <c r="G131" s="172">
        <v>0</v>
      </c>
      <c r="H131" s="208">
        <f t="shared" si="4"/>
        <v>0</v>
      </c>
    </row>
    <row r="132" spans="1:8" ht="28.8" customHeight="1" thickBot="1" x14ac:dyDescent="0.45">
      <c r="A132" s="240"/>
      <c r="B132" s="234" t="s">
        <v>443</v>
      </c>
      <c r="C132" s="240"/>
      <c r="D132" s="136"/>
      <c r="E132" s="198">
        <v>0</v>
      </c>
      <c r="F132" s="244">
        <f t="shared" si="3"/>
        <v>0</v>
      </c>
      <c r="G132" s="172">
        <v>0</v>
      </c>
      <c r="H132" s="208">
        <f t="shared" si="4"/>
        <v>0</v>
      </c>
    </row>
    <row r="133" spans="1:8" ht="18" thickBot="1" x14ac:dyDescent="0.45">
      <c r="A133" s="240" t="s">
        <v>315</v>
      </c>
      <c r="B133" s="234" t="s">
        <v>1682</v>
      </c>
      <c r="C133" s="240"/>
      <c r="D133" s="136" t="s">
        <v>745</v>
      </c>
      <c r="E133" s="198">
        <v>0</v>
      </c>
      <c r="F133" s="244">
        <f t="shared" ref="F133:F196" si="5">E133/(24*31)</f>
        <v>0</v>
      </c>
      <c r="G133" s="172">
        <v>5.5</v>
      </c>
      <c r="H133" s="208">
        <f t="shared" ref="H133:H196" si="6">IFERROR(G133-F133, "")</f>
        <v>5.5</v>
      </c>
    </row>
    <row r="134" spans="1:8" ht="18" thickBot="1" x14ac:dyDescent="0.45">
      <c r="A134" s="240"/>
      <c r="B134" s="234" t="s">
        <v>423</v>
      </c>
      <c r="C134" s="240"/>
      <c r="D134" s="136"/>
      <c r="E134" s="198">
        <v>2547.6</v>
      </c>
      <c r="F134" s="244">
        <f t="shared" si="5"/>
        <v>3.4241935483870964</v>
      </c>
      <c r="G134" s="172">
        <v>0</v>
      </c>
      <c r="H134" s="208">
        <f t="shared" si="6"/>
        <v>-3.4241935483870964</v>
      </c>
    </row>
    <row r="135" spans="1:8" ht="22.2" thickBot="1" x14ac:dyDescent="0.45">
      <c r="A135" s="240"/>
      <c r="B135" s="234" t="s">
        <v>424</v>
      </c>
      <c r="C135" s="240"/>
      <c r="D135" s="136" t="s">
        <v>752</v>
      </c>
      <c r="E135" s="198">
        <v>0</v>
      </c>
      <c r="F135" s="244">
        <f t="shared" si="5"/>
        <v>0</v>
      </c>
      <c r="G135" s="172">
        <v>0</v>
      </c>
      <c r="H135" s="208">
        <f t="shared" si="6"/>
        <v>0</v>
      </c>
    </row>
    <row r="136" spans="1:8" ht="22.2" thickBot="1" x14ac:dyDescent="0.45">
      <c r="A136" s="240"/>
      <c r="B136" s="234" t="s">
        <v>425</v>
      </c>
      <c r="C136" s="240"/>
      <c r="D136" s="136" t="s">
        <v>752</v>
      </c>
      <c r="E136" s="198">
        <v>0</v>
      </c>
      <c r="F136" s="244">
        <f t="shared" si="5"/>
        <v>0</v>
      </c>
      <c r="G136" s="172">
        <v>0</v>
      </c>
      <c r="H136" s="208">
        <f t="shared" si="6"/>
        <v>0</v>
      </c>
    </row>
    <row r="137" spans="1:8" ht="18" thickBot="1" x14ac:dyDescent="0.45">
      <c r="A137" s="240"/>
      <c r="B137" s="234" t="s">
        <v>426</v>
      </c>
      <c r="C137" s="240"/>
      <c r="D137" s="136"/>
      <c r="E137" s="198">
        <v>0</v>
      </c>
      <c r="F137" s="244">
        <f t="shared" si="5"/>
        <v>0</v>
      </c>
      <c r="G137" s="172">
        <v>0</v>
      </c>
      <c r="H137" s="208">
        <f t="shared" si="6"/>
        <v>0</v>
      </c>
    </row>
    <row r="138" spans="1:8" ht="22.2" thickBot="1" x14ac:dyDescent="0.45">
      <c r="A138" s="240"/>
      <c r="B138" s="234" t="s">
        <v>427</v>
      </c>
      <c r="C138" s="240"/>
      <c r="D138" s="136" t="s">
        <v>752</v>
      </c>
      <c r="E138" s="198">
        <v>0</v>
      </c>
      <c r="F138" s="244">
        <f t="shared" si="5"/>
        <v>0</v>
      </c>
      <c r="G138" s="172">
        <v>0</v>
      </c>
      <c r="H138" s="208">
        <f t="shared" si="6"/>
        <v>0</v>
      </c>
    </row>
    <row r="139" spans="1:8" ht="18" thickBot="1" x14ac:dyDescent="0.45">
      <c r="A139" s="240"/>
      <c r="B139" s="234" t="s">
        <v>428</v>
      </c>
      <c r="C139" s="240"/>
      <c r="D139" s="136"/>
      <c r="E139" s="198">
        <v>0</v>
      </c>
      <c r="F139" s="244">
        <f t="shared" si="5"/>
        <v>0</v>
      </c>
      <c r="G139" s="172">
        <v>0</v>
      </c>
      <c r="H139" s="208">
        <f t="shared" si="6"/>
        <v>0</v>
      </c>
    </row>
    <row r="140" spans="1:8" ht="18" thickBot="1" x14ac:dyDescent="0.45">
      <c r="A140" s="240"/>
      <c r="B140" s="234" t="s">
        <v>429</v>
      </c>
      <c r="C140" s="240"/>
      <c r="D140" s="136"/>
      <c r="E140" s="198">
        <v>0</v>
      </c>
      <c r="F140" s="244">
        <f t="shared" si="5"/>
        <v>0</v>
      </c>
      <c r="G140" s="172">
        <v>0</v>
      </c>
      <c r="H140" s="208">
        <f t="shared" si="6"/>
        <v>0</v>
      </c>
    </row>
    <row r="141" spans="1:8" ht="18" thickBot="1" x14ac:dyDescent="0.45">
      <c r="A141" s="240"/>
      <c r="B141" s="234" t="s">
        <v>430</v>
      </c>
      <c r="C141" s="240"/>
      <c r="D141" s="136"/>
      <c r="E141" s="198">
        <v>0</v>
      </c>
      <c r="F141" s="244">
        <f t="shared" si="5"/>
        <v>0</v>
      </c>
      <c r="G141" s="172">
        <v>0</v>
      </c>
      <c r="H141" s="208">
        <f t="shared" si="6"/>
        <v>0</v>
      </c>
    </row>
    <row r="142" spans="1:8" ht="18" thickBot="1" x14ac:dyDescent="0.45">
      <c r="A142" s="240"/>
      <c r="B142" s="234" t="s">
        <v>431</v>
      </c>
      <c r="C142" s="240"/>
      <c r="D142" s="136"/>
      <c r="E142" s="198">
        <v>0</v>
      </c>
      <c r="F142" s="244">
        <f t="shared" si="5"/>
        <v>0</v>
      </c>
      <c r="G142" s="172">
        <v>0</v>
      </c>
      <c r="H142" s="208">
        <f t="shared" si="6"/>
        <v>0</v>
      </c>
    </row>
    <row r="143" spans="1:8" ht="18" thickBot="1" x14ac:dyDescent="0.45">
      <c r="A143" s="240"/>
      <c r="B143" s="234" t="s">
        <v>432</v>
      </c>
      <c r="C143" s="240"/>
      <c r="D143" s="136"/>
      <c r="E143" s="198">
        <v>0</v>
      </c>
      <c r="F143" s="244">
        <f t="shared" si="5"/>
        <v>0</v>
      </c>
      <c r="G143" s="172">
        <v>0</v>
      </c>
      <c r="H143" s="208">
        <f t="shared" si="6"/>
        <v>0</v>
      </c>
    </row>
    <row r="144" spans="1:8" ht="18" thickBot="1" x14ac:dyDescent="0.45">
      <c r="A144" s="240" t="s">
        <v>314</v>
      </c>
      <c r="B144" s="234" t="s">
        <v>1683</v>
      </c>
      <c r="C144" s="240"/>
      <c r="D144" s="136"/>
      <c r="E144" s="198">
        <v>0</v>
      </c>
      <c r="F144" s="244">
        <f t="shared" si="5"/>
        <v>0</v>
      </c>
      <c r="G144" s="172">
        <v>0</v>
      </c>
      <c r="H144" s="208">
        <f t="shared" si="6"/>
        <v>0</v>
      </c>
    </row>
    <row r="145" spans="1:8" ht="18" thickBot="1" x14ac:dyDescent="0.45">
      <c r="A145" s="240"/>
      <c r="B145" s="234" t="s">
        <v>413</v>
      </c>
      <c r="C145" s="240"/>
      <c r="D145" s="136"/>
      <c r="E145" s="198">
        <v>0</v>
      </c>
      <c r="F145" s="244">
        <f t="shared" si="5"/>
        <v>0</v>
      </c>
      <c r="G145" s="172">
        <v>0</v>
      </c>
      <c r="H145" s="208">
        <f t="shared" si="6"/>
        <v>0</v>
      </c>
    </row>
    <row r="146" spans="1:8" ht="18" thickBot="1" x14ac:dyDescent="0.45">
      <c r="A146" s="240"/>
      <c r="B146" s="234" t="s">
        <v>414</v>
      </c>
      <c r="C146" s="240"/>
      <c r="D146" s="136"/>
      <c r="E146" s="198">
        <v>0</v>
      </c>
      <c r="F146" s="244">
        <f t="shared" si="5"/>
        <v>0</v>
      </c>
      <c r="G146" s="172">
        <v>0</v>
      </c>
      <c r="H146" s="208">
        <f t="shared" si="6"/>
        <v>0</v>
      </c>
    </row>
    <row r="147" spans="1:8" ht="18" thickBot="1" x14ac:dyDescent="0.45">
      <c r="A147" s="240"/>
      <c r="B147" s="234" t="s">
        <v>415</v>
      </c>
      <c r="C147" s="240"/>
      <c r="D147" s="136"/>
      <c r="E147" s="198">
        <v>0</v>
      </c>
      <c r="F147" s="244">
        <f t="shared" si="5"/>
        <v>0</v>
      </c>
      <c r="G147" s="172">
        <v>0</v>
      </c>
      <c r="H147" s="208">
        <f t="shared" si="6"/>
        <v>0</v>
      </c>
    </row>
    <row r="148" spans="1:8" ht="18" thickBot="1" x14ac:dyDescent="0.45">
      <c r="A148" s="240"/>
      <c r="B148" s="234" t="s">
        <v>416</v>
      </c>
      <c r="C148" s="240"/>
      <c r="D148" s="136"/>
      <c r="E148" s="198">
        <v>0</v>
      </c>
      <c r="F148" s="244">
        <f t="shared" si="5"/>
        <v>0</v>
      </c>
      <c r="G148" s="172">
        <v>0</v>
      </c>
      <c r="H148" s="208">
        <f t="shared" si="6"/>
        <v>0</v>
      </c>
    </row>
    <row r="149" spans="1:8" ht="18" thickBot="1" x14ac:dyDescent="0.45">
      <c r="A149" s="240"/>
      <c r="B149" s="234" t="s">
        <v>417</v>
      </c>
      <c r="C149" s="240"/>
      <c r="D149" s="136"/>
      <c r="E149" s="198">
        <v>0</v>
      </c>
      <c r="F149" s="244">
        <f t="shared" si="5"/>
        <v>0</v>
      </c>
      <c r="G149" s="172">
        <v>0</v>
      </c>
      <c r="H149" s="208">
        <f t="shared" si="6"/>
        <v>0</v>
      </c>
    </row>
    <row r="150" spans="1:8" ht="18" thickBot="1" x14ac:dyDescent="0.45">
      <c r="A150" s="240"/>
      <c r="B150" s="234" t="s">
        <v>418</v>
      </c>
      <c r="C150" s="240"/>
      <c r="D150" s="136"/>
      <c r="E150" s="198">
        <v>0</v>
      </c>
      <c r="F150" s="244">
        <f t="shared" si="5"/>
        <v>0</v>
      </c>
      <c r="G150" s="172">
        <v>0</v>
      </c>
      <c r="H150" s="208">
        <f t="shared" si="6"/>
        <v>0</v>
      </c>
    </row>
    <row r="151" spans="1:8" ht="18" thickBot="1" x14ac:dyDescent="0.45">
      <c r="A151" s="240"/>
      <c r="B151" s="234" t="s">
        <v>419</v>
      </c>
      <c r="C151" s="240"/>
      <c r="D151" s="136"/>
      <c r="E151" s="198">
        <v>0</v>
      </c>
      <c r="F151" s="244">
        <f t="shared" si="5"/>
        <v>0</v>
      </c>
      <c r="G151" s="172">
        <v>0</v>
      </c>
      <c r="H151" s="208">
        <f t="shared" si="6"/>
        <v>0</v>
      </c>
    </row>
    <row r="152" spans="1:8" ht="18" thickBot="1" x14ac:dyDescent="0.45">
      <c r="A152" s="240"/>
      <c r="B152" s="234" t="s">
        <v>420</v>
      </c>
      <c r="C152" s="240"/>
      <c r="D152" s="136"/>
      <c r="E152" s="198">
        <v>0</v>
      </c>
      <c r="F152" s="244">
        <f t="shared" si="5"/>
        <v>0</v>
      </c>
      <c r="G152" s="172">
        <v>0</v>
      </c>
      <c r="H152" s="208">
        <f t="shared" si="6"/>
        <v>0</v>
      </c>
    </row>
    <row r="153" spans="1:8" ht="18" thickBot="1" x14ac:dyDescent="0.45">
      <c r="A153" s="240"/>
      <c r="B153" s="234" t="s">
        <v>421</v>
      </c>
      <c r="C153" s="240"/>
      <c r="D153" s="136"/>
      <c r="E153" s="198">
        <v>0</v>
      </c>
      <c r="F153" s="244">
        <f t="shared" si="5"/>
        <v>0</v>
      </c>
      <c r="G153" s="172">
        <v>0</v>
      </c>
      <c r="H153" s="208">
        <f t="shared" si="6"/>
        <v>0</v>
      </c>
    </row>
    <row r="154" spans="1:8" ht="18" thickBot="1" x14ac:dyDescent="0.45">
      <c r="A154" s="240" t="s">
        <v>313</v>
      </c>
      <c r="B154" s="234" t="s">
        <v>1684</v>
      </c>
      <c r="C154" s="240"/>
      <c r="D154" s="136"/>
      <c r="E154" s="198">
        <v>0</v>
      </c>
      <c r="F154" s="244">
        <f t="shared" si="5"/>
        <v>0</v>
      </c>
      <c r="G154" s="172">
        <v>5</v>
      </c>
      <c r="H154" s="208">
        <f t="shared" si="6"/>
        <v>5</v>
      </c>
    </row>
    <row r="155" spans="1:8" ht="18" thickBot="1" x14ac:dyDescent="0.45">
      <c r="A155" s="240"/>
      <c r="B155" s="234" t="s">
        <v>403</v>
      </c>
      <c r="C155" s="240"/>
      <c r="D155" s="136"/>
      <c r="E155" s="198">
        <v>3071.3</v>
      </c>
      <c r="F155" s="244">
        <f t="shared" si="5"/>
        <v>4.1280913978494622</v>
      </c>
      <c r="G155" s="172">
        <v>0</v>
      </c>
      <c r="H155" s="208">
        <f t="shared" si="6"/>
        <v>-4.1280913978494622</v>
      </c>
    </row>
    <row r="156" spans="1:8" ht="18" thickBot="1" x14ac:dyDescent="0.45">
      <c r="A156" s="240"/>
      <c r="B156" s="234" t="s">
        <v>404</v>
      </c>
      <c r="C156" s="240"/>
      <c r="D156" s="136"/>
      <c r="E156" s="198">
        <v>0</v>
      </c>
      <c r="F156" s="244">
        <f t="shared" si="5"/>
        <v>0</v>
      </c>
      <c r="G156" s="172">
        <v>0</v>
      </c>
      <c r="H156" s="208">
        <f t="shared" si="6"/>
        <v>0</v>
      </c>
    </row>
    <row r="157" spans="1:8" ht="18" thickBot="1" x14ac:dyDescent="0.45">
      <c r="A157" s="240"/>
      <c r="B157" s="234" t="s">
        <v>405</v>
      </c>
      <c r="C157" s="240"/>
      <c r="D157" s="136" t="s">
        <v>753</v>
      </c>
      <c r="E157" s="198">
        <v>0</v>
      </c>
      <c r="F157" s="244">
        <f t="shared" si="5"/>
        <v>0</v>
      </c>
      <c r="G157" s="172">
        <v>0</v>
      </c>
      <c r="H157" s="208">
        <f t="shared" si="6"/>
        <v>0</v>
      </c>
    </row>
    <row r="158" spans="1:8" ht="18" thickBot="1" x14ac:dyDescent="0.45">
      <c r="A158" s="240"/>
      <c r="B158" s="234" t="s">
        <v>406</v>
      </c>
      <c r="C158" s="240"/>
      <c r="D158" s="136" t="s">
        <v>744</v>
      </c>
      <c r="E158" s="198">
        <v>0</v>
      </c>
      <c r="F158" s="244">
        <f t="shared" si="5"/>
        <v>0</v>
      </c>
      <c r="G158" s="172">
        <v>0</v>
      </c>
      <c r="H158" s="208">
        <f t="shared" si="6"/>
        <v>0</v>
      </c>
    </row>
    <row r="159" spans="1:8" ht="18" thickBot="1" x14ac:dyDescent="0.45">
      <c r="A159" s="240"/>
      <c r="B159" s="234" t="s">
        <v>407</v>
      </c>
      <c r="C159" s="240"/>
      <c r="D159" s="136"/>
      <c r="E159" s="198">
        <v>0</v>
      </c>
      <c r="F159" s="244">
        <f t="shared" si="5"/>
        <v>0</v>
      </c>
      <c r="G159" s="172">
        <v>0</v>
      </c>
      <c r="H159" s="208">
        <f t="shared" si="6"/>
        <v>0</v>
      </c>
    </row>
    <row r="160" spans="1:8" ht="18" thickBot="1" x14ac:dyDescent="0.45">
      <c r="A160" s="240"/>
      <c r="B160" s="234" t="s">
        <v>408</v>
      </c>
      <c r="C160" s="240"/>
      <c r="D160" s="136" t="s">
        <v>754</v>
      </c>
      <c r="E160" s="198">
        <v>0</v>
      </c>
      <c r="F160" s="244">
        <f t="shared" si="5"/>
        <v>0</v>
      </c>
      <c r="G160" s="172">
        <v>0</v>
      </c>
      <c r="H160" s="208">
        <f t="shared" si="6"/>
        <v>0</v>
      </c>
    </row>
    <row r="161" spans="1:8" ht="18" thickBot="1" x14ac:dyDescent="0.45">
      <c r="A161" s="240"/>
      <c r="B161" s="234" t="s">
        <v>409</v>
      </c>
      <c r="C161" s="240"/>
      <c r="D161" s="136"/>
      <c r="E161" s="198">
        <v>0</v>
      </c>
      <c r="F161" s="244">
        <f t="shared" si="5"/>
        <v>0</v>
      </c>
      <c r="G161" s="172">
        <v>0</v>
      </c>
      <c r="H161" s="208">
        <f t="shared" si="6"/>
        <v>0</v>
      </c>
    </row>
    <row r="162" spans="1:8" ht="18" thickBot="1" x14ac:dyDescent="0.45">
      <c r="A162" s="240"/>
      <c r="B162" s="234" t="s">
        <v>410</v>
      </c>
      <c r="C162" s="240"/>
      <c r="D162" s="136"/>
      <c r="E162" s="198">
        <v>0</v>
      </c>
      <c r="F162" s="244">
        <f t="shared" si="5"/>
        <v>0</v>
      </c>
      <c r="G162" s="172">
        <v>0</v>
      </c>
      <c r="H162" s="208">
        <f t="shared" si="6"/>
        <v>0</v>
      </c>
    </row>
    <row r="163" spans="1:8" ht="18" thickBot="1" x14ac:dyDescent="0.45">
      <c r="A163" s="240"/>
      <c r="B163" s="234" t="s">
        <v>411</v>
      </c>
      <c r="C163" s="240"/>
      <c r="D163" s="136"/>
      <c r="E163" s="198">
        <v>0</v>
      </c>
      <c r="F163" s="244">
        <f t="shared" si="5"/>
        <v>0</v>
      </c>
      <c r="G163" s="172">
        <v>0</v>
      </c>
      <c r="H163" s="208">
        <f t="shared" si="6"/>
        <v>0</v>
      </c>
    </row>
    <row r="164" spans="1:8" ht="18" thickBot="1" x14ac:dyDescent="0.45">
      <c r="A164" s="240" t="s">
        <v>769</v>
      </c>
      <c r="B164" s="234" t="s">
        <v>1685</v>
      </c>
      <c r="C164" s="240"/>
      <c r="D164" s="136" t="s">
        <v>745</v>
      </c>
      <c r="E164" s="198">
        <v>0</v>
      </c>
      <c r="F164" s="244">
        <f t="shared" si="5"/>
        <v>0</v>
      </c>
      <c r="G164" s="172">
        <v>6.1</v>
      </c>
      <c r="H164" s="208">
        <f t="shared" si="6"/>
        <v>6.1</v>
      </c>
    </row>
    <row r="165" spans="1:8" ht="18" thickBot="1" x14ac:dyDescent="0.45">
      <c r="A165" s="240"/>
      <c r="B165" s="234" t="s">
        <v>393</v>
      </c>
      <c r="C165" s="240"/>
      <c r="D165" s="136"/>
      <c r="E165" s="198">
        <v>5461.4</v>
      </c>
      <c r="F165" s="244">
        <f t="shared" si="5"/>
        <v>7.3405913978494617</v>
      </c>
      <c r="G165" s="172">
        <v>0</v>
      </c>
      <c r="H165" s="208">
        <f t="shared" si="6"/>
        <v>-7.3405913978494617</v>
      </c>
    </row>
    <row r="166" spans="1:8" ht="18" thickBot="1" x14ac:dyDescent="0.45">
      <c r="A166" s="240"/>
      <c r="B166" s="234" t="s">
        <v>394</v>
      </c>
      <c r="C166" s="240"/>
      <c r="D166" s="136" t="s">
        <v>755</v>
      </c>
      <c r="E166" s="198">
        <v>0</v>
      </c>
      <c r="F166" s="244">
        <f t="shared" si="5"/>
        <v>0</v>
      </c>
      <c r="G166" s="172">
        <v>0</v>
      </c>
      <c r="H166" s="208">
        <f t="shared" si="6"/>
        <v>0</v>
      </c>
    </row>
    <row r="167" spans="1:8" ht="18" thickBot="1" x14ac:dyDescent="0.45">
      <c r="A167" s="240"/>
      <c r="B167" s="234" t="s">
        <v>395</v>
      </c>
      <c r="C167" s="240"/>
      <c r="D167" s="136"/>
      <c r="E167" s="198">
        <v>0</v>
      </c>
      <c r="F167" s="244">
        <f t="shared" si="5"/>
        <v>0</v>
      </c>
      <c r="G167" s="172">
        <v>0</v>
      </c>
      <c r="H167" s="208">
        <f t="shared" si="6"/>
        <v>0</v>
      </c>
    </row>
    <row r="168" spans="1:8" ht="18" thickBot="1" x14ac:dyDescent="0.45">
      <c r="A168" s="240"/>
      <c r="B168" s="234" t="s">
        <v>396</v>
      </c>
      <c r="C168" s="240"/>
      <c r="D168" s="136"/>
      <c r="E168" s="198">
        <v>0</v>
      </c>
      <c r="F168" s="244">
        <f t="shared" si="5"/>
        <v>0</v>
      </c>
      <c r="G168" s="172">
        <v>0</v>
      </c>
      <c r="H168" s="208">
        <f t="shared" si="6"/>
        <v>0</v>
      </c>
    </row>
    <row r="169" spans="1:8" ht="18" thickBot="1" x14ac:dyDescent="0.45">
      <c r="A169" s="240"/>
      <c r="B169" s="234" t="s">
        <v>397</v>
      </c>
      <c r="C169" s="240"/>
      <c r="D169" s="136" t="s">
        <v>756</v>
      </c>
      <c r="E169" s="198">
        <v>0</v>
      </c>
      <c r="F169" s="244">
        <f t="shared" si="5"/>
        <v>0</v>
      </c>
      <c r="G169" s="172">
        <v>0</v>
      </c>
      <c r="H169" s="208">
        <f t="shared" si="6"/>
        <v>0</v>
      </c>
    </row>
    <row r="170" spans="1:8" ht="18" thickBot="1" x14ac:dyDescent="0.45">
      <c r="A170" s="240"/>
      <c r="B170" s="234" t="s">
        <v>398</v>
      </c>
      <c r="C170" s="240"/>
      <c r="D170" s="136" t="s">
        <v>756</v>
      </c>
      <c r="E170" s="198">
        <v>0</v>
      </c>
      <c r="F170" s="244">
        <f t="shared" si="5"/>
        <v>0</v>
      </c>
      <c r="G170" s="172">
        <v>0</v>
      </c>
      <c r="H170" s="208">
        <f t="shared" si="6"/>
        <v>0</v>
      </c>
    </row>
    <row r="171" spans="1:8" ht="18" thickBot="1" x14ac:dyDescent="0.45">
      <c r="A171" s="240"/>
      <c r="B171" s="234" t="s">
        <v>399</v>
      </c>
      <c r="C171" s="240"/>
      <c r="D171" s="136"/>
      <c r="E171" s="198">
        <v>0</v>
      </c>
      <c r="F171" s="244">
        <f t="shared" si="5"/>
        <v>0</v>
      </c>
      <c r="G171" s="172">
        <v>0</v>
      </c>
      <c r="H171" s="208">
        <f t="shared" si="6"/>
        <v>0</v>
      </c>
    </row>
    <row r="172" spans="1:8" ht="18" thickBot="1" x14ac:dyDescent="0.45">
      <c r="A172" s="240"/>
      <c r="B172" s="234" t="s">
        <v>400</v>
      </c>
      <c r="C172" s="240"/>
      <c r="D172" s="136" t="s">
        <v>757</v>
      </c>
      <c r="E172" s="198">
        <v>0</v>
      </c>
      <c r="F172" s="244">
        <f t="shared" si="5"/>
        <v>0</v>
      </c>
      <c r="G172" s="172">
        <v>0</v>
      </c>
      <c r="H172" s="208">
        <f t="shared" si="6"/>
        <v>0</v>
      </c>
    </row>
    <row r="173" spans="1:8" ht="18" thickBot="1" x14ac:dyDescent="0.45">
      <c r="A173" s="240"/>
      <c r="B173" s="234" t="s">
        <v>401</v>
      </c>
      <c r="C173" s="240"/>
      <c r="D173" s="136"/>
      <c r="E173" s="198">
        <v>0</v>
      </c>
      <c r="F173" s="244">
        <f t="shared" si="5"/>
        <v>0</v>
      </c>
      <c r="G173" s="172">
        <v>0</v>
      </c>
      <c r="H173" s="208">
        <f t="shared" si="6"/>
        <v>0</v>
      </c>
    </row>
    <row r="174" spans="1:8" ht="18" thickBot="1" x14ac:dyDescent="0.45">
      <c r="A174" s="218" t="s">
        <v>312</v>
      </c>
      <c r="B174" s="234" t="s">
        <v>1686</v>
      </c>
      <c r="C174" s="218"/>
      <c r="D174" s="136" t="s">
        <v>758</v>
      </c>
      <c r="E174" s="198">
        <v>0</v>
      </c>
      <c r="F174" s="244">
        <f t="shared" si="5"/>
        <v>0</v>
      </c>
      <c r="G174" s="172">
        <v>18.7</v>
      </c>
      <c r="H174" s="208">
        <f t="shared" si="6"/>
        <v>18.7</v>
      </c>
    </row>
    <row r="175" spans="1:8" ht="18" thickBot="1" x14ac:dyDescent="0.45">
      <c r="A175" s="218"/>
      <c r="B175" s="234" t="s">
        <v>382</v>
      </c>
      <c r="C175" s="241"/>
      <c r="D175" s="136"/>
      <c r="E175" s="198">
        <v>6313.5</v>
      </c>
      <c r="F175" s="244">
        <f t="shared" si="5"/>
        <v>8.4858870967741939</v>
      </c>
      <c r="G175" s="172">
        <v>0</v>
      </c>
      <c r="H175" s="208">
        <f t="shared" si="6"/>
        <v>-8.4858870967741939</v>
      </c>
    </row>
    <row r="176" spans="1:8" ht="18" thickBot="1" x14ac:dyDescent="0.45">
      <c r="A176" s="218"/>
      <c r="B176" s="234" t="s">
        <v>383</v>
      </c>
      <c r="C176" s="218"/>
      <c r="D176" s="136" t="s">
        <v>758</v>
      </c>
      <c r="E176" s="198">
        <v>0</v>
      </c>
      <c r="F176" s="244">
        <f t="shared" si="5"/>
        <v>0</v>
      </c>
      <c r="G176" s="172">
        <v>0</v>
      </c>
      <c r="H176" s="208">
        <f t="shared" si="6"/>
        <v>0</v>
      </c>
    </row>
    <row r="177" spans="1:8" ht="18" thickBot="1" x14ac:dyDescent="0.45">
      <c r="A177" s="241"/>
      <c r="B177" s="234" t="s">
        <v>384</v>
      </c>
      <c r="C177" s="218"/>
      <c r="D177" s="136" t="s">
        <v>759</v>
      </c>
      <c r="E177" s="198">
        <v>0</v>
      </c>
      <c r="F177" s="244">
        <f t="shared" si="5"/>
        <v>0</v>
      </c>
      <c r="G177" s="172">
        <v>0</v>
      </c>
      <c r="H177" s="208">
        <f t="shared" si="6"/>
        <v>0</v>
      </c>
    </row>
    <row r="178" spans="1:8" ht="18" thickBot="1" x14ac:dyDescent="0.45">
      <c r="A178" s="241"/>
      <c r="B178" s="234" t="s">
        <v>385</v>
      </c>
      <c r="C178" s="241"/>
      <c r="D178" s="136" t="s">
        <v>742</v>
      </c>
      <c r="E178" s="198">
        <v>0</v>
      </c>
      <c r="F178" s="244">
        <f t="shared" si="5"/>
        <v>0</v>
      </c>
      <c r="G178" s="172">
        <v>0</v>
      </c>
      <c r="H178" s="208">
        <f t="shared" si="6"/>
        <v>0</v>
      </c>
    </row>
    <row r="179" spans="1:8" ht="18" thickBot="1" x14ac:dyDescent="0.45">
      <c r="A179" s="241"/>
      <c r="B179" s="234" t="s">
        <v>386</v>
      </c>
      <c r="C179" s="241"/>
      <c r="D179" s="136" t="s">
        <v>742</v>
      </c>
      <c r="E179" s="198">
        <v>0</v>
      </c>
      <c r="F179" s="244">
        <f t="shared" si="5"/>
        <v>0</v>
      </c>
      <c r="G179" s="172">
        <v>0</v>
      </c>
      <c r="H179" s="208">
        <f t="shared" si="6"/>
        <v>0</v>
      </c>
    </row>
    <row r="180" spans="1:8" ht="18" thickBot="1" x14ac:dyDescent="0.45">
      <c r="A180" s="241"/>
      <c r="B180" s="234" t="s">
        <v>387</v>
      </c>
      <c r="C180" s="218"/>
      <c r="D180" s="136" t="s">
        <v>759</v>
      </c>
      <c r="E180" s="198">
        <v>0</v>
      </c>
      <c r="F180" s="244">
        <f t="shared" si="5"/>
        <v>0</v>
      </c>
      <c r="G180" s="172">
        <v>0</v>
      </c>
      <c r="H180" s="208">
        <f t="shared" si="6"/>
        <v>0</v>
      </c>
    </row>
    <row r="181" spans="1:8" ht="18" thickBot="1" x14ac:dyDescent="0.45">
      <c r="A181" s="241"/>
      <c r="B181" s="234" t="s">
        <v>388</v>
      </c>
      <c r="C181" s="218"/>
      <c r="D181" s="136" t="s">
        <v>742</v>
      </c>
      <c r="E181" s="198">
        <v>0</v>
      </c>
      <c r="F181" s="244">
        <f t="shared" si="5"/>
        <v>0</v>
      </c>
      <c r="G181" s="172">
        <v>0</v>
      </c>
      <c r="H181" s="208">
        <f t="shared" si="6"/>
        <v>0</v>
      </c>
    </row>
    <row r="182" spans="1:8" ht="18" thickBot="1" x14ac:dyDescent="0.45">
      <c r="A182" s="241"/>
      <c r="B182" s="234" t="s">
        <v>389</v>
      </c>
      <c r="C182" s="218"/>
      <c r="D182" s="136" t="s">
        <v>742</v>
      </c>
      <c r="E182" s="198">
        <v>0</v>
      </c>
      <c r="F182" s="244">
        <f t="shared" si="5"/>
        <v>0</v>
      </c>
      <c r="G182" s="172">
        <v>0</v>
      </c>
      <c r="H182" s="208">
        <f t="shared" si="6"/>
        <v>0</v>
      </c>
    </row>
    <row r="183" spans="1:8" ht="18" thickBot="1" x14ac:dyDescent="0.45">
      <c r="A183" s="241"/>
      <c r="B183" s="234" t="s">
        <v>390</v>
      </c>
      <c r="C183" s="218"/>
      <c r="D183" s="136"/>
      <c r="E183" s="198">
        <v>0</v>
      </c>
      <c r="F183" s="244">
        <f t="shared" si="5"/>
        <v>0</v>
      </c>
      <c r="G183" s="172">
        <v>0</v>
      </c>
      <c r="H183" s="208">
        <f t="shared" si="6"/>
        <v>0</v>
      </c>
    </row>
    <row r="184" spans="1:8" ht="18" thickBot="1" x14ac:dyDescent="0.45">
      <c r="A184" s="241"/>
      <c r="B184" s="234" t="s">
        <v>391</v>
      </c>
      <c r="C184" s="218"/>
      <c r="D184" s="136" t="s">
        <v>760</v>
      </c>
      <c r="E184" s="198">
        <v>0</v>
      </c>
      <c r="F184" s="244">
        <f t="shared" si="5"/>
        <v>0</v>
      </c>
      <c r="G184" s="172">
        <v>0</v>
      </c>
      <c r="H184" s="208">
        <f t="shared" si="6"/>
        <v>0</v>
      </c>
    </row>
    <row r="185" spans="1:8" ht="18" thickBot="1" x14ac:dyDescent="0.45">
      <c r="A185" s="241" t="s">
        <v>311</v>
      </c>
      <c r="B185" s="234" t="s">
        <v>1687</v>
      </c>
      <c r="C185" s="218"/>
      <c r="D185" s="136" t="s">
        <v>761</v>
      </c>
      <c r="E185" s="198">
        <v>0</v>
      </c>
      <c r="F185" s="244">
        <f t="shared" si="5"/>
        <v>0</v>
      </c>
      <c r="G185" s="172">
        <v>13.8</v>
      </c>
      <c r="H185" s="208">
        <f t="shared" si="6"/>
        <v>13.8</v>
      </c>
    </row>
    <row r="186" spans="1:8" ht="18" thickBot="1" x14ac:dyDescent="0.45">
      <c r="A186" s="241"/>
      <c r="B186" s="234" t="s">
        <v>370</v>
      </c>
      <c r="C186" s="218"/>
      <c r="D186" s="136"/>
      <c r="E186" s="198">
        <v>6027.1</v>
      </c>
      <c r="F186" s="244">
        <f t="shared" si="5"/>
        <v>8.1009408602150543</v>
      </c>
      <c r="G186" s="172">
        <v>0</v>
      </c>
      <c r="H186" s="208">
        <f t="shared" si="6"/>
        <v>-8.1009408602150543</v>
      </c>
    </row>
    <row r="187" spans="1:8" ht="18" thickBot="1" x14ac:dyDescent="0.45">
      <c r="A187" s="241"/>
      <c r="B187" s="234" t="s">
        <v>371</v>
      </c>
      <c r="C187" s="218"/>
      <c r="D187" s="136"/>
      <c r="E187" s="198">
        <v>0</v>
      </c>
      <c r="F187" s="244">
        <f t="shared" si="5"/>
        <v>0</v>
      </c>
      <c r="G187" s="172">
        <v>0</v>
      </c>
      <c r="H187" s="208">
        <f t="shared" si="6"/>
        <v>0</v>
      </c>
    </row>
    <row r="188" spans="1:8" ht="18" thickBot="1" x14ac:dyDescent="0.45">
      <c r="A188" s="241"/>
      <c r="B188" s="234" t="s">
        <v>372</v>
      </c>
      <c r="C188" s="218"/>
      <c r="D188" s="136" t="s">
        <v>744</v>
      </c>
      <c r="E188" s="198">
        <v>0</v>
      </c>
      <c r="F188" s="244">
        <f t="shared" si="5"/>
        <v>0</v>
      </c>
      <c r="G188" s="172">
        <v>0</v>
      </c>
      <c r="H188" s="208">
        <f t="shared" si="6"/>
        <v>0</v>
      </c>
    </row>
    <row r="189" spans="1:8" ht="18" thickBot="1" x14ac:dyDescent="0.45">
      <c r="A189" s="241"/>
      <c r="B189" s="234" t="s">
        <v>373</v>
      </c>
      <c r="C189" s="218"/>
      <c r="D189" s="136" t="s">
        <v>759</v>
      </c>
      <c r="E189" s="198">
        <v>0</v>
      </c>
      <c r="F189" s="244">
        <f t="shared" si="5"/>
        <v>0</v>
      </c>
      <c r="G189" s="172">
        <v>0</v>
      </c>
      <c r="H189" s="208">
        <f t="shared" si="6"/>
        <v>0</v>
      </c>
    </row>
    <row r="190" spans="1:8" ht="18" thickBot="1" x14ac:dyDescent="0.45">
      <c r="A190" s="241"/>
      <c r="B190" s="234" t="s">
        <v>374</v>
      </c>
      <c r="C190" s="218"/>
      <c r="D190" s="136" t="s">
        <v>745</v>
      </c>
      <c r="E190" s="198">
        <v>0</v>
      </c>
      <c r="F190" s="244">
        <f t="shared" si="5"/>
        <v>0</v>
      </c>
      <c r="G190" s="172">
        <v>0</v>
      </c>
      <c r="H190" s="208">
        <f t="shared" si="6"/>
        <v>0</v>
      </c>
    </row>
    <row r="191" spans="1:8" ht="18" thickBot="1" x14ac:dyDescent="0.45">
      <c r="A191" s="241"/>
      <c r="B191" s="234" t="s">
        <v>375</v>
      </c>
      <c r="C191" s="218"/>
      <c r="D191" s="136"/>
      <c r="E191" s="198">
        <v>0</v>
      </c>
      <c r="F191" s="244">
        <f t="shared" si="5"/>
        <v>0</v>
      </c>
      <c r="G191" s="172">
        <v>0</v>
      </c>
      <c r="H191" s="208">
        <f t="shared" si="6"/>
        <v>0</v>
      </c>
    </row>
    <row r="192" spans="1:8" ht="18" thickBot="1" x14ac:dyDescent="0.45">
      <c r="A192" s="241"/>
      <c r="B192" s="234" t="s">
        <v>376</v>
      </c>
      <c r="C192" s="218"/>
      <c r="D192" s="136" t="s">
        <v>744</v>
      </c>
      <c r="E192" s="198">
        <v>0</v>
      </c>
      <c r="F192" s="244">
        <f t="shared" si="5"/>
        <v>0</v>
      </c>
      <c r="G192" s="172">
        <v>0</v>
      </c>
      <c r="H192" s="208">
        <f t="shared" si="6"/>
        <v>0</v>
      </c>
    </row>
    <row r="193" spans="1:8" ht="18" thickBot="1" x14ac:dyDescent="0.45">
      <c r="A193" s="241"/>
      <c r="B193" s="234" t="s">
        <v>377</v>
      </c>
      <c r="C193" s="218"/>
      <c r="D193" s="136" t="s">
        <v>742</v>
      </c>
      <c r="E193" s="198">
        <v>0</v>
      </c>
      <c r="F193" s="244">
        <f t="shared" si="5"/>
        <v>0</v>
      </c>
      <c r="G193" s="172">
        <v>0</v>
      </c>
      <c r="H193" s="208">
        <f t="shared" si="6"/>
        <v>0</v>
      </c>
    </row>
    <row r="194" spans="1:8" ht="18" thickBot="1" x14ac:dyDescent="0.45">
      <c r="A194" s="241"/>
      <c r="B194" s="234" t="s">
        <v>378</v>
      </c>
      <c r="C194" s="218"/>
      <c r="D194" s="136" t="s">
        <v>742</v>
      </c>
      <c r="E194" s="198">
        <v>0</v>
      </c>
      <c r="F194" s="244">
        <f t="shared" si="5"/>
        <v>0</v>
      </c>
      <c r="G194" s="172">
        <v>0</v>
      </c>
      <c r="H194" s="208">
        <f t="shared" si="6"/>
        <v>0</v>
      </c>
    </row>
    <row r="195" spans="1:8" ht="18" thickBot="1" x14ac:dyDescent="0.45">
      <c r="A195" s="241"/>
      <c r="B195" s="234" t="s">
        <v>379</v>
      </c>
      <c r="C195" s="218"/>
      <c r="D195" s="136" t="s">
        <v>742</v>
      </c>
      <c r="E195" s="198">
        <v>0</v>
      </c>
      <c r="F195" s="244">
        <f t="shared" si="5"/>
        <v>0</v>
      </c>
      <c r="G195" s="172">
        <v>0</v>
      </c>
      <c r="H195" s="208">
        <f t="shared" si="6"/>
        <v>0</v>
      </c>
    </row>
    <row r="196" spans="1:8" ht="18" thickBot="1" x14ac:dyDescent="0.45">
      <c r="A196" s="241"/>
      <c r="B196" s="234" t="s">
        <v>380</v>
      </c>
      <c r="C196" s="218"/>
      <c r="D196" s="136"/>
      <c r="E196" s="198">
        <v>0</v>
      </c>
      <c r="F196" s="244">
        <f t="shared" si="5"/>
        <v>0</v>
      </c>
      <c r="G196" s="172">
        <v>0</v>
      </c>
      <c r="H196" s="208">
        <f t="shared" si="6"/>
        <v>0</v>
      </c>
    </row>
    <row r="197" spans="1:8" ht="18" thickBot="1" x14ac:dyDescent="0.45">
      <c r="A197" s="241" t="s">
        <v>310</v>
      </c>
      <c r="B197" s="234" t="s">
        <v>1688</v>
      </c>
      <c r="C197" s="218"/>
      <c r="D197" s="136" t="s">
        <v>745</v>
      </c>
      <c r="E197" s="198">
        <v>0</v>
      </c>
      <c r="F197" s="244">
        <f t="shared" ref="F197:F260" si="7">E197/(24*31)</f>
        <v>0</v>
      </c>
      <c r="G197" s="172">
        <v>17.600000000000001</v>
      </c>
      <c r="H197" s="208">
        <f t="shared" ref="H197:H260" si="8">IFERROR(G197-F197, "")</f>
        <v>17.600000000000001</v>
      </c>
    </row>
    <row r="198" spans="1:8" ht="18" thickBot="1" x14ac:dyDescent="0.45">
      <c r="A198" s="241"/>
      <c r="B198" s="234" t="s">
        <v>358</v>
      </c>
      <c r="C198" s="218"/>
      <c r="D198" s="136" t="s">
        <v>762</v>
      </c>
      <c r="E198" s="198">
        <v>7589</v>
      </c>
      <c r="F198" s="244">
        <f t="shared" si="7"/>
        <v>10.200268817204302</v>
      </c>
      <c r="G198" s="172">
        <v>0</v>
      </c>
      <c r="H198" s="208">
        <f t="shared" si="8"/>
        <v>-10.200268817204302</v>
      </c>
    </row>
    <row r="199" spans="1:8" ht="18" thickBot="1" x14ac:dyDescent="0.45">
      <c r="A199" s="241"/>
      <c r="B199" s="234" t="s">
        <v>359</v>
      </c>
      <c r="C199" s="218"/>
      <c r="D199" s="136"/>
      <c r="E199" s="198">
        <v>0</v>
      </c>
      <c r="F199" s="244">
        <f t="shared" si="7"/>
        <v>0</v>
      </c>
      <c r="G199" s="172">
        <v>0</v>
      </c>
      <c r="H199" s="208">
        <f t="shared" si="8"/>
        <v>0</v>
      </c>
    </row>
    <row r="200" spans="1:8" ht="18" thickBot="1" x14ac:dyDescent="0.45">
      <c r="A200" s="241"/>
      <c r="B200" s="234" t="s">
        <v>360</v>
      </c>
      <c r="C200" s="241"/>
      <c r="D200" s="136"/>
      <c r="E200" s="198">
        <v>0</v>
      </c>
      <c r="F200" s="244">
        <f t="shared" si="7"/>
        <v>0</v>
      </c>
      <c r="G200" s="172">
        <v>0</v>
      </c>
      <c r="H200" s="208">
        <f t="shared" si="8"/>
        <v>0</v>
      </c>
    </row>
    <row r="201" spans="1:8" ht="18" thickBot="1" x14ac:dyDescent="0.45">
      <c r="A201" s="241"/>
      <c r="B201" s="234" t="s">
        <v>361</v>
      </c>
      <c r="C201" s="241"/>
      <c r="D201" s="136"/>
      <c r="E201" s="198">
        <v>0</v>
      </c>
      <c r="F201" s="244">
        <f t="shared" si="7"/>
        <v>0</v>
      </c>
      <c r="G201" s="172">
        <v>0</v>
      </c>
      <c r="H201" s="208">
        <f t="shared" si="8"/>
        <v>0</v>
      </c>
    </row>
    <row r="202" spans="1:8" ht="18" thickBot="1" x14ac:dyDescent="0.45">
      <c r="A202" s="241"/>
      <c r="B202" s="234" t="s">
        <v>362</v>
      </c>
      <c r="C202" s="241"/>
      <c r="D202" s="136" t="s">
        <v>742</v>
      </c>
      <c r="E202" s="198">
        <v>0</v>
      </c>
      <c r="F202" s="244">
        <f t="shared" si="7"/>
        <v>0</v>
      </c>
      <c r="G202" s="172">
        <v>0</v>
      </c>
      <c r="H202" s="208">
        <f t="shared" si="8"/>
        <v>0</v>
      </c>
    </row>
    <row r="203" spans="1:8" ht="18" thickBot="1" x14ac:dyDescent="0.45">
      <c r="A203" s="241"/>
      <c r="B203" s="234" t="s">
        <v>363</v>
      </c>
      <c r="C203" s="241"/>
      <c r="D203" s="136" t="s">
        <v>742</v>
      </c>
      <c r="E203" s="198">
        <v>0</v>
      </c>
      <c r="F203" s="244">
        <f t="shared" si="7"/>
        <v>0</v>
      </c>
      <c r="G203" s="172">
        <v>0</v>
      </c>
      <c r="H203" s="208">
        <f t="shared" si="8"/>
        <v>0</v>
      </c>
    </row>
    <row r="204" spans="1:8" ht="18" thickBot="1" x14ac:dyDescent="0.45">
      <c r="A204" s="218"/>
      <c r="B204" s="234" t="s">
        <v>364</v>
      </c>
      <c r="C204" s="218"/>
      <c r="D204" s="136" t="s">
        <v>742</v>
      </c>
      <c r="E204" s="198">
        <v>0</v>
      </c>
      <c r="F204" s="244">
        <f t="shared" si="7"/>
        <v>0</v>
      </c>
      <c r="G204" s="172">
        <v>0</v>
      </c>
      <c r="H204" s="208">
        <f t="shared" si="8"/>
        <v>0</v>
      </c>
    </row>
    <row r="205" spans="1:8" ht="18" thickBot="1" x14ac:dyDescent="0.45">
      <c r="A205" s="218"/>
      <c r="B205" s="234" t="s">
        <v>365</v>
      </c>
      <c r="C205" s="218"/>
      <c r="D205" s="136" t="s">
        <v>742</v>
      </c>
      <c r="E205" s="198">
        <v>0</v>
      </c>
      <c r="F205" s="244">
        <f t="shared" si="7"/>
        <v>0</v>
      </c>
      <c r="G205" s="172">
        <v>0</v>
      </c>
      <c r="H205" s="208">
        <f t="shared" si="8"/>
        <v>0</v>
      </c>
    </row>
    <row r="206" spans="1:8" ht="18" thickBot="1" x14ac:dyDescent="0.45">
      <c r="A206" s="241"/>
      <c r="B206" s="234" t="s">
        <v>366</v>
      </c>
      <c r="C206" s="241"/>
      <c r="D206" s="136" t="s">
        <v>742</v>
      </c>
      <c r="E206" s="198">
        <v>0</v>
      </c>
      <c r="F206" s="244">
        <f t="shared" si="7"/>
        <v>0</v>
      </c>
      <c r="G206" s="172">
        <v>0</v>
      </c>
      <c r="H206" s="208">
        <f t="shared" si="8"/>
        <v>0</v>
      </c>
    </row>
    <row r="207" spans="1:8" ht="18" thickBot="1" x14ac:dyDescent="0.45">
      <c r="A207" s="241"/>
      <c r="B207" s="234" t="s">
        <v>367</v>
      </c>
      <c r="C207" s="241"/>
      <c r="D207" s="136"/>
      <c r="E207" s="198">
        <v>0</v>
      </c>
      <c r="F207" s="244">
        <f t="shared" si="7"/>
        <v>0</v>
      </c>
      <c r="G207" s="172">
        <v>0</v>
      </c>
      <c r="H207" s="208">
        <f t="shared" si="8"/>
        <v>0</v>
      </c>
    </row>
    <row r="208" spans="1:8" ht="18" thickBot="1" x14ac:dyDescent="0.45">
      <c r="A208" s="241"/>
      <c r="B208" s="234" t="s">
        <v>368</v>
      </c>
      <c r="C208" s="241"/>
      <c r="D208" s="136" t="s">
        <v>763</v>
      </c>
      <c r="E208" s="198">
        <v>0</v>
      </c>
      <c r="F208" s="244">
        <f t="shared" si="7"/>
        <v>0</v>
      </c>
      <c r="G208" s="172">
        <v>0</v>
      </c>
      <c r="H208" s="208">
        <f t="shared" si="8"/>
        <v>0</v>
      </c>
    </row>
    <row r="209" spans="1:8" ht="18" thickBot="1" x14ac:dyDescent="0.45">
      <c r="A209" s="241" t="s">
        <v>309</v>
      </c>
      <c r="B209" s="234" t="s">
        <v>1689</v>
      </c>
      <c r="C209" s="241"/>
      <c r="D209" s="136"/>
      <c r="E209" s="198">
        <v>0</v>
      </c>
      <c r="F209" s="244">
        <f t="shared" si="7"/>
        <v>0</v>
      </c>
      <c r="G209" s="172">
        <v>4.4000000000000004</v>
      </c>
      <c r="H209" s="208">
        <f t="shared" si="8"/>
        <v>4.4000000000000004</v>
      </c>
    </row>
    <row r="210" spans="1:8" ht="22.2" thickBot="1" x14ac:dyDescent="0.45">
      <c r="A210" s="241"/>
      <c r="B210" s="234" t="s">
        <v>346</v>
      </c>
      <c r="C210" s="241"/>
      <c r="D210" s="136" t="s">
        <v>764</v>
      </c>
      <c r="E210" s="198">
        <v>3827.1</v>
      </c>
      <c r="F210" s="244">
        <f t="shared" si="7"/>
        <v>5.1439516129032254</v>
      </c>
      <c r="G210" s="172">
        <v>0</v>
      </c>
      <c r="H210" s="208">
        <f t="shared" si="8"/>
        <v>-5.1439516129032254</v>
      </c>
    </row>
    <row r="211" spans="1:8" ht="18" thickBot="1" x14ac:dyDescent="0.45">
      <c r="A211" s="241"/>
      <c r="B211" s="234" t="s">
        <v>347</v>
      </c>
      <c r="C211" s="241"/>
      <c r="D211" s="136"/>
      <c r="E211" s="198">
        <v>0</v>
      </c>
      <c r="F211" s="244">
        <f t="shared" si="7"/>
        <v>0</v>
      </c>
      <c r="G211" s="172">
        <v>0</v>
      </c>
      <c r="H211" s="208">
        <f t="shared" si="8"/>
        <v>0</v>
      </c>
    </row>
    <row r="212" spans="1:8" ht="18" thickBot="1" x14ac:dyDescent="0.45">
      <c r="A212" s="241"/>
      <c r="B212" s="234" t="s">
        <v>348</v>
      </c>
      <c r="C212" s="241"/>
      <c r="D212" s="136" t="s">
        <v>765</v>
      </c>
      <c r="E212" s="198">
        <v>0</v>
      </c>
      <c r="F212" s="244">
        <f t="shared" si="7"/>
        <v>0</v>
      </c>
      <c r="G212" s="172">
        <v>0</v>
      </c>
      <c r="H212" s="208">
        <f t="shared" si="8"/>
        <v>0</v>
      </c>
    </row>
    <row r="213" spans="1:8" ht="18" thickBot="1" x14ac:dyDescent="0.45">
      <c r="A213" s="241"/>
      <c r="B213" s="234" t="s">
        <v>349</v>
      </c>
      <c r="C213" s="241"/>
      <c r="D213" s="136" t="s">
        <v>765</v>
      </c>
      <c r="E213" s="198">
        <v>0</v>
      </c>
      <c r="F213" s="244">
        <f t="shared" si="7"/>
        <v>0</v>
      </c>
      <c r="G213" s="172">
        <v>0</v>
      </c>
      <c r="H213" s="208">
        <f t="shared" si="8"/>
        <v>0</v>
      </c>
    </row>
    <row r="214" spans="1:8" ht="18" thickBot="1" x14ac:dyDescent="0.45">
      <c r="A214" s="241"/>
      <c r="B214" s="234" t="s">
        <v>350</v>
      </c>
      <c r="C214" s="241"/>
      <c r="D214" s="136"/>
      <c r="E214" s="198">
        <v>0</v>
      </c>
      <c r="F214" s="244">
        <f t="shared" si="7"/>
        <v>0</v>
      </c>
      <c r="G214" s="172">
        <v>0</v>
      </c>
      <c r="H214" s="208">
        <f t="shared" si="8"/>
        <v>0</v>
      </c>
    </row>
    <row r="215" spans="1:8" ht="18" thickBot="1" x14ac:dyDescent="0.45">
      <c r="A215" s="241"/>
      <c r="B215" s="234" t="s">
        <v>351</v>
      </c>
      <c r="C215" s="241"/>
      <c r="D215" s="136"/>
      <c r="E215" s="198">
        <v>0</v>
      </c>
      <c r="F215" s="244">
        <f t="shared" si="7"/>
        <v>0</v>
      </c>
      <c r="G215" s="172">
        <v>0</v>
      </c>
      <c r="H215" s="208">
        <f t="shared" si="8"/>
        <v>0</v>
      </c>
    </row>
    <row r="216" spans="1:8" ht="18" thickBot="1" x14ac:dyDescent="0.45">
      <c r="A216" s="241"/>
      <c r="B216" s="234" t="s">
        <v>352</v>
      </c>
      <c r="C216" s="241"/>
      <c r="D216" s="136"/>
      <c r="E216" s="198">
        <v>0</v>
      </c>
      <c r="F216" s="244">
        <f t="shared" si="7"/>
        <v>0</v>
      </c>
      <c r="G216" s="172">
        <v>0</v>
      </c>
      <c r="H216" s="208">
        <f t="shared" si="8"/>
        <v>0</v>
      </c>
    </row>
    <row r="217" spans="1:8" ht="18" thickBot="1" x14ac:dyDescent="0.45">
      <c r="A217" s="241"/>
      <c r="B217" s="234" t="s">
        <v>353</v>
      </c>
      <c r="C217" s="241"/>
      <c r="D217" s="136"/>
      <c r="E217" s="198">
        <v>0</v>
      </c>
      <c r="F217" s="244">
        <f t="shared" si="7"/>
        <v>0</v>
      </c>
      <c r="G217" s="172">
        <v>0</v>
      </c>
      <c r="H217" s="208">
        <f t="shared" si="8"/>
        <v>0</v>
      </c>
    </row>
    <row r="218" spans="1:8" ht="18" thickBot="1" x14ac:dyDescent="0.45">
      <c r="A218" s="241"/>
      <c r="B218" s="234" t="s">
        <v>354</v>
      </c>
      <c r="C218" s="241"/>
      <c r="D218" s="136"/>
      <c r="E218" s="198">
        <v>0</v>
      </c>
      <c r="F218" s="244">
        <f t="shared" si="7"/>
        <v>0</v>
      </c>
      <c r="G218" s="172">
        <v>0</v>
      </c>
      <c r="H218" s="208">
        <f t="shared" si="8"/>
        <v>0</v>
      </c>
    </row>
    <row r="219" spans="1:8" ht="18" thickBot="1" x14ac:dyDescent="0.45">
      <c r="A219" s="241"/>
      <c r="B219" s="234" t="s">
        <v>355</v>
      </c>
      <c r="C219" s="241"/>
      <c r="D219" s="136"/>
      <c r="E219" s="198">
        <v>0</v>
      </c>
      <c r="F219" s="244">
        <f t="shared" si="7"/>
        <v>0</v>
      </c>
      <c r="G219" s="172">
        <v>0</v>
      </c>
      <c r="H219" s="208">
        <f t="shared" si="8"/>
        <v>0</v>
      </c>
    </row>
    <row r="220" spans="1:8" ht="18" thickBot="1" x14ac:dyDescent="0.45">
      <c r="A220" s="241"/>
      <c r="B220" s="234" t="s">
        <v>356</v>
      </c>
      <c r="C220" s="241"/>
      <c r="D220" s="136" t="s">
        <v>766</v>
      </c>
      <c r="E220" s="198">
        <v>0</v>
      </c>
      <c r="F220" s="244">
        <f t="shared" si="7"/>
        <v>0</v>
      </c>
      <c r="G220" s="172">
        <v>0</v>
      </c>
      <c r="H220" s="208">
        <f t="shared" si="8"/>
        <v>0</v>
      </c>
    </row>
    <row r="221" spans="1:8" ht="18" thickBot="1" x14ac:dyDescent="0.45">
      <c r="A221" s="241" t="s">
        <v>308</v>
      </c>
      <c r="B221" s="234" t="s">
        <v>1690</v>
      </c>
      <c r="C221" s="241"/>
      <c r="D221" s="136" t="s">
        <v>767</v>
      </c>
      <c r="E221" s="198">
        <v>0</v>
      </c>
      <c r="F221" s="244">
        <f t="shared" si="7"/>
        <v>0</v>
      </c>
      <c r="G221" s="172">
        <v>3.3</v>
      </c>
      <c r="H221" s="208">
        <f t="shared" si="8"/>
        <v>3.3</v>
      </c>
    </row>
    <row r="222" spans="1:8" ht="18" thickBot="1" x14ac:dyDescent="0.45">
      <c r="A222" s="241"/>
      <c r="B222" s="234" t="s">
        <v>334</v>
      </c>
      <c r="C222" s="241"/>
      <c r="D222" s="136"/>
      <c r="E222" s="198">
        <v>2550.1999999999998</v>
      </c>
      <c r="F222" s="244">
        <f t="shared" si="7"/>
        <v>3.4276881720430104</v>
      </c>
      <c r="G222" s="172">
        <v>0</v>
      </c>
      <c r="H222" s="208">
        <f t="shared" si="8"/>
        <v>-3.4276881720430104</v>
      </c>
    </row>
    <row r="223" spans="1:8" ht="18" thickBot="1" x14ac:dyDescent="0.45">
      <c r="A223" s="241"/>
      <c r="B223" s="234" t="s">
        <v>335</v>
      </c>
      <c r="C223" s="241"/>
      <c r="D223" s="136"/>
      <c r="E223" s="198">
        <v>0</v>
      </c>
      <c r="F223" s="244">
        <f t="shared" si="7"/>
        <v>0</v>
      </c>
      <c r="G223" s="172">
        <v>0</v>
      </c>
      <c r="H223" s="208">
        <f t="shared" si="8"/>
        <v>0</v>
      </c>
    </row>
    <row r="224" spans="1:8" ht="18" thickBot="1" x14ac:dyDescent="0.45">
      <c r="A224" s="241"/>
      <c r="B224" s="234" t="s">
        <v>336</v>
      </c>
      <c r="C224" s="241"/>
      <c r="D224" s="136"/>
      <c r="E224" s="198">
        <v>0</v>
      </c>
      <c r="F224" s="244">
        <f t="shared" si="7"/>
        <v>0</v>
      </c>
      <c r="G224" s="172">
        <v>0</v>
      </c>
      <c r="H224" s="208">
        <f t="shared" si="8"/>
        <v>0</v>
      </c>
    </row>
    <row r="225" spans="1:9" ht="18" thickBot="1" x14ac:dyDescent="0.45">
      <c r="A225" s="241"/>
      <c r="B225" s="234" t="s">
        <v>337</v>
      </c>
      <c r="C225" s="241"/>
      <c r="D225" s="136"/>
      <c r="E225" s="198">
        <v>0</v>
      </c>
      <c r="F225" s="244">
        <f t="shared" si="7"/>
        <v>0</v>
      </c>
      <c r="G225" s="172">
        <v>0</v>
      </c>
      <c r="H225" s="208">
        <f t="shared" si="8"/>
        <v>0</v>
      </c>
    </row>
    <row r="226" spans="1:9" ht="18" thickBot="1" x14ac:dyDescent="0.45">
      <c r="A226" s="241"/>
      <c r="B226" s="234" t="s">
        <v>338</v>
      </c>
      <c r="C226" s="241"/>
      <c r="D226" s="136"/>
      <c r="E226" s="198">
        <v>0</v>
      </c>
      <c r="F226" s="244">
        <f t="shared" si="7"/>
        <v>0</v>
      </c>
      <c r="G226" s="172">
        <v>0</v>
      </c>
      <c r="H226" s="208">
        <f t="shared" si="8"/>
        <v>0</v>
      </c>
    </row>
    <row r="227" spans="1:9" ht="18" thickBot="1" x14ac:dyDescent="0.45">
      <c r="A227" s="241"/>
      <c r="B227" s="234" t="s">
        <v>339</v>
      </c>
      <c r="C227" s="241"/>
      <c r="D227" s="136"/>
      <c r="E227" s="198">
        <v>0</v>
      </c>
      <c r="F227" s="244">
        <f t="shared" si="7"/>
        <v>0</v>
      </c>
      <c r="G227" s="172">
        <v>0</v>
      </c>
      <c r="H227" s="208">
        <f t="shared" si="8"/>
        <v>0</v>
      </c>
    </row>
    <row r="228" spans="1:9" ht="18" thickBot="1" x14ac:dyDescent="0.45">
      <c r="A228" s="241"/>
      <c r="B228" s="234" t="s">
        <v>340</v>
      </c>
      <c r="C228" s="241"/>
      <c r="D228" s="136" t="s">
        <v>733</v>
      </c>
      <c r="E228" s="198">
        <v>0</v>
      </c>
      <c r="F228" s="244">
        <f t="shared" si="7"/>
        <v>0</v>
      </c>
      <c r="G228" s="172">
        <v>0</v>
      </c>
      <c r="H228" s="208">
        <f t="shared" si="8"/>
        <v>0</v>
      </c>
    </row>
    <row r="229" spans="1:9" ht="18" thickBot="1" x14ac:dyDescent="0.45">
      <c r="A229" s="241"/>
      <c r="B229" s="234" t="s">
        <v>341</v>
      </c>
      <c r="C229" s="241"/>
      <c r="D229" s="136"/>
      <c r="E229" s="198">
        <v>0</v>
      </c>
      <c r="F229" s="244">
        <f t="shared" si="7"/>
        <v>0</v>
      </c>
      <c r="G229" s="172">
        <v>0</v>
      </c>
      <c r="H229" s="208">
        <f t="shared" si="8"/>
        <v>0</v>
      </c>
    </row>
    <row r="230" spans="1:9" ht="18" thickBot="1" x14ac:dyDescent="0.45">
      <c r="A230" s="241"/>
      <c r="B230" s="234" t="s">
        <v>342</v>
      </c>
      <c r="C230" s="241"/>
      <c r="D230" s="136"/>
      <c r="E230" s="198">
        <v>0</v>
      </c>
      <c r="F230" s="244">
        <f t="shared" si="7"/>
        <v>0</v>
      </c>
      <c r="G230" s="172">
        <v>0</v>
      </c>
      <c r="H230" s="208">
        <f t="shared" si="8"/>
        <v>0</v>
      </c>
    </row>
    <row r="231" spans="1:9" ht="18" thickBot="1" x14ac:dyDescent="0.45">
      <c r="A231" s="241"/>
      <c r="B231" s="234" t="s">
        <v>343</v>
      </c>
      <c r="C231" s="241"/>
      <c r="D231" s="136"/>
      <c r="E231" s="198">
        <v>0</v>
      </c>
      <c r="F231" s="244">
        <f t="shared" si="7"/>
        <v>0</v>
      </c>
      <c r="G231" s="172">
        <v>0</v>
      </c>
      <c r="H231" s="208">
        <f t="shared" si="8"/>
        <v>0</v>
      </c>
    </row>
    <row r="232" spans="1:9" ht="18" thickBot="1" x14ac:dyDescent="0.45">
      <c r="A232" s="241"/>
      <c r="B232" s="234" t="s">
        <v>344</v>
      </c>
      <c r="C232" s="241"/>
      <c r="D232" s="136"/>
      <c r="E232" s="198">
        <v>0</v>
      </c>
      <c r="F232" s="244">
        <f t="shared" si="7"/>
        <v>0</v>
      </c>
      <c r="G232" s="172">
        <v>0</v>
      </c>
      <c r="H232" s="208">
        <f t="shared" si="8"/>
        <v>0</v>
      </c>
      <c r="I232" s="148"/>
    </row>
    <row r="233" spans="1:9" ht="18" thickBot="1" x14ac:dyDescent="0.45">
      <c r="A233" s="177"/>
      <c r="B233" s="177" t="s">
        <v>505</v>
      </c>
      <c r="C233" s="178" t="s">
        <v>799</v>
      </c>
      <c r="D233" s="179" t="s">
        <v>745</v>
      </c>
      <c r="E233" s="199">
        <v>0</v>
      </c>
      <c r="F233" s="244">
        <f t="shared" si="7"/>
        <v>0</v>
      </c>
      <c r="G233" s="181">
        <v>2.2000000000000002</v>
      </c>
      <c r="H233" s="208">
        <f t="shared" si="8"/>
        <v>2.2000000000000002</v>
      </c>
      <c r="I233" s="138" t="s">
        <v>1660</v>
      </c>
    </row>
    <row r="234" spans="1:9" ht="18" thickBot="1" x14ac:dyDescent="0.45">
      <c r="A234" s="234"/>
      <c r="B234" s="234" t="s">
        <v>506</v>
      </c>
      <c r="C234" s="150" t="s">
        <v>579</v>
      </c>
      <c r="D234" s="141"/>
      <c r="E234" s="199">
        <v>0</v>
      </c>
      <c r="F234" s="244">
        <f t="shared" si="7"/>
        <v>0</v>
      </c>
      <c r="G234" s="172">
        <v>0</v>
      </c>
      <c r="H234" s="208">
        <f t="shared" si="8"/>
        <v>0</v>
      </c>
    </row>
    <row r="235" spans="1:9" ht="18" thickBot="1" x14ac:dyDescent="0.45">
      <c r="A235" s="234"/>
      <c r="B235" s="234" t="s">
        <v>507</v>
      </c>
      <c r="C235" s="151" t="s">
        <v>580</v>
      </c>
      <c r="D235" s="141" t="s">
        <v>776</v>
      </c>
      <c r="E235" s="199">
        <v>0</v>
      </c>
      <c r="F235" s="244">
        <f t="shared" si="7"/>
        <v>0</v>
      </c>
      <c r="G235" s="172">
        <v>2.2000000000000002</v>
      </c>
      <c r="H235" s="208">
        <f t="shared" si="8"/>
        <v>2.2000000000000002</v>
      </c>
    </row>
    <row r="236" spans="1:9" ht="18" thickBot="1" x14ac:dyDescent="0.45">
      <c r="A236" s="234"/>
      <c r="B236" s="234"/>
      <c r="C236" s="151"/>
      <c r="D236" s="141"/>
      <c r="E236" s="199">
        <v>3535.5</v>
      </c>
      <c r="F236" s="244">
        <f t="shared" si="7"/>
        <v>4.752016129032258</v>
      </c>
      <c r="G236" s="172" t="s">
        <v>1658</v>
      </c>
      <c r="H236" s="208" t="str">
        <f t="shared" si="8"/>
        <v/>
      </c>
    </row>
    <row r="237" spans="1:9" ht="18" thickBot="1" x14ac:dyDescent="0.45">
      <c r="A237" s="234"/>
      <c r="B237" s="234" t="s">
        <v>508</v>
      </c>
      <c r="C237" s="233" t="s">
        <v>581</v>
      </c>
      <c r="D237" s="141" t="s">
        <v>776</v>
      </c>
      <c r="E237" s="199">
        <v>0</v>
      </c>
      <c r="F237" s="244">
        <f t="shared" si="7"/>
        <v>0</v>
      </c>
      <c r="G237" s="172">
        <v>2.2000000000000002</v>
      </c>
      <c r="H237" s="208">
        <f t="shared" si="8"/>
        <v>2.2000000000000002</v>
      </c>
    </row>
    <row r="238" spans="1:9" ht="18" thickBot="1" x14ac:dyDescent="0.45">
      <c r="A238" s="234"/>
      <c r="B238" s="234"/>
      <c r="C238" s="233"/>
      <c r="D238" s="141"/>
      <c r="E238" s="199">
        <v>760.09999999999991</v>
      </c>
      <c r="F238" s="244">
        <f t="shared" si="7"/>
        <v>1.0216397849462364</v>
      </c>
      <c r="G238" s="172" t="s">
        <v>1658</v>
      </c>
      <c r="H238" s="208" t="str">
        <f t="shared" si="8"/>
        <v/>
      </c>
    </row>
    <row r="239" spans="1:9" ht="18" thickBot="1" x14ac:dyDescent="0.45">
      <c r="A239" s="234"/>
      <c r="B239" s="234" t="s">
        <v>509</v>
      </c>
      <c r="C239" s="233" t="s">
        <v>582</v>
      </c>
      <c r="D239" s="141" t="s">
        <v>776</v>
      </c>
      <c r="E239" s="199">
        <v>0</v>
      </c>
      <c r="F239" s="244">
        <f t="shared" si="7"/>
        <v>0</v>
      </c>
      <c r="G239" s="172">
        <v>2.2000000000000002</v>
      </c>
      <c r="H239" s="208">
        <f t="shared" si="8"/>
        <v>2.2000000000000002</v>
      </c>
    </row>
    <row r="240" spans="1:9" ht="18" thickBot="1" x14ac:dyDescent="0.45">
      <c r="A240" s="234"/>
      <c r="B240" s="234" t="s">
        <v>510</v>
      </c>
      <c r="C240" s="233" t="s">
        <v>583</v>
      </c>
      <c r="D240" s="141" t="s">
        <v>776</v>
      </c>
      <c r="E240" s="199">
        <v>2027.1</v>
      </c>
      <c r="F240" s="244">
        <f t="shared" si="7"/>
        <v>2.7245967741935484</v>
      </c>
      <c r="G240" s="172">
        <v>2.2000000000000002</v>
      </c>
      <c r="H240" s="208">
        <f t="shared" si="8"/>
        <v>-0.52459677419354822</v>
      </c>
    </row>
    <row r="241" spans="1:8" ht="18" thickBot="1" x14ac:dyDescent="0.45">
      <c r="A241" s="234"/>
      <c r="B241" s="234" t="s">
        <v>511</v>
      </c>
      <c r="C241" s="233" t="s">
        <v>584</v>
      </c>
      <c r="D241" s="141" t="s">
        <v>776</v>
      </c>
      <c r="E241" s="199">
        <v>229.2</v>
      </c>
      <c r="F241" s="244">
        <f t="shared" si="7"/>
        <v>0.30806451612903224</v>
      </c>
      <c r="G241" s="172">
        <v>2.2000000000000002</v>
      </c>
      <c r="H241" s="208">
        <f t="shared" si="8"/>
        <v>1.8919354838709679</v>
      </c>
    </row>
    <row r="242" spans="1:8" ht="18" thickBot="1" x14ac:dyDescent="0.45">
      <c r="A242" s="234"/>
      <c r="B242" s="234" t="s">
        <v>512</v>
      </c>
      <c r="C242" s="233" t="s">
        <v>585</v>
      </c>
      <c r="D242" s="141" t="s">
        <v>777</v>
      </c>
      <c r="E242" s="199">
        <v>56.8</v>
      </c>
      <c r="F242" s="244">
        <f t="shared" si="7"/>
        <v>7.6344086021505372E-2</v>
      </c>
      <c r="G242" s="172">
        <v>2.2000000000000002</v>
      </c>
      <c r="H242" s="208">
        <f t="shared" si="8"/>
        <v>2.123655913978495</v>
      </c>
    </row>
    <row r="243" spans="1:8" ht="18" thickBot="1" x14ac:dyDescent="0.45">
      <c r="A243" s="234"/>
      <c r="B243" s="234"/>
      <c r="C243" s="233"/>
      <c r="D243" s="141"/>
      <c r="E243" s="199">
        <v>2052.6</v>
      </c>
      <c r="F243" s="244">
        <f t="shared" si="7"/>
        <v>2.7588709677419354</v>
      </c>
      <c r="G243" s="172" t="s">
        <v>1658</v>
      </c>
      <c r="H243" s="208" t="str">
        <f t="shared" si="8"/>
        <v/>
      </c>
    </row>
    <row r="244" spans="1:8" ht="18" thickBot="1" x14ac:dyDescent="0.45">
      <c r="A244" s="234"/>
      <c r="B244" s="234" t="s">
        <v>513</v>
      </c>
      <c r="C244" s="241" t="s">
        <v>586</v>
      </c>
      <c r="D244" s="141"/>
      <c r="E244" s="199">
        <v>0</v>
      </c>
      <c r="F244" s="244">
        <f t="shared" si="7"/>
        <v>0</v>
      </c>
      <c r="G244" s="172">
        <v>0</v>
      </c>
      <c r="H244" s="208">
        <f t="shared" si="8"/>
        <v>0</v>
      </c>
    </row>
    <row r="245" spans="1:8" ht="18" thickBot="1" x14ac:dyDescent="0.45">
      <c r="A245" s="234"/>
      <c r="B245" s="234" t="s">
        <v>514</v>
      </c>
      <c r="C245" s="233" t="s">
        <v>587</v>
      </c>
      <c r="D245" s="141" t="s">
        <v>745</v>
      </c>
      <c r="E245" s="199">
        <v>0</v>
      </c>
      <c r="F245" s="244">
        <f t="shared" si="7"/>
        <v>0</v>
      </c>
      <c r="G245" s="172">
        <v>2.2000000000000002</v>
      </c>
      <c r="H245" s="208">
        <f t="shared" si="8"/>
        <v>2.2000000000000002</v>
      </c>
    </row>
    <row r="246" spans="1:8" ht="18" thickBot="1" x14ac:dyDescent="0.45">
      <c r="A246" s="234"/>
      <c r="B246" s="234" t="s">
        <v>515</v>
      </c>
      <c r="C246" s="233" t="s">
        <v>800</v>
      </c>
      <c r="D246" s="183" t="s">
        <v>745</v>
      </c>
      <c r="E246" s="199">
        <v>242.5</v>
      </c>
      <c r="F246" s="244">
        <f t="shared" si="7"/>
        <v>0.32594086021505375</v>
      </c>
      <c r="G246" s="172">
        <v>2.2000000000000002</v>
      </c>
      <c r="H246" s="208">
        <f t="shared" si="8"/>
        <v>1.8740591397849464</v>
      </c>
    </row>
    <row r="247" spans="1:8" ht="18" thickBot="1" x14ac:dyDescent="0.45">
      <c r="A247" s="234"/>
      <c r="B247" s="234" t="s">
        <v>516</v>
      </c>
      <c r="C247" s="233" t="s">
        <v>588</v>
      </c>
      <c r="D247" s="141"/>
      <c r="E247" s="199">
        <v>0</v>
      </c>
      <c r="F247" s="244">
        <f t="shared" si="7"/>
        <v>0</v>
      </c>
      <c r="G247" s="172">
        <v>0</v>
      </c>
      <c r="H247" s="208">
        <f t="shared" si="8"/>
        <v>0</v>
      </c>
    </row>
    <row r="248" spans="1:8" ht="18" thickBot="1" x14ac:dyDescent="0.45">
      <c r="A248" s="234"/>
      <c r="B248" s="234" t="s">
        <v>517</v>
      </c>
      <c r="C248" s="218"/>
      <c r="D248" s="141" t="s">
        <v>733</v>
      </c>
      <c r="E248" s="199">
        <v>0</v>
      </c>
      <c r="F248" s="244">
        <f t="shared" si="7"/>
        <v>0</v>
      </c>
      <c r="G248" s="172">
        <v>2.2000000000000002</v>
      </c>
      <c r="H248" s="208">
        <f t="shared" si="8"/>
        <v>2.2000000000000002</v>
      </c>
    </row>
    <row r="249" spans="1:8" ht="18" thickBot="1" x14ac:dyDescent="0.45">
      <c r="A249" s="234"/>
      <c r="B249" s="234"/>
      <c r="C249" s="218"/>
      <c r="D249" s="141"/>
      <c r="E249" s="199">
        <v>383.6</v>
      </c>
      <c r="F249" s="244">
        <f t="shared" si="7"/>
        <v>0.5155913978494624</v>
      </c>
      <c r="G249" s="172" t="s">
        <v>1658</v>
      </c>
      <c r="H249" s="208" t="str">
        <f t="shared" si="8"/>
        <v/>
      </c>
    </row>
    <row r="250" spans="1:8" ht="18" thickBot="1" x14ac:dyDescent="0.45">
      <c r="A250" s="234"/>
      <c r="B250" s="234"/>
      <c r="C250" s="241" t="s">
        <v>589</v>
      </c>
      <c r="D250" s="141"/>
      <c r="E250" s="199">
        <v>0</v>
      </c>
      <c r="F250" s="244">
        <f t="shared" si="7"/>
        <v>0</v>
      </c>
      <c r="G250" s="172" t="s">
        <v>1658</v>
      </c>
      <c r="H250" s="208" t="str">
        <f t="shared" si="8"/>
        <v/>
      </c>
    </row>
    <row r="251" spans="1:8" ht="18" thickBot="1" x14ac:dyDescent="0.45">
      <c r="A251" s="234"/>
      <c r="B251" s="234" t="s">
        <v>518</v>
      </c>
      <c r="C251" s="241" t="s">
        <v>590</v>
      </c>
      <c r="D251" s="141" t="s">
        <v>778</v>
      </c>
      <c r="E251" s="199">
        <v>0</v>
      </c>
      <c r="F251" s="244">
        <f t="shared" si="7"/>
        <v>0</v>
      </c>
      <c r="G251" s="172">
        <v>2.2000000000000002</v>
      </c>
      <c r="H251" s="208">
        <f t="shared" si="8"/>
        <v>2.2000000000000002</v>
      </c>
    </row>
    <row r="252" spans="1:8" ht="18" thickBot="1" x14ac:dyDescent="0.45">
      <c r="A252" s="234"/>
      <c r="B252" s="234" t="s">
        <v>519</v>
      </c>
      <c r="C252" s="233" t="s">
        <v>591</v>
      </c>
      <c r="D252" s="141" t="s">
        <v>779</v>
      </c>
      <c r="E252" s="199">
        <v>745.6</v>
      </c>
      <c r="F252" s="244">
        <f t="shared" si="7"/>
        <v>1.0021505376344086</v>
      </c>
      <c r="G252" s="172">
        <v>2.2000000000000002</v>
      </c>
      <c r="H252" s="208">
        <f t="shared" si="8"/>
        <v>1.1978494623655915</v>
      </c>
    </row>
    <row r="253" spans="1:8" ht="18" thickBot="1" x14ac:dyDescent="0.45">
      <c r="A253" s="234"/>
      <c r="B253" s="234" t="s">
        <v>520</v>
      </c>
      <c r="C253" s="233" t="s">
        <v>592</v>
      </c>
      <c r="D253" s="141" t="s">
        <v>780</v>
      </c>
      <c r="E253" s="199">
        <v>1455.8000000000002</v>
      </c>
      <c r="F253" s="244">
        <f t="shared" si="7"/>
        <v>1.9567204301075272</v>
      </c>
      <c r="G253" s="172">
        <v>1.1000000000000001</v>
      </c>
      <c r="H253" s="208">
        <f t="shared" si="8"/>
        <v>-0.85672043010752708</v>
      </c>
    </row>
    <row r="254" spans="1:8" ht="18" thickBot="1" x14ac:dyDescent="0.45">
      <c r="A254" s="234"/>
      <c r="B254" s="234"/>
      <c r="C254" s="233"/>
      <c r="D254" s="141"/>
      <c r="E254" s="199">
        <v>99.7</v>
      </c>
      <c r="F254" s="244">
        <f t="shared" si="7"/>
        <v>0.13400537634408602</v>
      </c>
      <c r="G254" s="172" t="s">
        <v>1658</v>
      </c>
      <c r="H254" s="208" t="str">
        <f t="shared" si="8"/>
        <v/>
      </c>
    </row>
    <row r="255" spans="1:8" ht="18" thickBot="1" x14ac:dyDescent="0.45">
      <c r="A255" s="234"/>
      <c r="B255" s="234" t="s">
        <v>521</v>
      </c>
      <c r="C255" s="233" t="s">
        <v>593</v>
      </c>
      <c r="D255" s="141" t="s">
        <v>781</v>
      </c>
      <c r="E255" s="199">
        <v>0</v>
      </c>
      <c r="F255" s="244">
        <f t="shared" si="7"/>
        <v>0</v>
      </c>
      <c r="G255" s="172">
        <v>1.1000000000000001</v>
      </c>
      <c r="H255" s="208">
        <f t="shared" si="8"/>
        <v>1.1000000000000001</v>
      </c>
    </row>
    <row r="256" spans="1:8" ht="18" thickBot="1" x14ac:dyDescent="0.45">
      <c r="A256" s="234"/>
      <c r="B256" s="234" t="s">
        <v>522</v>
      </c>
      <c r="C256" s="233" t="s">
        <v>594</v>
      </c>
      <c r="D256" s="141" t="s">
        <v>733</v>
      </c>
      <c r="E256" s="199">
        <v>908.1</v>
      </c>
      <c r="F256" s="244">
        <f t="shared" si="7"/>
        <v>1.2205645161290324</v>
      </c>
      <c r="G256" s="172">
        <v>2.2000000000000002</v>
      </c>
      <c r="H256" s="208">
        <f t="shared" si="8"/>
        <v>0.97943548387096779</v>
      </c>
    </row>
    <row r="257" spans="1:8" ht="18" thickBot="1" x14ac:dyDescent="0.45">
      <c r="A257" s="234"/>
      <c r="B257" s="234"/>
      <c r="C257" s="233"/>
      <c r="D257" s="141"/>
      <c r="E257" s="199">
        <v>1630.3000000000002</v>
      </c>
      <c r="F257" s="244">
        <f t="shared" si="7"/>
        <v>2.1912634408602152</v>
      </c>
      <c r="G257" s="172" t="s">
        <v>1658</v>
      </c>
      <c r="H257" s="208" t="str">
        <f t="shared" si="8"/>
        <v/>
      </c>
    </row>
    <row r="258" spans="1:8" ht="18" thickBot="1" x14ac:dyDescent="0.45">
      <c r="A258" s="234"/>
      <c r="B258" s="234"/>
      <c r="C258" s="233"/>
      <c r="D258" s="141"/>
      <c r="E258" s="199">
        <v>0</v>
      </c>
      <c r="F258" s="244">
        <f t="shared" si="7"/>
        <v>0</v>
      </c>
      <c r="G258" s="172" t="s">
        <v>1658</v>
      </c>
      <c r="H258" s="208" t="str">
        <f t="shared" si="8"/>
        <v/>
      </c>
    </row>
    <row r="259" spans="1:8" ht="18" thickBot="1" x14ac:dyDescent="0.45">
      <c r="A259" s="234"/>
      <c r="B259" s="234" t="s">
        <v>523</v>
      </c>
      <c r="C259" s="233" t="s">
        <v>595</v>
      </c>
      <c r="D259" s="141" t="s">
        <v>782</v>
      </c>
      <c r="E259" s="199">
        <v>0</v>
      </c>
      <c r="F259" s="244">
        <f t="shared" si="7"/>
        <v>0</v>
      </c>
      <c r="G259" s="172">
        <v>2.2000000000000002</v>
      </c>
      <c r="H259" s="208">
        <f t="shared" si="8"/>
        <v>2.2000000000000002</v>
      </c>
    </row>
    <row r="260" spans="1:8" ht="18" thickBot="1" x14ac:dyDescent="0.45">
      <c r="A260" s="234"/>
      <c r="B260" s="234" t="s">
        <v>524</v>
      </c>
      <c r="C260" s="233" t="s">
        <v>596</v>
      </c>
      <c r="D260" s="141" t="s">
        <v>776</v>
      </c>
      <c r="E260" s="199">
        <v>1363.5</v>
      </c>
      <c r="F260" s="244">
        <f t="shared" si="7"/>
        <v>1.8326612903225807</v>
      </c>
      <c r="G260" s="172">
        <v>2.2000000000000002</v>
      </c>
      <c r="H260" s="208">
        <f t="shared" si="8"/>
        <v>0.36733870967741944</v>
      </c>
    </row>
    <row r="261" spans="1:8" ht="18" thickBot="1" x14ac:dyDescent="0.45">
      <c r="A261" s="234"/>
      <c r="B261" s="234" t="s">
        <v>525</v>
      </c>
      <c r="C261" s="153"/>
      <c r="D261" s="142"/>
      <c r="E261" s="199">
        <v>1059.5</v>
      </c>
      <c r="F261" s="244">
        <f t="shared" ref="F261:F324" si="9">E261/(24*31)</f>
        <v>1.4240591397849462</v>
      </c>
      <c r="G261" s="172">
        <v>0</v>
      </c>
      <c r="H261" s="208">
        <f t="shared" ref="H261:H324" si="10">IFERROR(G261-F261, "")</f>
        <v>-1.4240591397849462</v>
      </c>
    </row>
    <row r="262" spans="1:8" ht="18" thickBot="1" x14ac:dyDescent="0.45">
      <c r="A262" s="234"/>
      <c r="B262" s="234" t="s">
        <v>526</v>
      </c>
      <c r="C262" s="233" t="s">
        <v>801</v>
      </c>
      <c r="D262" s="141" t="s">
        <v>733</v>
      </c>
      <c r="E262" s="199">
        <v>0</v>
      </c>
      <c r="F262" s="244">
        <f t="shared" si="9"/>
        <v>0</v>
      </c>
      <c r="G262" s="172">
        <v>2.2000000000000002</v>
      </c>
      <c r="H262" s="208">
        <f t="shared" si="10"/>
        <v>2.2000000000000002</v>
      </c>
    </row>
    <row r="263" spans="1:8" ht="18" thickBot="1" x14ac:dyDescent="0.45">
      <c r="A263" s="234"/>
      <c r="B263" s="234" t="s">
        <v>527</v>
      </c>
      <c r="C263" s="152" t="s">
        <v>597</v>
      </c>
      <c r="D263" s="141" t="s">
        <v>733</v>
      </c>
      <c r="E263" s="199">
        <v>527.1</v>
      </c>
      <c r="F263" s="244">
        <f t="shared" si="9"/>
        <v>0.7084677419354839</v>
      </c>
      <c r="G263" s="172">
        <v>2.2000000000000002</v>
      </c>
      <c r="H263" s="208">
        <f t="shared" si="10"/>
        <v>1.4915322580645163</v>
      </c>
    </row>
    <row r="264" spans="1:8" ht="18" thickBot="1" x14ac:dyDescent="0.45">
      <c r="A264" s="234"/>
      <c r="B264" s="234" t="s">
        <v>528</v>
      </c>
      <c r="C264" s="241" t="s">
        <v>598</v>
      </c>
      <c r="D264" s="235"/>
      <c r="E264" s="199">
        <v>0</v>
      </c>
      <c r="F264" s="244">
        <f t="shared" si="9"/>
        <v>0</v>
      </c>
      <c r="G264" s="172">
        <v>0</v>
      </c>
      <c r="H264" s="208">
        <f t="shared" si="10"/>
        <v>0</v>
      </c>
    </row>
    <row r="265" spans="1:8" ht="18" thickBot="1" x14ac:dyDescent="0.45">
      <c r="A265" s="234"/>
      <c r="B265" s="234" t="s">
        <v>529</v>
      </c>
      <c r="C265" s="218" t="s">
        <v>599</v>
      </c>
      <c r="D265" s="235"/>
      <c r="E265" s="199">
        <v>0</v>
      </c>
      <c r="F265" s="244">
        <f t="shared" si="9"/>
        <v>0</v>
      </c>
      <c r="G265" s="172">
        <v>0</v>
      </c>
      <c r="H265" s="208">
        <f t="shared" si="10"/>
        <v>0</v>
      </c>
    </row>
    <row r="266" spans="1:8" ht="18" thickBot="1" x14ac:dyDescent="0.45">
      <c r="A266" s="234"/>
      <c r="B266" s="234" t="s">
        <v>530</v>
      </c>
      <c r="C266" s="218" t="s">
        <v>600</v>
      </c>
      <c r="D266" s="235"/>
      <c r="E266" s="199">
        <v>0</v>
      </c>
      <c r="F266" s="244">
        <f t="shared" si="9"/>
        <v>0</v>
      </c>
      <c r="G266" s="172">
        <v>0</v>
      </c>
      <c r="H266" s="208">
        <f t="shared" si="10"/>
        <v>0</v>
      </c>
    </row>
    <row r="267" spans="1:8" ht="18" thickBot="1" x14ac:dyDescent="0.45">
      <c r="A267" s="234"/>
      <c r="B267" s="234" t="s">
        <v>531</v>
      </c>
      <c r="C267" s="218" t="s">
        <v>601</v>
      </c>
      <c r="D267" s="235" t="s">
        <v>783</v>
      </c>
      <c r="E267" s="199">
        <v>0</v>
      </c>
      <c r="F267" s="244">
        <f t="shared" si="9"/>
        <v>0</v>
      </c>
      <c r="G267" s="172">
        <v>2.2000000000000002</v>
      </c>
      <c r="H267" s="208">
        <f t="shared" si="10"/>
        <v>2.2000000000000002</v>
      </c>
    </row>
    <row r="268" spans="1:8" ht="18" thickBot="1" x14ac:dyDescent="0.45">
      <c r="A268" s="234"/>
      <c r="B268" s="234" t="s">
        <v>532</v>
      </c>
      <c r="C268" s="233" t="s">
        <v>602</v>
      </c>
      <c r="D268" s="235" t="s">
        <v>783</v>
      </c>
      <c r="E268" s="199">
        <v>0</v>
      </c>
      <c r="F268" s="244">
        <f t="shared" si="9"/>
        <v>0</v>
      </c>
      <c r="G268" s="172">
        <v>2.2000000000000002</v>
      </c>
      <c r="H268" s="208">
        <f t="shared" si="10"/>
        <v>2.2000000000000002</v>
      </c>
    </row>
    <row r="269" spans="1:8" ht="18" thickBot="1" x14ac:dyDescent="0.45">
      <c r="A269" s="234"/>
      <c r="B269" s="234" t="s">
        <v>533</v>
      </c>
      <c r="C269" s="233" t="s">
        <v>603</v>
      </c>
      <c r="D269" s="235" t="s">
        <v>783</v>
      </c>
      <c r="E269" s="199">
        <v>1395.2</v>
      </c>
      <c r="F269" s="244">
        <f t="shared" si="9"/>
        <v>1.8752688172043011</v>
      </c>
      <c r="G269" s="172">
        <v>2.2000000000000002</v>
      </c>
      <c r="H269" s="208">
        <f t="shared" si="10"/>
        <v>0.32473118279569912</v>
      </c>
    </row>
    <row r="270" spans="1:8" ht="18" thickBot="1" x14ac:dyDescent="0.45">
      <c r="A270" s="184"/>
      <c r="B270" s="184"/>
      <c r="C270" s="153" t="s">
        <v>802</v>
      </c>
      <c r="D270" s="143"/>
      <c r="E270" s="199">
        <v>808.8</v>
      </c>
      <c r="F270" s="244">
        <f t="shared" si="9"/>
        <v>1.0870967741935482</v>
      </c>
      <c r="G270" s="172" t="s">
        <v>1658</v>
      </c>
      <c r="H270" s="208" t="str">
        <f t="shared" si="10"/>
        <v/>
      </c>
    </row>
    <row r="271" spans="1:8" ht="18" thickBot="1" x14ac:dyDescent="0.45">
      <c r="A271" s="234"/>
      <c r="B271" s="234" t="s">
        <v>534</v>
      </c>
      <c r="C271" s="233" t="s">
        <v>604</v>
      </c>
      <c r="D271" s="141" t="s">
        <v>745</v>
      </c>
      <c r="E271" s="199">
        <v>0</v>
      </c>
      <c r="F271" s="244">
        <f t="shared" si="9"/>
        <v>0</v>
      </c>
      <c r="G271" s="172">
        <v>2.2000000000000002</v>
      </c>
      <c r="H271" s="208">
        <f t="shared" si="10"/>
        <v>2.2000000000000002</v>
      </c>
    </row>
    <row r="272" spans="1:8" ht="18" thickBot="1" x14ac:dyDescent="0.45">
      <c r="A272" s="234"/>
      <c r="B272" s="234" t="s">
        <v>535</v>
      </c>
      <c r="C272" s="233" t="s">
        <v>605</v>
      </c>
      <c r="D272" s="141" t="s">
        <v>776</v>
      </c>
      <c r="E272" s="199">
        <v>70.599999999999994</v>
      </c>
      <c r="F272" s="244">
        <f t="shared" si="9"/>
        <v>9.4892473118279558E-2</v>
      </c>
      <c r="G272" s="172">
        <v>3.3</v>
      </c>
      <c r="H272" s="208">
        <f t="shared" si="10"/>
        <v>3.2051075268817204</v>
      </c>
    </row>
    <row r="273" spans="1:8" ht="18" thickBot="1" x14ac:dyDescent="0.45">
      <c r="A273" s="234"/>
      <c r="B273" s="234" t="s">
        <v>536</v>
      </c>
      <c r="C273" s="233" t="s">
        <v>606</v>
      </c>
      <c r="D273" s="141" t="s">
        <v>733</v>
      </c>
      <c r="E273" s="199">
        <v>242.7</v>
      </c>
      <c r="F273" s="244">
        <f t="shared" si="9"/>
        <v>0.3262096774193548</v>
      </c>
      <c r="G273" s="172">
        <v>3</v>
      </c>
      <c r="H273" s="208">
        <f t="shared" si="10"/>
        <v>2.6737903225806452</v>
      </c>
    </row>
    <row r="274" spans="1:8" ht="18" thickBot="1" x14ac:dyDescent="0.45">
      <c r="A274" s="234"/>
      <c r="B274" s="234"/>
      <c r="C274" s="233"/>
      <c r="D274" s="141"/>
      <c r="E274" s="199">
        <v>620.09999999999991</v>
      </c>
      <c r="F274" s="244">
        <f t="shared" si="9"/>
        <v>0.83346774193548379</v>
      </c>
      <c r="G274" s="172" t="s">
        <v>1658</v>
      </c>
      <c r="H274" s="208" t="str">
        <f t="shared" si="10"/>
        <v/>
      </c>
    </row>
    <row r="275" spans="1:8" ht="18" thickBot="1" x14ac:dyDescent="0.45">
      <c r="A275" s="234"/>
      <c r="B275" s="234" t="s">
        <v>537</v>
      </c>
      <c r="C275" s="233" t="s">
        <v>607</v>
      </c>
      <c r="D275" s="141" t="s">
        <v>733</v>
      </c>
      <c r="E275" s="199">
        <v>0</v>
      </c>
      <c r="F275" s="244">
        <f t="shared" si="9"/>
        <v>0</v>
      </c>
      <c r="G275" s="172">
        <v>2.2000000000000002</v>
      </c>
      <c r="H275" s="208">
        <f t="shared" si="10"/>
        <v>2.2000000000000002</v>
      </c>
    </row>
    <row r="276" spans="1:8" ht="18" thickBot="1" x14ac:dyDescent="0.45">
      <c r="A276" s="234"/>
      <c r="B276" s="234"/>
      <c r="C276" s="233"/>
      <c r="D276" s="141"/>
      <c r="E276" s="199">
        <v>970.09999999999991</v>
      </c>
      <c r="F276" s="244">
        <f t="shared" si="9"/>
        <v>1.3038978494623654</v>
      </c>
      <c r="G276" s="172" t="s">
        <v>1658</v>
      </c>
      <c r="H276" s="208" t="str">
        <f t="shared" si="10"/>
        <v/>
      </c>
    </row>
    <row r="277" spans="1:8" ht="18" thickBot="1" x14ac:dyDescent="0.45">
      <c r="A277" s="234"/>
      <c r="B277" s="234" t="s">
        <v>538</v>
      </c>
      <c r="C277" s="233" t="s">
        <v>608</v>
      </c>
      <c r="D277" s="141" t="s">
        <v>733</v>
      </c>
      <c r="E277" s="199">
        <v>0</v>
      </c>
      <c r="F277" s="244">
        <f t="shared" si="9"/>
        <v>0</v>
      </c>
      <c r="G277" s="172">
        <v>2.2000000000000002</v>
      </c>
      <c r="H277" s="208">
        <f t="shared" si="10"/>
        <v>2.2000000000000002</v>
      </c>
    </row>
    <row r="278" spans="1:8" ht="18" thickBot="1" x14ac:dyDescent="0.45">
      <c r="A278" s="234"/>
      <c r="B278" s="234" t="s">
        <v>539</v>
      </c>
      <c r="C278" s="233" t="s">
        <v>609</v>
      </c>
      <c r="D278" s="141" t="s">
        <v>784</v>
      </c>
      <c r="E278" s="199">
        <v>817.5</v>
      </c>
      <c r="F278" s="244">
        <f t="shared" si="9"/>
        <v>1.0987903225806452</v>
      </c>
      <c r="G278" s="172">
        <v>3.3</v>
      </c>
      <c r="H278" s="208">
        <f t="shared" si="10"/>
        <v>2.2012096774193548</v>
      </c>
    </row>
    <row r="279" spans="1:8" ht="18" thickBot="1" x14ac:dyDescent="0.45">
      <c r="A279" s="234"/>
      <c r="B279" s="234"/>
      <c r="C279" s="233"/>
      <c r="D279" s="141"/>
      <c r="E279" s="199">
        <v>2013.8000000000002</v>
      </c>
      <c r="F279" s="244">
        <f t="shared" si="9"/>
        <v>2.7067204301075272</v>
      </c>
      <c r="G279" s="172" t="s">
        <v>1658</v>
      </c>
      <c r="H279" s="208" t="str">
        <f t="shared" si="10"/>
        <v/>
      </c>
    </row>
    <row r="280" spans="1:8" ht="18" thickBot="1" x14ac:dyDescent="0.45">
      <c r="A280" s="234"/>
      <c r="B280" s="234" t="s">
        <v>540</v>
      </c>
      <c r="C280" s="233" t="s">
        <v>610</v>
      </c>
      <c r="D280" s="141" t="s">
        <v>784</v>
      </c>
      <c r="E280" s="199">
        <v>0</v>
      </c>
      <c r="F280" s="244">
        <f t="shared" si="9"/>
        <v>0</v>
      </c>
      <c r="G280" s="172">
        <v>3.3</v>
      </c>
      <c r="H280" s="208">
        <f t="shared" si="10"/>
        <v>3.3</v>
      </c>
    </row>
    <row r="281" spans="1:8" ht="18" thickBot="1" x14ac:dyDescent="0.45">
      <c r="A281" s="184"/>
      <c r="B281" s="184"/>
      <c r="C281" s="153" t="s">
        <v>803</v>
      </c>
      <c r="D281" s="142"/>
      <c r="E281" s="199">
        <v>787.6</v>
      </c>
      <c r="F281" s="244">
        <f t="shared" si="9"/>
        <v>1.0586021505376344</v>
      </c>
      <c r="G281" s="172" t="s">
        <v>1658</v>
      </c>
      <c r="H281" s="208" t="str">
        <f t="shared" si="10"/>
        <v/>
      </c>
    </row>
    <row r="282" spans="1:8" ht="18" thickBot="1" x14ac:dyDescent="0.45">
      <c r="A282" s="184"/>
      <c r="B282" s="184"/>
      <c r="C282" s="153" t="s">
        <v>611</v>
      </c>
      <c r="D282" s="142"/>
      <c r="E282" s="199">
        <v>0</v>
      </c>
      <c r="F282" s="244">
        <f t="shared" si="9"/>
        <v>0</v>
      </c>
      <c r="G282" s="172" t="s">
        <v>1658</v>
      </c>
      <c r="H282" s="208" t="str">
        <f t="shared" si="10"/>
        <v/>
      </c>
    </row>
    <row r="283" spans="1:8" ht="18" thickBot="1" x14ac:dyDescent="0.45">
      <c r="A283" s="234"/>
      <c r="B283" s="234" t="s">
        <v>541</v>
      </c>
      <c r="C283" s="233" t="s">
        <v>612</v>
      </c>
      <c r="D283" s="141" t="s">
        <v>785</v>
      </c>
      <c r="E283" s="199">
        <v>0</v>
      </c>
      <c r="F283" s="244">
        <f t="shared" si="9"/>
        <v>0</v>
      </c>
      <c r="G283" s="172">
        <v>2.2000000000000002</v>
      </c>
      <c r="H283" s="208">
        <f t="shared" si="10"/>
        <v>2.2000000000000002</v>
      </c>
    </row>
    <row r="284" spans="1:8" ht="18" thickBot="1" x14ac:dyDescent="0.45">
      <c r="A284" s="234"/>
      <c r="B284" s="234" t="s">
        <v>542</v>
      </c>
      <c r="C284" s="233" t="s">
        <v>613</v>
      </c>
      <c r="D284" s="141" t="s">
        <v>785</v>
      </c>
      <c r="E284" s="199">
        <v>2002.5</v>
      </c>
      <c r="F284" s="244">
        <f t="shared" si="9"/>
        <v>2.691532258064516</v>
      </c>
      <c r="G284" s="172">
        <v>2.2000000000000002</v>
      </c>
      <c r="H284" s="208">
        <f t="shared" si="10"/>
        <v>-0.49153225806451584</v>
      </c>
    </row>
    <row r="285" spans="1:8" ht="18" thickBot="1" x14ac:dyDescent="0.45">
      <c r="A285" s="234"/>
      <c r="B285" s="234" t="s">
        <v>543</v>
      </c>
      <c r="C285" s="233" t="s">
        <v>614</v>
      </c>
      <c r="D285" s="141"/>
      <c r="E285" s="199">
        <v>1036.7</v>
      </c>
      <c r="F285" s="244">
        <f t="shared" si="9"/>
        <v>1.3934139784946238</v>
      </c>
      <c r="G285" s="172">
        <v>0</v>
      </c>
      <c r="H285" s="208">
        <f t="shared" si="10"/>
        <v>-1.3934139784946238</v>
      </c>
    </row>
    <row r="286" spans="1:8" ht="18" thickBot="1" x14ac:dyDescent="0.45">
      <c r="A286" s="234"/>
      <c r="B286" s="234" t="s">
        <v>544</v>
      </c>
      <c r="C286" s="233" t="s">
        <v>615</v>
      </c>
      <c r="D286" s="141"/>
      <c r="E286" s="199">
        <v>0</v>
      </c>
      <c r="F286" s="244">
        <f t="shared" si="9"/>
        <v>0</v>
      </c>
      <c r="G286" s="172">
        <v>0</v>
      </c>
      <c r="H286" s="208">
        <f t="shared" si="10"/>
        <v>0</v>
      </c>
    </row>
    <row r="287" spans="1:8" ht="18" thickBot="1" x14ac:dyDescent="0.45">
      <c r="A287" s="234"/>
      <c r="B287" s="234" t="s">
        <v>545</v>
      </c>
      <c r="C287" s="233" t="s">
        <v>616</v>
      </c>
      <c r="D287" s="141"/>
      <c r="E287" s="199">
        <v>0</v>
      </c>
      <c r="F287" s="244">
        <f t="shared" si="9"/>
        <v>0</v>
      </c>
      <c r="G287" s="172">
        <v>0</v>
      </c>
      <c r="H287" s="208">
        <f t="shared" si="10"/>
        <v>0</v>
      </c>
    </row>
    <row r="288" spans="1:8" ht="18" thickBot="1" x14ac:dyDescent="0.45">
      <c r="A288" s="234"/>
      <c r="B288" s="234" t="s">
        <v>546</v>
      </c>
      <c r="C288" s="233" t="s">
        <v>617</v>
      </c>
      <c r="D288" s="141" t="s">
        <v>776</v>
      </c>
      <c r="E288" s="199">
        <v>0</v>
      </c>
      <c r="F288" s="244">
        <f t="shared" si="9"/>
        <v>0</v>
      </c>
      <c r="G288" s="172">
        <v>2.2000000000000002</v>
      </c>
      <c r="H288" s="208">
        <f t="shared" si="10"/>
        <v>2.2000000000000002</v>
      </c>
    </row>
    <row r="289" spans="1:8" ht="18" thickBot="1" x14ac:dyDescent="0.45">
      <c r="A289" s="234"/>
      <c r="B289" s="234"/>
      <c r="C289" s="233"/>
      <c r="D289" s="141"/>
      <c r="E289" s="199">
        <v>1718.1</v>
      </c>
      <c r="F289" s="244">
        <f t="shared" si="9"/>
        <v>2.3092741935483869</v>
      </c>
      <c r="G289" s="172" t="s">
        <v>1658</v>
      </c>
      <c r="H289" s="208" t="str">
        <f t="shared" si="10"/>
        <v/>
      </c>
    </row>
    <row r="290" spans="1:8" ht="18" thickBot="1" x14ac:dyDescent="0.45">
      <c r="A290" s="184"/>
      <c r="B290" s="184"/>
      <c r="C290" s="153" t="s">
        <v>804</v>
      </c>
      <c r="D290" s="143"/>
      <c r="E290" s="199">
        <v>0</v>
      </c>
      <c r="F290" s="244">
        <f t="shared" si="9"/>
        <v>0</v>
      </c>
      <c r="G290" s="172" t="s">
        <v>1658</v>
      </c>
      <c r="H290" s="208" t="str">
        <f t="shared" si="10"/>
        <v/>
      </c>
    </row>
    <row r="291" spans="1:8" ht="18" thickBot="1" x14ac:dyDescent="0.45">
      <c r="A291" s="184"/>
      <c r="B291" s="184"/>
      <c r="C291" s="153" t="s">
        <v>618</v>
      </c>
      <c r="D291" s="143"/>
      <c r="E291" s="199">
        <v>0</v>
      </c>
      <c r="F291" s="244">
        <f t="shared" si="9"/>
        <v>0</v>
      </c>
      <c r="G291" s="172" t="s">
        <v>1658</v>
      </c>
      <c r="H291" s="208" t="str">
        <f t="shared" si="10"/>
        <v/>
      </c>
    </row>
    <row r="292" spans="1:8" ht="18" thickBot="1" x14ac:dyDescent="0.45">
      <c r="A292" s="234"/>
      <c r="B292" s="234" t="s">
        <v>547</v>
      </c>
      <c r="C292" s="233" t="s">
        <v>619</v>
      </c>
      <c r="D292" s="141" t="s">
        <v>785</v>
      </c>
      <c r="E292" s="199">
        <v>0</v>
      </c>
      <c r="F292" s="244">
        <f t="shared" si="9"/>
        <v>0</v>
      </c>
      <c r="G292" s="172">
        <v>2.2000000000000002</v>
      </c>
      <c r="H292" s="208">
        <f t="shared" si="10"/>
        <v>2.2000000000000002</v>
      </c>
    </row>
    <row r="293" spans="1:8" ht="18" thickBot="1" x14ac:dyDescent="0.45">
      <c r="A293" s="234"/>
      <c r="B293" s="234" t="s">
        <v>548</v>
      </c>
      <c r="C293" s="241" t="s">
        <v>620</v>
      </c>
      <c r="D293" s="141" t="s">
        <v>786</v>
      </c>
      <c r="E293" s="199">
        <v>1022.9000000000001</v>
      </c>
      <c r="F293" s="244">
        <f t="shared" si="9"/>
        <v>1.3748655913978496</v>
      </c>
      <c r="G293" s="172">
        <v>6.6</v>
      </c>
      <c r="H293" s="208">
        <f t="shared" si="10"/>
        <v>5.2251344086021501</v>
      </c>
    </row>
    <row r="294" spans="1:8" ht="18" thickBot="1" x14ac:dyDescent="0.45">
      <c r="A294" s="234"/>
      <c r="B294" s="234"/>
      <c r="C294" s="241"/>
      <c r="D294" s="141"/>
      <c r="E294" s="199">
        <v>1129.8</v>
      </c>
      <c r="F294" s="244">
        <f t="shared" si="9"/>
        <v>1.5185483870967742</v>
      </c>
      <c r="G294" s="172" t="s">
        <v>1658</v>
      </c>
      <c r="H294" s="208" t="str">
        <f t="shared" si="10"/>
        <v/>
      </c>
    </row>
    <row r="295" spans="1:8" ht="18" thickBot="1" x14ac:dyDescent="0.45">
      <c r="A295" s="234"/>
      <c r="B295" s="234" t="s">
        <v>549</v>
      </c>
      <c r="C295" s="241" t="s">
        <v>621</v>
      </c>
      <c r="D295" s="141" t="s">
        <v>787</v>
      </c>
      <c r="E295" s="199">
        <v>0</v>
      </c>
      <c r="F295" s="244">
        <f t="shared" si="9"/>
        <v>0</v>
      </c>
      <c r="G295" s="172">
        <v>6</v>
      </c>
      <c r="H295" s="208">
        <f t="shared" si="10"/>
        <v>6</v>
      </c>
    </row>
    <row r="296" spans="1:8" ht="18" thickBot="1" x14ac:dyDescent="0.45">
      <c r="A296" s="234"/>
      <c r="B296" s="234"/>
      <c r="C296" s="241"/>
      <c r="D296" s="141"/>
      <c r="E296" s="199">
        <v>1324.7</v>
      </c>
      <c r="F296" s="244">
        <f t="shared" si="9"/>
        <v>1.780510752688172</v>
      </c>
      <c r="G296" s="172" t="s">
        <v>1658</v>
      </c>
      <c r="H296" s="208" t="str">
        <f t="shared" si="10"/>
        <v/>
      </c>
    </row>
    <row r="297" spans="1:8" ht="18" thickBot="1" x14ac:dyDescent="0.45">
      <c r="A297" s="234"/>
      <c r="B297" s="234" t="s">
        <v>550</v>
      </c>
      <c r="C297" s="241" t="s">
        <v>622</v>
      </c>
      <c r="D297" s="141" t="s">
        <v>787</v>
      </c>
      <c r="E297" s="199">
        <v>0</v>
      </c>
      <c r="F297" s="244">
        <f t="shared" si="9"/>
        <v>0</v>
      </c>
      <c r="G297" s="172">
        <v>0</v>
      </c>
      <c r="H297" s="208">
        <f t="shared" si="10"/>
        <v>0</v>
      </c>
    </row>
    <row r="298" spans="1:8" ht="18" thickBot="1" x14ac:dyDescent="0.45">
      <c r="A298" s="239"/>
      <c r="B298" s="239" t="s">
        <v>551</v>
      </c>
      <c r="C298" s="241" t="s">
        <v>805</v>
      </c>
      <c r="D298" s="235" t="s">
        <v>788</v>
      </c>
      <c r="E298" s="199">
        <v>0</v>
      </c>
      <c r="F298" s="244">
        <f t="shared" si="9"/>
        <v>0</v>
      </c>
      <c r="G298" s="172">
        <v>2.2000000000000002</v>
      </c>
      <c r="H298" s="208">
        <f t="shared" si="10"/>
        <v>2.2000000000000002</v>
      </c>
    </row>
    <row r="299" spans="1:8" ht="18" thickBot="1" x14ac:dyDescent="0.45">
      <c r="A299" s="239"/>
      <c r="B299" s="239" t="s">
        <v>552</v>
      </c>
      <c r="C299" s="241" t="s">
        <v>806</v>
      </c>
      <c r="D299" s="235" t="s">
        <v>623</v>
      </c>
      <c r="E299" s="199">
        <v>279.79999999999995</v>
      </c>
      <c r="F299" s="244">
        <f t="shared" si="9"/>
        <v>0.37607526881720427</v>
      </c>
      <c r="G299" s="172">
        <v>2.2000000000000002</v>
      </c>
      <c r="H299" s="208">
        <f t="shared" si="10"/>
        <v>1.823924731182796</v>
      </c>
    </row>
    <row r="300" spans="1:8" ht="18" thickBot="1" x14ac:dyDescent="0.45">
      <c r="A300" s="239"/>
      <c r="B300" s="239" t="s">
        <v>479</v>
      </c>
      <c r="C300" s="241" t="s">
        <v>807</v>
      </c>
      <c r="D300" s="235" t="s">
        <v>623</v>
      </c>
      <c r="E300" s="199">
        <v>246.79999999999998</v>
      </c>
      <c r="F300" s="244">
        <f t="shared" si="9"/>
        <v>0.33172043010752683</v>
      </c>
      <c r="G300" s="172">
        <v>2.2000000000000002</v>
      </c>
      <c r="H300" s="208">
        <f t="shared" si="10"/>
        <v>1.8682795698924735</v>
      </c>
    </row>
    <row r="301" spans="1:8" ht="18" thickBot="1" x14ac:dyDescent="0.45">
      <c r="A301" s="239"/>
      <c r="B301" s="239" t="s">
        <v>480</v>
      </c>
      <c r="C301" s="218" t="s">
        <v>808</v>
      </c>
      <c r="D301" s="235" t="s">
        <v>623</v>
      </c>
      <c r="E301" s="199">
        <v>487.9</v>
      </c>
      <c r="F301" s="244">
        <f t="shared" si="9"/>
        <v>0.6557795698924731</v>
      </c>
      <c r="G301" s="172">
        <v>2.2000000000000002</v>
      </c>
      <c r="H301" s="208">
        <f t="shared" si="10"/>
        <v>1.5442204301075271</v>
      </c>
    </row>
    <row r="302" spans="1:8" ht="18" thickBot="1" x14ac:dyDescent="0.45">
      <c r="A302" s="239"/>
      <c r="B302" s="239" t="s">
        <v>481</v>
      </c>
      <c r="C302" s="241" t="s">
        <v>809</v>
      </c>
      <c r="D302" s="235" t="s">
        <v>623</v>
      </c>
      <c r="E302" s="199">
        <v>520.5</v>
      </c>
      <c r="F302" s="244">
        <f t="shared" si="9"/>
        <v>0.69959677419354838</v>
      </c>
      <c r="G302" s="172">
        <v>2.2000000000000002</v>
      </c>
      <c r="H302" s="208">
        <f t="shared" si="10"/>
        <v>1.5004032258064517</v>
      </c>
    </row>
    <row r="303" spans="1:8" ht="18" thickBot="1" x14ac:dyDescent="0.45">
      <c r="A303" s="239"/>
      <c r="B303" s="239" t="s">
        <v>482</v>
      </c>
      <c r="C303" s="218" t="s">
        <v>810</v>
      </c>
      <c r="D303" s="235" t="s">
        <v>623</v>
      </c>
      <c r="E303" s="199">
        <v>357.9</v>
      </c>
      <c r="F303" s="244">
        <f t="shared" si="9"/>
        <v>0.48104838709677417</v>
      </c>
      <c r="G303" s="172">
        <v>2.2000000000000002</v>
      </c>
      <c r="H303" s="208">
        <f t="shared" si="10"/>
        <v>1.7189516129032261</v>
      </c>
    </row>
    <row r="304" spans="1:8" ht="18" thickBot="1" x14ac:dyDescent="0.45">
      <c r="A304" s="239"/>
      <c r="B304" s="239" t="s">
        <v>483</v>
      </c>
      <c r="C304" s="241" t="s">
        <v>811</v>
      </c>
      <c r="D304" s="235" t="s">
        <v>623</v>
      </c>
      <c r="E304" s="199">
        <v>399</v>
      </c>
      <c r="F304" s="244">
        <f t="shared" si="9"/>
        <v>0.53629032258064513</v>
      </c>
      <c r="G304" s="172">
        <v>2.2000000000000002</v>
      </c>
      <c r="H304" s="208">
        <f t="shared" si="10"/>
        <v>1.6637096774193552</v>
      </c>
    </row>
    <row r="305" spans="1:8" ht="18" thickBot="1" x14ac:dyDescent="0.45">
      <c r="A305" s="239"/>
      <c r="B305" s="239" t="s">
        <v>553</v>
      </c>
      <c r="C305" s="241" t="s">
        <v>812</v>
      </c>
      <c r="D305" s="235" t="s">
        <v>623</v>
      </c>
      <c r="E305" s="199">
        <v>790.2</v>
      </c>
      <c r="F305" s="244">
        <f t="shared" si="9"/>
        <v>1.0620967741935485</v>
      </c>
      <c r="G305" s="172">
        <v>2.2000000000000002</v>
      </c>
      <c r="H305" s="208">
        <f t="shared" si="10"/>
        <v>1.1379032258064516</v>
      </c>
    </row>
    <row r="306" spans="1:8" ht="18" thickBot="1" x14ac:dyDescent="0.45">
      <c r="A306" s="239"/>
      <c r="B306" s="239" t="s">
        <v>554</v>
      </c>
      <c r="C306" s="241" t="s">
        <v>813</v>
      </c>
      <c r="D306" s="235" t="s">
        <v>623</v>
      </c>
      <c r="E306" s="199">
        <v>780.8</v>
      </c>
      <c r="F306" s="244">
        <f t="shared" si="9"/>
        <v>1.0494623655913977</v>
      </c>
      <c r="G306" s="172">
        <v>2.2000000000000002</v>
      </c>
      <c r="H306" s="208">
        <f t="shared" si="10"/>
        <v>1.1505376344086025</v>
      </c>
    </row>
    <row r="307" spans="1:8" ht="18" thickBot="1" x14ac:dyDescent="0.45">
      <c r="A307" s="239"/>
      <c r="B307" s="239" t="s">
        <v>555</v>
      </c>
      <c r="C307" s="241" t="s">
        <v>814</v>
      </c>
      <c r="D307" s="235" t="s">
        <v>623</v>
      </c>
      <c r="E307" s="199">
        <v>1069.4000000000001</v>
      </c>
      <c r="F307" s="244">
        <f t="shared" si="9"/>
        <v>1.4373655913978496</v>
      </c>
      <c r="G307" s="172">
        <v>2.2000000000000002</v>
      </c>
      <c r="H307" s="208">
        <f t="shared" si="10"/>
        <v>0.76263440860215059</v>
      </c>
    </row>
    <row r="308" spans="1:8" ht="18" thickBot="1" x14ac:dyDescent="0.45">
      <c r="A308" s="239"/>
      <c r="B308" s="239" t="s">
        <v>556</v>
      </c>
      <c r="C308" s="241" t="s">
        <v>815</v>
      </c>
      <c r="D308" s="235" t="s">
        <v>623</v>
      </c>
      <c r="E308" s="199">
        <v>1268.8</v>
      </c>
      <c r="F308" s="244">
        <f t="shared" si="9"/>
        <v>1.7053763440860215</v>
      </c>
      <c r="G308" s="172">
        <v>2.2000000000000002</v>
      </c>
      <c r="H308" s="208">
        <f t="shared" si="10"/>
        <v>0.49462365591397872</v>
      </c>
    </row>
    <row r="309" spans="1:8" ht="18" thickBot="1" x14ac:dyDescent="0.45">
      <c r="A309" s="239"/>
      <c r="B309" s="239" t="s">
        <v>557</v>
      </c>
      <c r="C309" s="241" t="s">
        <v>816</v>
      </c>
      <c r="D309" s="235" t="s">
        <v>623</v>
      </c>
      <c r="E309" s="199">
        <v>1274.5999999999999</v>
      </c>
      <c r="F309" s="244">
        <f t="shared" si="9"/>
        <v>1.7131720430107527</v>
      </c>
      <c r="G309" s="172">
        <v>2.2000000000000002</v>
      </c>
      <c r="H309" s="208">
        <f t="shared" si="10"/>
        <v>0.48682795698924752</v>
      </c>
    </row>
    <row r="310" spans="1:8" ht="18" thickBot="1" x14ac:dyDescent="0.45">
      <c r="A310" s="239"/>
      <c r="B310" s="239" t="s">
        <v>558</v>
      </c>
      <c r="C310" s="241" t="s">
        <v>817</v>
      </c>
      <c r="D310" s="235" t="s">
        <v>623</v>
      </c>
      <c r="E310" s="199">
        <v>1759</v>
      </c>
      <c r="F310" s="244">
        <f t="shared" si="9"/>
        <v>2.364247311827957</v>
      </c>
      <c r="G310" s="172">
        <v>2.2000000000000002</v>
      </c>
      <c r="H310" s="208">
        <f t="shared" si="10"/>
        <v>-0.16424731182795682</v>
      </c>
    </row>
    <row r="311" spans="1:8" ht="18" thickBot="1" x14ac:dyDescent="0.45">
      <c r="A311" s="239"/>
      <c r="B311" s="239"/>
      <c r="C311" s="241"/>
      <c r="D311" s="235"/>
      <c r="E311" s="199">
        <v>0</v>
      </c>
      <c r="F311" s="244">
        <f t="shared" si="9"/>
        <v>0</v>
      </c>
      <c r="G311" s="172" t="s">
        <v>1658</v>
      </c>
      <c r="H311" s="208" t="str">
        <f t="shared" si="10"/>
        <v/>
      </c>
    </row>
    <row r="312" spans="1:8" ht="18" thickBot="1" x14ac:dyDescent="0.45">
      <c r="A312" s="239"/>
      <c r="B312" s="239"/>
      <c r="C312" s="241"/>
      <c r="D312" s="235"/>
      <c r="E312" s="199">
        <v>0</v>
      </c>
      <c r="F312" s="244">
        <f t="shared" si="9"/>
        <v>0</v>
      </c>
      <c r="G312" s="172" t="s">
        <v>1658</v>
      </c>
      <c r="H312" s="208" t="str">
        <f t="shared" si="10"/>
        <v/>
      </c>
    </row>
    <row r="313" spans="1:8" ht="18" thickBot="1" x14ac:dyDescent="0.45">
      <c r="A313" s="239"/>
      <c r="B313" s="239" t="s">
        <v>559</v>
      </c>
      <c r="C313" s="241" t="s">
        <v>818</v>
      </c>
      <c r="D313" s="235" t="s">
        <v>623</v>
      </c>
      <c r="E313" s="199">
        <v>0</v>
      </c>
      <c r="F313" s="244">
        <f t="shared" si="9"/>
        <v>0</v>
      </c>
      <c r="G313" s="172">
        <v>2.2000000000000002</v>
      </c>
      <c r="H313" s="208">
        <f t="shared" si="10"/>
        <v>2.2000000000000002</v>
      </c>
    </row>
    <row r="314" spans="1:8" ht="18" thickBot="1" x14ac:dyDescent="0.45">
      <c r="A314" s="239"/>
      <c r="B314" s="239"/>
      <c r="C314" s="241"/>
      <c r="D314" s="235"/>
      <c r="E314" s="199">
        <v>1434.6999999999998</v>
      </c>
      <c r="F314" s="244">
        <f t="shared" si="9"/>
        <v>1.9283602150537631</v>
      </c>
      <c r="G314" s="172" t="s">
        <v>1658</v>
      </c>
      <c r="H314" s="208" t="str">
        <f t="shared" si="10"/>
        <v/>
      </c>
    </row>
    <row r="315" spans="1:8" ht="18" thickBot="1" x14ac:dyDescent="0.45">
      <c r="A315" s="239"/>
      <c r="B315" s="239"/>
      <c r="C315" s="241"/>
      <c r="D315" s="235"/>
      <c r="E315" s="199">
        <v>0</v>
      </c>
      <c r="F315" s="244">
        <f t="shared" si="9"/>
        <v>0</v>
      </c>
      <c r="G315" s="172" t="s">
        <v>1658</v>
      </c>
      <c r="H315" s="208" t="str">
        <f t="shared" si="10"/>
        <v/>
      </c>
    </row>
    <row r="316" spans="1:8" ht="18" thickBot="1" x14ac:dyDescent="0.45">
      <c r="A316" s="239"/>
      <c r="B316" s="239" t="s">
        <v>560</v>
      </c>
      <c r="C316" s="241" t="s">
        <v>819</v>
      </c>
      <c r="D316" s="235" t="s">
        <v>623</v>
      </c>
      <c r="E316" s="199">
        <v>0</v>
      </c>
      <c r="F316" s="244">
        <f t="shared" si="9"/>
        <v>0</v>
      </c>
      <c r="G316" s="172">
        <v>2.2000000000000002</v>
      </c>
      <c r="H316" s="208">
        <f t="shared" si="10"/>
        <v>2.2000000000000002</v>
      </c>
    </row>
    <row r="317" spans="1:8" ht="18" thickBot="1" x14ac:dyDescent="0.45">
      <c r="A317" s="239"/>
      <c r="B317" s="239"/>
      <c r="C317" s="241"/>
      <c r="D317" s="235"/>
      <c r="E317" s="199">
        <v>1684.4</v>
      </c>
      <c r="F317" s="244">
        <f t="shared" si="9"/>
        <v>2.2639784946236561</v>
      </c>
      <c r="G317" s="172" t="s">
        <v>1658</v>
      </c>
      <c r="H317" s="208" t="str">
        <f t="shared" si="10"/>
        <v/>
      </c>
    </row>
    <row r="318" spans="1:8" ht="18" thickBot="1" x14ac:dyDescent="0.45">
      <c r="A318" s="239"/>
      <c r="B318" s="239"/>
      <c r="C318" s="241"/>
      <c r="D318" s="235"/>
      <c r="E318" s="199">
        <v>0</v>
      </c>
      <c r="F318" s="244">
        <f t="shared" si="9"/>
        <v>0</v>
      </c>
      <c r="G318" s="172" t="s">
        <v>1658</v>
      </c>
      <c r="H318" s="208" t="str">
        <f t="shared" si="10"/>
        <v/>
      </c>
    </row>
    <row r="319" spans="1:8" ht="18" thickBot="1" x14ac:dyDescent="0.45">
      <c r="A319" s="239"/>
      <c r="B319" s="239" t="s">
        <v>561</v>
      </c>
      <c r="C319" s="241" t="s">
        <v>820</v>
      </c>
      <c r="D319" s="235" t="s">
        <v>623</v>
      </c>
      <c r="E319" s="199">
        <v>0</v>
      </c>
      <c r="F319" s="244">
        <f t="shared" si="9"/>
        <v>0</v>
      </c>
      <c r="G319" s="172">
        <v>2.2000000000000002</v>
      </c>
      <c r="H319" s="208">
        <f t="shared" si="10"/>
        <v>2.2000000000000002</v>
      </c>
    </row>
    <row r="320" spans="1:8" ht="18" thickBot="1" x14ac:dyDescent="0.45">
      <c r="A320" s="239"/>
      <c r="B320" s="239"/>
      <c r="C320" s="241"/>
      <c r="D320" s="235"/>
      <c r="E320" s="199">
        <v>1280.5999999999999</v>
      </c>
      <c r="F320" s="244">
        <f t="shared" si="9"/>
        <v>1.7212365591397849</v>
      </c>
      <c r="G320" s="172" t="s">
        <v>1658</v>
      </c>
      <c r="H320" s="208" t="str">
        <f t="shared" si="10"/>
        <v/>
      </c>
    </row>
    <row r="321" spans="1:8" ht="18" thickBot="1" x14ac:dyDescent="0.45">
      <c r="A321" s="239"/>
      <c r="B321" s="239" t="s">
        <v>469</v>
      </c>
      <c r="C321" s="218" t="s">
        <v>624</v>
      </c>
      <c r="D321" s="235" t="s">
        <v>623</v>
      </c>
      <c r="E321" s="199">
        <v>0</v>
      </c>
      <c r="F321" s="244">
        <f t="shared" si="9"/>
        <v>0</v>
      </c>
      <c r="G321" s="172">
        <v>2.2000000000000002</v>
      </c>
      <c r="H321" s="208">
        <f t="shared" si="10"/>
        <v>2.2000000000000002</v>
      </c>
    </row>
    <row r="322" spans="1:8" ht="18" thickBot="1" x14ac:dyDescent="0.45">
      <c r="A322" s="239"/>
      <c r="B322" s="239"/>
      <c r="C322" s="218"/>
      <c r="D322" s="235"/>
      <c r="E322" s="199">
        <v>1705.3</v>
      </c>
      <c r="F322" s="244">
        <f t="shared" si="9"/>
        <v>2.2920698924731182</v>
      </c>
      <c r="G322" s="172" t="s">
        <v>1658</v>
      </c>
      <c r="H322" s="208" t="str">
        <f t="shared" si="10"/>
        <v/>
      </c>
    </row>
    <row r="323" spans="1:8" ht="18" thickBot="1" x14ac:dyDescent="0.45">
      <c r="A323" s="239"/>
      <c r="B323" s="239" t="s">
        <v>470</v>
      </c>
      <c r="C323" s="218" t="s">
        <v>625</v>
      </c>
      <c r="D323" s="235" t="s">
        <v>623</v>
      </c>
      <c r="E323" s="199">
        <v>0</v>
      </c>
      <c r="F323" s="244">
        <f t="shared" si="9"/>
        <v>0</v>
      </c>
      <c r="G323" s="172">
        <v>2.2000000000000002</v>
      </c>
      <c r="H323" s="208">
        <f t="shared" si="10"/>
        <v>2.2000000000000002</v>
      </c>
    </row>
    <row r="324" spans="1:8" ht="18" thickBot="1" x14ac:dyDescent="0.45">
      <c r="A324" s="239"/>
      <c r="B324" s="239" t="s">
        <v>471</v>
      </c>
      <c r="C324" s="218" t="s">
        <v>626</v>
      </c>
      <c r="D324" s="235" t="s">
        <v>623</v>
      </c>
      <c r="E324" s="199">
        <v>214.2</v>
      </c>
      <c r="F324" s="244">
        <f t="shared" si="9"/>
        <v>0.28790322580645161</v>
      </c>
      <c r="G324" s="172">
        <v>2.2000000000000002</v>
      </c>
      <c r="H324" s="208">
        <f t="shared" si="10"/>
        <v>1.9120967741935486</v>
      </c>
    </row>
    <row r="325" spans="1:8" ht="18" thickBot="1" x14ac:dyDescent="0.45">
      <c r="A325" s="239"/>
      <c r="B325" s="239" t="s">
        <v>472</v>
      </c>
      <c r="C325" s="241" t="s">
        <v>627</v>
      </c>
      <c r="D325" s="235" t="s">
        <v>623</v>
      </c>
      <c r="E325" s="199">
        <v>837.8</v>
      </c>
      <c r="F325" s="244">
        <f t="shared" ref="F325:F388" si="11">E325/(24*31)</f>
        <v>1.1260752688172042</v>
      </c>
      <c r="G325" s="172">
        <v>2.2000000000000002</v>
      </c>
      <c r="H325" s="208">
        <f t="shared" ref="H325:H388" si="12">IFERROR(G325-F325, "")</f>
        <v>1.073924731182796</v>
      </c>
    </row>
    <row r="326" spans="1:8" ht="18" thickBot="1" x14ac:dyDescent="0.45">
      <c r="A326" s="239"/>
      <c r="B326" s="239" t="s">
        <v>473</v>
      </c>
      <c r="C326" s="241" t="s">
        <v>821</v>
      </c>
      <c r="D326" s="235" t="s">
        <v>623</v>
      </c>
      <c r="E326" s="199">
        <v>808.4</v>
      </c>
      <c r="F326" s="244">
        <f t="shared" si="11"/>
        <v>1.0865591397849461</v>
      </c>
      <c r="G326" s="172">
        <v>2.2000000000000002</v>
      </c>
      <c r="H326" s="208">
        <f t="shared" si="12"/>
        <v>1.1134408602150541</v>
      </c>
    </row>
    <row r="327" spans="1:8" ht="18" thickBot="1" x14ac:dyDescent="0.45">
      <c r="A327" s="239"/>
      <c r="B327" s="239" t="s">
        <v>562</v>
      </c>
      <c r="C327" s="241" t="s">
        <v>822</v>
      </c>
      <c r="D327" s="235" t="s">
        <v>623</v>
      </c>
      <c r="E327" s="199">
        <v>0</v>
      </c>
      <c r="F327" s="244">
        <f t="shared" si="11"/>
        <v>0</v>
      </c>
      <c r="G327" s="172">
        <v>2.2000000000000002</v>
      </c>
      <c r="H327" s="208">
        <f t="shared" si="12"/>
        <v>2.2000000000000002</v>
      </c>
    </row>
    <row r="328" spans="1:8" ht="18" thickBot="1" x14ac:dyDescent="0.45">
      <c r="A328" s="239"/>
      <c r="B328" s="239" t="s">
        <v>563</v>
      </c>
      <c r="C328" s="241" t="s">
        <v>823</v>
      </c>
      <c r="D328" s="235" t="s">
        <v>623</v>
      </c>
      <c r="E328" s="199">
        <v>0</v>
      </c>
      <c r="F328" s="244">
        <f t="shared" si="11"/>
        <v>0</v>
      </c>
      <c r="G328" s="172">
        <v>2.2000000000000002</v>
      </c>
      <c r="H328" s="208">
        <f t="shared" si="12"/>
        <v>2.2000000000000002</v>
      </c>
    </row>
    <row r="329" spans="1:8" ht="18" thickBot="1" x14ac:dyDescent="0.45">
      <c r="A329" s="239"/>
      <c r="B329" s="239" t="s">
        <v>564</v>
      </c>
      <c r="C329" s="241" t="s">
        <v>824</v>
      </c>
      <c r="D329" s="235" t="s">
        <v>623</v>
      </c>
      <c r="E329" s="199">
        <v>0</v>
      </c>
      <c r="F329" s="244">
        <f t="shared" si="11"/>
        <v>0</v>
      </c>
      <c r="G329" s="172">
        <v>0</v>
      </c>
      <c r="H329" s="208">
        <f t="shared" si="12"/>
        <v>0</v>
      </c>
    </row>
    <row r="330" spans="1:8" ht="18" thickBot="1" x14ac:dyDescent="0.45">
      <c r="A330" s="234"/>
      <c r="B330" s="234" t="s">
        <v>565</v>
      </c>
      <c r="C330" s="233" t="s">
        <v>825</v>
      </c>
      <c r="D330" s="140" t="s">
        <v>745</v>
      </c>
      <c r="E330" s="199">
        <v>0</v>
      </c>
      <c r="F330" s="244">
        <f t="shared" si="11"/>
        <v>0</v>
      </c>
      <c r="G330" s="172">
        <v>2.2000000000000002</v>
      </c>
      <c r="H330" s="208">
        <f t="shared" si="12"/>
        <v>2.2000000000000002</v>
      </c>
    </row>
    <row r="331" spans="1:8" ht="18" thickBot="1" x14ac:dyDescent="0.45">
      <c r="A331" s="234"/>
      <c r="B331" s="234"/>
      <c r="C331" s="241" t="s">
        <v>628</v>
      </c>
      <c r="D331" s="235"/>
      <c r="E331" s="199">
        <v>167.8</v>
      </c>
      <c r="F331" s="244">
        <f t="shared" si="11"/>
        <v>0.22553763440860217</v>
      </c>
      <c r="G331" s="172" t="s">
        <v>1658</v>
      </c>
      <c r="H331" s="208" t="str">
        <f t="shared" si="12"/>
        <v/>
      </c>
    </row>
    <row r="332" spans="1:8" ht="18" thickBot="1" x14ac:dyDescent="0.45">
      <c r="A332" s="234"/>
      <c r="B332" s="234"/>
      <c r="C332" s="241" t="s">
        <v>629</v>
      </c>
      <c r="D332" s="235"/>
      <c r="E332" s="199">
        <v>0</v>
      </c>
      <c r="F332" s="244">
        <f t="shared" si="11"/>
        <v>0</v>
      </c>
      <c r="G332" s="172" t="s">
        <v>1658</v>
      </c>
      <c r="H332" s="208" t="str">
        <f t="shared" si="12"/>
        <v/>
      </c>
    </row>
    <row r="333" spans="1:8" ht="18" thickBot="1" x14ac:dyDescent="0.45">
      <c r="A333" s="234"/>
      <c r="B333" s="234"/>
      <c r="C333" s="241" t="s">
        <v>630</v>
      </c>
      <c r="D333" s="235"/>
      <c r="E333" s="199">
        <v>0</v>
      </c>
      <c r="F333" s="244">
        <f t="shared" si="11"/>
        <v>0</v>
      </c>
      <c r="G333" s="172" t="s">
        <v>1658</v>
      </c>
      <c r="H333" s="208" t="str">
        <f t="shared" si="12"/>
        <v/>
      </c>
    </row>
    <row r="334" spans="1:8" ht="18" thickBot="1" x14ac:dyDescent="0.45">
      <c r="A334" s="234"/>
      <c r="B334" s="234"/>
      <c r="C334" s="241" t="s">
        <v>631</v>
      </c>
      <c r="D334" s="235"/>
      <c r="E334" s="199">
        <v>0</v>
      </c>
      <c r="F334" s="244">
        <f t="shared" si="11"/>
        <v>0</v>
      </c>
      <c r="G334" s="172" t="s">
        <v>1658</v>
      </c>
      <c r="H334" s="208" t="str">
        <f t="shared" si="12"/>
        <v/>
      </c>
    </row>
    <row r="335" spans="1:8" ht="18" thickBot="1" x14ac:dyDescent="0.45">
      <c r="A335" s="234"/>
      <c r="B335" s="234"/>
      <c r="C335" s="241" t="s">
        <v>632</v>
      </c>
      <c r="D335" s="235"/>
      <c r="E335" s="199">
        <v>0</v>
      </c>
      <c r="F335" s="244">
        <f t="shared" si="11"/>
        <v>0</v>
      </c>
      <c r="G335" s="172" t="s">
        <v>1658</v>
      </c>
      <c r="H335" s="208" t="str">
        <f t="shared" si="12"/>
        <v/>
      </c>
    </row>
    <row r="336" spans="1:8" ht="18" thickBot="1" x14ac:dyDescent="0.45">
      <c r="A336" s="234"/>
      <c r="B336" s="234"/>
      <c r="C336" s="241" t="s">
        <v>633</v>
      </c>
      <c r="D336" s="235"/>
      <c r="E336" s="199">
        <v>0</v>
      </c>
      <c r="F336" s="244">
        <f t="shared" si="11"/>
        <v>0</v>
      </c>
      <c r="G336" s="172" t="s">
        <v>1658</v>
      </c>
      <c r="H336" s="208" t="str">
        <f t="shared" si="12"/>
        <v/>
      </c>
    </row>
    <row r="337" spans="1:8" ht="18" thickBot="1" x14ac:dyDescent="0.45">
      <c r="A337" s="234"/>
      <c r="B337" s="234"/>
      <c r="C337" s="241" t="s">
        <v>634</v>
      </c>
      <c r="D337" s="235"/>
      <c r="E337" s="199">
        <v>0</v>
      </c>
      <c r="F337" s="244">
        <f t="shared" si="11"/>
        <v>0</v>
      </c>
      <c r="G337" s="172" t="s">
        <v>1658</v>
      </c>
      <c r="H337" s="208" t="str">
        <f t="shared" si="12"/>
        <v/>
      </c>
    </row>
    <row r="338" spans="1:8" ht="18" thickBot="1" x14ac:dyDescent="0.45">
      <c r="A338" s="234"/>
      <c r="B338" s="234"/>
      <c r="C338" s="153"/>
      <c r="D338" s="143"/>
      <c r="E338" s="199">
        <v>0</v>
      </c>
      <c r="F338" s="244">
        <f t="shared" si="11"/>
        <v>0</v>
      </c>
      <c r="G338" s="172" t="s">
        <v>1658</v>
      </c>
      <c r="H338" s="208" t="str">
        <f t="shared" si="12"/>
        <v/>
      </c>
    </row>
    <row r="339" spans="1:8" ht="18" thickBot="1" x14ac:dyDescent="0.45">
      <c r="A339" s="234"/>
      <c r="B339" s="234"/>
      <c r="C339" s="153"/>
      <c r="D339" s="143"/>
      <c r="E339" s="199">
        <v>0</v>
      </c>
      <c r="F339" s="244">
        <f t="shared" si="11"/>
        <v>0</v>
      </c>
      <c r="G339" s="172" t="s">
        <v>1658</v>
      </c>
      <c r="H339" s="208" t="str">
        <f t="shared" si="12"/>
        <v/>
      </c>
    </row>
    <row r="340" spans="1:8" ht="18" thickBot="1" x14ac:dyDescent="0.45">
      <c r="A340" s="234"/>
      <c r="B340" s="234"/>
      <c r="C340" s="154"/>
      <c r="D340" s="144"/>
      <c r="E340" s="199">
        <v>0</v>
      </c>
      <c r="F340" s="244">
        <f t="shared" si="11"/>
        <v>0</v>
      </c>
      <c r="G340" s="172" t="s">
        <v>1658</v>
      </c>
      <c r="H340" s="208" t="str">
        <f t="shared" si="12"/>
        <v/>
      </c>
    </row>
    <row r="341" spans="1:8" ht="18" thickBot="1" x14ac:dyDescent="0.45">
      <c r="A341" s="234"/>
      <c r="B341" s="234"/>
      <c r="C341" s="241" t="s">
        <v>635</v>
      </c>
      <c r="D341" s="235"/>
      <c r="E341" s="199">
        <v>0</v>
      </c>
      <c r="F341" s="244">
        <f t="shared" si="11"/>
        <v>0</v>
      </c>
      <c r="G341" s="172" t="s">
        <v>1658</v>
      </c>
      <c r="H341" s="208" t="str">
        <f t="shared" si="12"/>
        <v/>
      </c>
    </row>
    <row r="342" spans="1:8" ht="18" thickBot="1" x14ac:dyDescent="0.45">
      <c r="A342" s="234"/>
      <c r="B342" s="234"/>
      <c r="C342" s="241" t="s">
        <v>636</v>
      </c>
      <c r="D342" s="144"/>
      <c r="E342" s="199">
        <v>0</v>
      </c>
      <c r="F342" s="244">
        <f t="shared" si="11"/>
        <v>0</v>
      </c>
      <c r="G342" s="172" t="s">
        <v>1658</v>
      </c>
      <c r="H342" s="208" t="str">
        <f t="shared" si="12"/>
        <v/>
      </c>
    </row>
    <row r="343" spans="1:8" ht="18" thickBot="1" x14ac:dyDescent="0.45">
      <c r="A343" s="234"/>
      <c r="B343" s="234"/>
      <c r="C343" s="241" t="s">
        <v>637</v>
      </c>
      <c r="D343" s="144"/>
      <c r="E343" s="199">
        <v>0</v>
      </c>
      <c r="F343" s="244">
        <f t="shared" si="11"/>
        <v>0</v>
      </c>
      <c r="G343" s="172" t="s">
        <v>1658</v>
      </c>
      <c r="H343" s="208" t="str">
        <f t="shared" si="12"/>
        <v/>
      </c>
    </row>
    <row r="344" spans="1:8" ht="18" thickBot="1" x14ac:dyDescent="0.45">
      <c r="A344" s="234"/>
      <c r="B344" s="234"/>
      <c r="C344" s="241" t="s">
        <v>638</v>
      </c>
      <c r="D344" s="144"/>
      <c r="E344" s="199">
        <v>0</v>
      </c>
      <c r="F344" s="244">
        <f t="shared" si="11"/>
        <v>0</v>
      </c>
      <c r="G344" s="172" t="s">
        <v>1658</v>
      </c>
      <c r="H344" s="208" t="str">
        <f t="shared" si="12"/>
        <v/>
      </c>
    </row>
    <row r="345" spans="1:8" ht="18" thickBot="1" x14ac:dyDescent="0.45">
      <c r="A345" s="234"/>
      <c r="B345" s="234"/>
      <c r="C345" s="241" t="s">
        <v>639</v>
      </c>
      <c r="D345" s="144"/>
      <c r="E345" s="199">
        <v>0</v>
      </c>
      <c r="F345" s="244">
        <f t="shared" si="11"/>
        <v>0</v>
      </c>
      <c r="G345" s="172" t="s">
        <v>1658</v>
      </c>
      <c r="H345" s="208" t="str">
        <f t="shared" si="12"/>
        <v/>
      </c>
    </row>
    <row r="346" spans="1:8" ht="18" thickBot="1" x14ac:dyDescent="0.45">
      <c r="A346" s="234"/>
      <c r="B346" s="234"/>
      <c r="C346" s="241" t="s">
        <v>640</v>
      </c>
      <c r="D346" s="144"/>
      <c r="E346" s="199">
        <v>0</v>
      </c>
      <c r="F346" s="244">
        <f t="shared" si="11"/>
        <v>0</v>
      </c>
      <c r="G346" s="172" t="s">
        <v>1658</v>
      </c>
      <c r="H346" s="208" t="str">
        <f t="shared" si="12"/>
        <v/>
      </c>
    </row>
    <row r="347" spans="1:8" ht="18" thickBot="1" x14ac:dyDescent="0.45">
      <c r="A347" s="234"/>
      <c r="B347" s="234"/>
      <c r="C347" s="241" t="s">
        <v>641</v>
      </c>
      <c r="D347" s="144"/>
      <c r="E347" s="199">
        <v>0</v>
      </c>
      <c r="F347" s="244">
        <f t="shared" si="11"/>
        <v>0</v>
      </c>
      <c r="G347" s="172" t="s">
        <v>1658</v>
      </c>
      <c r="H347" s="208" t="str">
        <f t="shared" si="12"/>
        <v/>
      </c>
    </row>
    <row r="348" spans="1:8" ht="18" thickBot="1" x14ac:dyDescent="0.45">
      <c r="A348" s="234"/>
      <c r="B348" s="234"/>
      <c r="C348" s="154"/>
      <c r="D348" s="144"/>
      <c r="E348" s="199">
        <v>0</v>
      </c>
      <c r="F348" s="244">
        <f t="shared" si="11"/>
        <v>0</v>
      </c>
      <c r="G348" s="172" t="s">
        <v>1658</v>
      </c>
      <c r="H348" s="208" t="str">
        <f t="shared" si="12"/>
        <v/>
      </c>
    </row>
    <row r="349" spans="1:8" ht="18" thickBot="1" x14ac:dyDescent="0.45">
      <c r="A349" s="234"/>
      <c r="B349" s="234"/>
      <c r="C349" s="154"/>
      <c r="D349" s="144"/>
      <c r="E349" s="199">
        <v>0</v>
      </c>
      <c r="F349" s="244">
        <f t="shared" si="11"/>
        <v>0</v>
      </c>
      <c r="G349" s="172" t="s">
        <v>1658</v>
      </c>
      <c r="H349" s="208" t="str">
        <f t="shared" si="12"/>
        <v/>
      </c>
    </row>
    <row r="350" spans="1:8" ht="18" thickBot="1" x14ac:dyDescent="0.45">
      <c r="A350" s="234"/>
      <c r="B350" s="234"/>
      <c r="C350" s="154"/>
      <c r="D350" s="144"/>
      <c r="E350" s="199">
        <v>0</v>
      </c>
      <c r="F350" s="244">
        <f t="shared" si="11"/>
        <v>0</v>
      </c>
      <c r="G350" s="172" t="s">
        <v>1658</v>
      </c>
      <c r="H350" s="208" t="str">
        <f t="shared" si="12"/>
        <v/>
      </c>
    </row>
    <row r="351" spans="1:8" ht="18" thickBot="1" x14ac:dyDescent="0.45">
      <c r="A351" s="234"/>
      <c r="B351" s="234"/>
      <c r="C351" s="241" t="s">
        <v>826</v>
      </c>
      <c r="D351" s="235"/>
      <c r="E351" s="199">
        <v>0</v>
      </c>
      <c r="F351" s="244">
        <f t="shared" si="11"/>
        <v>0</v>
      </c>
      <c r="G351" s="172" t="s">
        <v>1658</v>
      </c>
      <c r="H351" s="208" t="str">
        <f t="shared" si="12"/>
        <v/>
      </c>
    </row>
    <row r="352" spans="1:8" ht="18" thickBot="1" x14ac:dyDescent="0.45">
      <c r="A352" s="234"/>
      <c r="B352" s="234"/>
      <c r="C352" s="241" t="s">
        <v>642</v>
      </c>
      <c r="D352" s="235"/>
      <c r="E352" s="199">
        <v>0</v>
      </c>
      <c r="F352" s="244">
        <f t="shared" si="11"/>
        <v>0</v>
      </c>
      <c r="G352" s="172" t="s">
        <v>1658</v>
      </c>
      <c r="H352" s="208" t="str">
        <f t="shared" si="12"/>
        <v/>
      </c>
    </row>
    <row r="353" spans="1:8" ht="18" thickBot="1" x14ac:dyDescent="0.45">
      <c r="A353" s="234"/>
      <c r="B353" s="234"/>
      <c r="C353" s="241" t="s">
        <v>643</v>
      </c>
      <c r="D353" s="235"/>
      <c r="E353" s="199">
        <v>0</v>
      </c>
      <c r="F353" s="244">
        <f t="shared" si="11"/>
        <v>0</v>
      </c>
      <c r="G353" s="172" t="s">
        <v>1658</v>
      </c>
      <c r="H353" s="208" t="str">
        <f t="shared" si="12"/>
        <v/>
      </c>
    </row>
    <row r="354" spans="1:8" ht="18" thickBot="1" x14ac:dyDescent="0.45">
      <c r="A354" s="234"/>
      <c r="B354" s="234"/>
      <c r="C354" s="241" t="s">
        <v>644</v>
      </c>
      <c r="D354" s="235"/>
      <c r="E354" s="199">
        <v>0</v>
      </c>
      <c r="F354" s="244">
        <f t="shared" si="11"/>
        <v>0</v>
      </c>
      <c r="G354" s="172" t="s">
        <v>1658</v>
      </c>
      <c r="H354" s="208" t="str">
        <f t="shared" si="12"/>
        <v/>
      </c>
    </row>
    <row r="355" spans="1:8" ht="18" thickBot="1" x14ac:dyDescent="0.45">
      <c r="A355" s="234"/>
      <c r="B355" s="234"/>
      <c r="C355" s="241" t="s">
        <v>645</v>
      </c>
      <c r="D355" s="235"/>
      <c r="E355" s="199">
        <v>0</v>
      </c>
      <c r="F355" s="244">
        <f t="shared" si="11"/>
        <v>0</v>
      </c>
      <c r="G355" s="172" t="s">
        <v>1658</v>
      </c>
      <c r="H355" s="208" t="str">
        <f t="shared" si="12"/>
        <v/>
      </c>
    </row>
    <row r="356" spans="1:8" ht="18" thickBot="1" x14ac:dyDescent="0.45">
      <c r="A356" s="234"/>
      <c r="B356" s="234"/>
      <c r="C356" s="241" t="s">
        <v>646</v>
      </c>
      <c r="D356" s="235"/>
      <c r="E356" s="199">
        <v>0</v>
      </c>
      <c r="F356" s="244">
        <f t="shared" si="11"/>
        <v>0</v>
      </c>
      <c r="G356" s="172" t="s">
        <v>1658</v>
      </c>
      <c r="H356" s="208" t="str">
        <f t="shared" si="12"/>
        <v/>
      </c>
    </row>
    <row r="357" spans="1:8" ht="18" thickBot="1" x14ac:dyDescent="0.45">
      <c r="A357" s="234"/>
      <c r="B357" s="234"/>
      <c r="C357" s="153"/>
      <c r="D357" s="143"/>
      <c r="E357" s="199">
        <v>0</v>
      </c>
      <c r="F357" s="244">
        <f t="shared" si="11"/>
        <v>0</v>
      </c>
      <c r="G357" s="172" t="s">
        <v>1658</v>
      </c>
      <c r="H357" s="208" t="str">
        <f t="shared" si="12"/>
        <v/>
      </c>
    </row>
    <row r="358" spans="1:8" ht="18" thickBot="1" x14ac:dyDescent="0.45">
      <c r="A358" s="234"/>
      <c r="B358" s="234"/>
      <c r="C358" s="153"/>
      <c r="D358" s="143"/>
      <c r="E358" s="199">
        <v>0</v>
      </c>
      <c r="F358" s="244">
        <f t="shared" si="11"/>
        <v>0</v>
      </c>
      <c r="G358" s="172" t="s">
        <v>1658</v>
      </c>
      <c r="H358" s="208" t="str">
        <f t="shared" si="12"/>
        <v/>
      </c>
    </row>
    <row r="359" spans="1:8" ht="18" thickBot="1" x14ac:dyDescent="0.45">
      <c r="A359" s="234"/>
      <c r="B359" s="234"/>
      <c r="C359" s="153"/>
      <c r="D359" s="143"/>
      <c r="E359" s="199">
        <v>0</v>
      </c>
      <c r="F359" s="244">
        <f t="shared" si="11"/>
        <v>0</v>
      </c>
      <c r="G359" s="172" t="s">
        <v>1658</v>
      </c>
      <c r="H359" s="208" t="str">
        <f t="shared" si="12"/>
        <v/>
      </c>
    </row>
    <row r="360" spans="1:8" ht="18" thickBot="1" x14ac:dyDescent="0.45">
      <c r="A360" s="234"/>
      <c r="B360" s="234"/>
      <c r="C360" s="153"/>
      <c r="D360" s="143"/>
      <c r="E360" s="199">
        <v>0</v>
      </c>
      <c r="F360" s="244">
        <f t="shared" si="11"/>
        <v>0</v>
      </c>
      <c r="G360" s="172" t="s">
        <v>1658</v>
      </c>
      <c r="H360" s="208" t="str">
        <f t="shared" si="12"/>
        <v/>
      </c>
    </row>
    <row r="361" spans="1:8" ht="18" thickBot="1" x14ac:dyDescent="0.45">
      <c r="A361" s="234"/>
      <c r="B361" s="234"/>
      <c r="C361" s="241" t="s">
        <v>827</v>
      </c>
      <c r="D361" s="235"/>
      <c r="E361" s="199">
        <v>0</v>
      </c>
      <c r="F361" s="244">
        <f t="shared" si="11"/>
        <v>0</v>
      </c>
      <c r="G361" s="172" t="s">
        <v>1658</v>
      </c>
      <c r="H361" s="208" t="str">
        <f t="shared" si="12"/>
        <v/>
      </c>
    </row>
    <row r="362" spans="1:8" ht="18" thickBot="1" x14ac:dyDescent="0.45">
      <c r="A362" s="234"/>
      <c r="B362" s="234"/>
      <c r="C362" s="241" t="s">
        <v>647</v>
      </c>
      <c r="D362" s="235"/>
      <c r="E362" s="199">
        <v>0</v>
      </c>
      <c r="F362" s="244">
        <f t="shared" si="11"/>
        <v>0</v>
      </c>
      <c r="G362" s="172" t="s">
        <v>1658</v>
      </c>
      <c r="H362" s="208" t="str">
        <f t="shared" si="12"/>
        <v/>
      </c>
    </row>
    <row r="363" spans="1:8" ht="18" thickBot="1" x14ac:dyDescent="0.45">
      <c r="A363" s="234"/>
      <c r="B363" s="234"/>
      <c r="C363" s="241" t="s">
        <v>648</v>
      </c>
      <c r="D363" s="235"/>
      <c r="E363" s="199">
        <v>0</v>
      </c>
      <c r="F363" s="244">
        <f t="shared" si="11"/>
        <v>0</v>
      </c>
      <c r="G363" s="172" t="s">
        <v>1658</v>
      </c>
      <c r="H363" s="208" t="str">
        <f t="shared" si="12"/>
        <v/>
      </c>
    </row>
    <row r="364" spans="1:8" ht="18" thickBot="1" x14ac:dyDescent="0.45">
      <c r="A364" s="234"/>
      <c r="B364" s="234"/>
      <c r="C364" s="241" t="s">
        <v>649</v>
      </c>
      <c r="D364" s="235"/>
      <c r="E364" s="199">
        <v>0</v>
      </c>
      <c r="F364" s="244">
        <f t="shared" si="11"/>
        <v>0</v>
      </c>
      <c r="G364" s="172" t="s">
        <v>1658</v>
      </c>
      <c r="H364" s="208" t="str">
        <f t="shared" si="12"/>
        <v/>
      </c>
    </row>
    <row r="365" spans="1:8" ht="18" thickBot="1" x14ac:dyDescent="0.45">
      <c r="A365" s="234"/>
      <c r="B365" s="234"/>
      <c r="C365" s="241" t="s">
        <v>650</v>
      </c>
      <c r="D365" s="235"/>
      <c r="E365" s="199">
        <v>0</v>
      </c>
      <c r="F365" s="244">
        <f t="shared" si="11"/>
        <v>0</v>
      </c>
      <c r="G365" s="172" t="s">
        <v>1658</v>
      </c>
      <c r="H365" s="208" t="str">
        <f t="shared" si="12"/>
        <v/>
      </c>
    </row>
    <row r="366" spans="1:8" ht="18" thickBot="1" x14ac:dyDescent="0.45">
      <c r="A366" s="234"/>
      <c r="B366" s="234"/>
      <c r="C366" s="241" t="s">
        <v>651</v>
      </c>
      <c r="D366" s="235"/>
      <c r="E366" s="199">
        <v>0</v>
      </c>
      <c r="F366" s="244">
        <f t="shared" si="11"/>
        <v>0</v>
      </c>
      <c r="G366" s="172" t="s">
        <v>1658</v>
      </c>
      <c r="H366" s="208" t="str">
        <f t="shared" si="12"/>
        <v/>
      </c>
    </row>
    <row r="367" spans="1:8" ht="18" thickBot="1" x14ac:dyDescent="0.45">
      <c r="A367" s="234"/>
      <c r="B367" s="234"/>
      <c r="C367" s="241" t="s">
        <v>652</v>
      </c>
      <c r="D367" s="235"/>
      <c r="E367" s="199">
        <v>0</v>
      </c>
      <c r="F367" s="244">
        <f t="shared" si="11"/>
        <v>0</v>
      </c>
      <c r="G367" s="172" t="s">
        <v>1658</v>
      </c>
      <c r="H367" s="208" t="str">
        <f t="shared" si="12"/>
        <v/>
      </c>
    </row>
    <row r="368" spans="1:8" ht="18" thickBot="1" x14ac:dyDescent="0.45">
      <c r="A368" s="234"/>
      <c r="B368" s="234"/>
      <c r="C368" s="241" t="s">
        <v>653</v>
      </c>
      <c r="D368" s="235"/>
      <c r="E368" s="199">
        <v>0</v>
      </c>
      <c r="F368" s="244">
        <f t="shared" si="11"/>
        <v>0</v>
      </c>
      <c r="G368" s="172" t="s">
        <v>1658</v>
      </c>
      <c r="H368" s="208" t="str">
        <f t="shared" si="12"/>
        <v/>
      </c>
    </row>
    <row r="369" spans="1:8" ht="18" thickBot="1" x14ac:dyDescent="0.45">
      <c r="A369" s="234"/>
      <c r="B369" s="234"/>
      <c r="C369" s="153"/>
      <c r="D369" s="143"/>
      <c r="E369" s="199">
        <v>0</v>
      </c>
      <c r="F369" s="244">
        <f t="shared" si="11"/>
        <v>0</v>
      </c>
      <c r="G369" s="172" t="s">
        <v>1658</v>
      </c>
      <c r="H369" s="208" t="str">
        <f t="shared" si="12"/>
        <v/>
      </c>
    </row>
    <row r="370" spans="1:8" ht="18" thickBot="1" x14ac:dyDescent="0.45">
      <c r="A370" s="234"/>
      <c r="B370" s="234"/>
      <c r="C370" s="153"/>
      <c r="D370" s="143"/>
      <c r="E370" s="199">
        <v>0</v>
      </c>
      <c r="F370" s="244">
        <f t="shared" si="11"/>
        <v>0</v>
      </c>
      <c r="G370" s="172" t="s">
        <v>1658</v>
      </c>
      <c r="H370" s="208" t="str">
        <f t="shared" si="12"/>
        <v/>
      </c>
    </row>
    <row r="371" spans="1:8" ht="18" thickBot="1" x14ac:dyDescent="0.45">
      <c r="A371" s="234"/>
      <c r="B371" s="234"/>
      <c r="C371" s="241" t="s">
        <v>828</v>
      </c>
      <c r="D371" s="235"/>
      <c r="E371" s="199">
        <v>0</v>
      </c>
      <c r="F371" s="244">
        <f t="shared" si="11"/>
        <v>0</v>
      </c>
      <c r="G371" s="172" t="s">
        <v>1658</v>
      </c>
      <c r="H371" s="208" t="str">
        <f t="shared" si="12"/>
        <v/>
      </c>
    </row>
    <row r="372" spans="1:8" ht="18" thickBot="1" x14ac:dyDescent="0.45">
      <c r="A372" s="234"/>
      <c r="B372" s="234"/>
      <c r="C372" s="241" t="s">
        <v>654</v>
      </c>
      <c r="D372" s="235"/>
      <c r="E372" s="199">
        <v>0</v>
      </c>
      <c r="F372" s="244">
        <f t="shared" si="11"/>
        <v>0</v>
      </c>
      <c r="G372" s="172" t="s">
        <v>1658</v>
      </c>
      <c r="H372" s="208" t="str">
        <f t="shared" si="12"/>
        <v/>
      </c>
    </row>
    <row r="373" spans="1:8" ht="18" thickBot="1" x14ac:dyDescent="0.45">
      <c r="A373" s="234"/>
      <c r="B373" s="234"/>
      <c r="C373" s="218" t="s">
        <v>655</v>
      </c>
      <c r="D373" s="235"/>
      <c r="E373" s="199">
        <v>0</v>
      </c>
      <c r="F373" s="244">
        <f t="shared" si="11"/>
        <v>0</v>
      </c>
      <c r="G373" s="172" t="s">
        <v>1658</v>
      </c>
      <c r="H373" s="208" t="str">
        <f t="shared" si="12"/>
        <v/>
      </c>
    </row>
    <row r="374" spans="1:8" ht="18" thickBot="1" x14ac:dyDescent="0.45">
      <c r="A374" s="234"/>
      <c r="B374" s="234"/>
      <c r="C374" s="218" t="s">
        <v>656</v>
      </c>
      <c r="D374" s="235"/>
      <c r="E374" s="199">
        <v>0</v>
      </c>
      <c r="F374" s="244">
        <f t="shared" si="11"/>
        <v>0</v>
      </c>
      <c r="G374" s="172" t="s">
        <v>1658</v>
      </c>
      <c r="H374" s="208" t="str">
        <f t="shared" si="12"/>
        <v/>
      </c>
    </row>
    <row r="375" spans="1:8" ht="18" thickBot="1" x14ac:dyDescent="0.45">
      <c r="A375" s="234"/>
      <c r="B375" s="234"/>
      <c r="C375" s="241" t="s">
        <v>657</v>
      </c>
      <c r="D375" s="235"/>
      <c r="E375" s="199">
        <v>0</v>
      </c>
      <c r="F375" s="244">
        <f t="shared" si="11"/>
        <v>0</v>
      </c>
      <c r="G375" s="172" t="s">
        <v>1658</v>
      </c>
      <c r="H375" s="208" t="str">
        <f t="shared" si="12"/>
        <v/>
      </c>
    </row>
    <row r="376" spans="1:8" ht="18" thickBot="1" x14ac:dyDescent="0.45">
      <c r="A376" s="234"/>
      <c r="B376" s="234"/>
      <c r="C376" s="218" t="s">
        <v>658</v>
      </c>
      <c r="D376" s="235"/>
      <c r="E376" s="199">
        <v>0</v>
      </c>
      <c r="F376" s="244">
        <f t="shared" si="11"/>
        <v>0</v>
      </c>
      <c r="G376" s="172" t="s">
        <v>1658</v>
      </c>
      <c r="H376" s="208" t="str">
        <f t="shared" si="12"/>
        <v/>
      </c>
    </row>
    <row r="377" spans="1:8" ht="18" thickBot="1" x14ac:dyDescent="0.45">
      <c r="A377" s="234"/>
      <c r="B377" s="234"/>
      <c r="C377" s="218" t="s">
        <v>659</v>
      </c>
      <c r="D377" s="235"/>
      <c r="E377" s="199">
        <v>0</v>
      </c>
      <c r="F377" s="244">
        <f t="shared" si="11"/>
        <v>0</v>
      </c>
      <c r="G377" s="172" t="s">
        <v>1658</v>
      </c>
      <c r="H377" s="208" t="str">
        <f t="shared" si="12"/>
        <v/>
      </c>
    </row>
    <row r="378" spans="1:8" ht="18" thickBot="1" x14ac:dyDescent="0.45">
      <c r="A378" s="234"/>
      <c r="B378" s="234"/>
      <c r="C378" s="218" t="s">
        <v>660</v>
      </c>
      <c r="D378" s="235"/>
      <c r="E378" s="199">
        <v>0</v>
      </c>
      <c r="F378" s="244">
        <f t="shared" si="11"/>
        <v>0</v>
      </c>
      <c r="G378" s="172" t="s">
        <v>1658</v>
      </c>
      <c r="H378" s="208" t="str">
        <f t="shared" si="12"/>
        <v/>
      </c>
    </row>
    <row r="379" spans="1:8" ht="18" thickBot="1" x14ac:dyDescent="0.45">
      <c r="A379" s="234"/>
      <c r="B379" s="234"/>
      <c r="C379" s="153"/>
      <c r="D379" s="143"/>
      <c r="E379" s="199">
        <v>0</v>
      </c>
      <c r="F379" s="244">
        <f t="shared" si="11"/>
        <v>0</v>
      </c>
      <c r="G379" s="172" t="s">
        <v>1658</v>
      </c>
      <c r="H379" s="208" t="str">
        <f t="shared" si="12"/>
        <v/>
      </c>
    </row>
    <row r="380" spans="1:8" ht="18" thickBot="1" x14ac:dyDescent="0.45">
      <c r="A380" s="234"/>
      <c r="B380" s="234"/>
      <c r="C380" s="153"/>
      <c r="D380" s="143"/>
      <c r="E380" s="199">
        <v>0</v>
      </c>
      <c r="F380" s="244">
        <f t="shared" si="11"/>
        <v>0</v>
      </c>
      <c r="G380" s="172" t="s">
        <v>1658</v>
      </c>
      <c r="H380" s="208" t="str">
        <f t="shared" si="12"/>
        <v/>
      </c>
    </row>
    <row r="381" spans="1:8" ht="18" thickBot="1" x14ac:dyDescent="0.45">
      <c r="A381" s="234"/>
      <c r="B381" s="234"/>
      <c r="C381" s="218" t="s">
        <v>829</v>
      </c>
      <c r="D381" s="235"/>
      <c r="E381" s="199">
        <v>0</v>
      </c>
      <c r="F381" s="244">
        <f t="shared" si="11"/>
        <v>0</v>
      </c>
      <c r="G381" s="172" t="s">
        <v>1658</v>
      </c>
      <c r="H381" s="208" t="str">
        <f t="shared" si="12"/>
        <v/>
      </c>
    </row>
    <row r="382" spans="1:8" ht="18" thickBot="1" x14ac:dyDescent="0.45">
      <c r="A382" s="234"/>
      <c r="B382" s="234"/>
      <c r="C382" s="218" t="s">
        <v>661</v>
      </c>
      <c r="D382" s="235"/>
      <c r="E382" s="199">
        <v>0</v>
      </c>
      <c r="F382" s="244">
        <f t="shared" si="11"/>
        <v>0</v>
      </c>
      <c r="G382" s="172" t="s">
        <v>1658</v>
      </c>
      <c r="H382" s="208" t="str">
        <f t="shared" si="12"/>
        <v/>
      </c>
    </row>
    <row r="383" spans="1:8" ht="18" thickBot="1" x14ac:dyDescent="0.45">
      <c r="A383" s="234"/>
      <c r="B383" s="234"/>
      <c r="C383" s="218" t="s">
        <v>662</v>
      </c>
      <c r="D383" s="235"/>
      <c r="E383" s="199">
        <v>0</v>
      </c>
      <c r="F383" s="244">
        <f t="shared" si="11"/>
        <v>0</v>
      </c>
      <c r="G383" s="172" t="s">
        <v>1658</v>
      </c>
      <c r="H383" s="208" t="str">
        <f t="shared" si="12"/>
        <v/>
      </c>
    </row>
    <row r="384" spans="1:8" ht="18" thickBot="1" x14ac:dyDescent="0.45">
      <c r="A384" s="234"/>
      <c r="B384" s="234"/>
      <c r="C384" s="218" t="s">
        <v>663</v>
      </c>
      <c r="D384" s="235"/>
      <c r="E384" s="199">
        <v>0</v>
      </c>
      <c r="F384" s="244">
        <f t="shared" si="11"/>
        <v>0</v>
      </c>
      <c r="G384" s="172" t="s">
        <v>1658</v>
      </c>
      <c r="H384" s="208" t="str">
        <f t="shared" si="12"/>
        <v/>
      </c>
    </row>
    <row r="385" spans="1:8" ht="18" thickBot="1" x14ac:dyDescent="0.45">
      <c r="A385" s="234"/>
      <c r="B385" s="234"/>
      <c r="C385" s="241" t="s">
        <v>664</v>
      </c>
      <c r="D385" s="235"/>
      <c r="E385" s="199">
        <v>0</v>
      </c>
      <c r="F385" s="244">
        <f t="shared" si="11"/>
        <v>0</v>
      </c>
      <c r="G385" s="172" t="s">
        <v>1658</v>
      </c>
      <c r="H385" s="208" t="str">
        <f t="shared" si="12"/>
        <v/>
      </c>
    </row>
    <row r="386" spans="1:8" ht="18" thickBot="1" x14ac:dyDescent="0.45">
      <c r="A386" s="234"/>
      <c r="B386" s="234"/>
      <c r="C386" s="218" t="s">
        <v>665</v>
      </c>
      <c r="D386" s="235"/>
      <c r="E386" s="199">
        <v>0</v>
      </c>
      <c r="F386" s="244">
        <f t="shared" si="11"/>
        <v>0</v>
      </c>
      <c r="G386" s="172" t="s">
        <v>1658</v>
      </c>
      <c r="H386" s="208" t="str">
        <f t="shared" si="12"/>
        <v/>
      </c>
    </row>
    <row r="387" spans="1:8" ht="18" thickBot="1" x14ac:dyDescent="0.45">
      <c r="A387" s="234"/>
      <c r="B387" s="234"/>
      <c r="C387" s="218" t="s">
        <v>666</v>
      </c>
      <c r="D387" s="235"/>
      <c r="E387" s="199">
        <v>0</v>
      </c>
      <c r="F387" s="244">
        <f t="shared" si="11"/>
        <v>0</v>
      </c>
      <c r="G387" s="172" t="s">
        <v>1658</v>
      </c>
      <c r="H387" s="208" t="str">
        <f t="shared" si="12"/>
        <v/>
      </c>
    </row>
    <row r="388" spans="1:8" ht="18" thickBot="1" x14ac:dyDescent="0.45">
      <c r="A388" s="234"/>
      <c r="B388" s="234"/>
      <c r="C388" s="218" t="s">
        <v>667</v>
      </c>
      <c r="D388" s="235"/>
      <c r="E388" s="199">
        <v>0</v>
      </c>
      <c r="F388" s="244">
        <f t="shared" si="11"/>
        <v>0</v>
      </c>
      <c r="G388" s="172" t="s">
        <v>1658</v>
      </c>
      <c r="H388" s="208" t="str">
        <f t="shared" si="12"/>
        <v/>
      </c>
    </row>
    <row r="389" spans="1:8" ht="18" thickBot="1" x14ac:dyDescent="0.45">
      <c r="A389" s="234"/>
      <c r="B389" s="234"/>
      <c r="C389" s="153"/>
      <c r="D389" s="143"/>
      <c r="E389" s="199">
        <v>0</v>
      </c>
      <c r="F389" s="244">
        <f t="shared" ref="F389:F452" si="13">E389/(24*31)</f>
        <v>0</v>
      </c>
      <c r="G389" s="172" t="s">
        <v>1658</v>
      </c>
      <c r="H389" s="208" t="str">
        <f t="shared" ref="H389:H452" si="14">IFERROR(G389-F389, "")</f>
        <v/>
      </c>
    </row>
    <row r="390" spans="1:8" ht="18" thickBot="1" x14ac:dyDescent="0.45">
      <c r="A390" s="234"/>
      <c r="B390" s="234"/>
      <c r="C390" s="153"/>
      <c r="D390" s="143"/>
      <c r="E390" s="199">
        <v>0</v>
      </c>
      <c r="F390" s="244">
        <f t="shared" si="13"/>
        <v>0</v>
      </c>
      <c r="G390" s="172" t="s">
        <v>1658</v>
      </c>
      <c r="H390" s="208" t="str">
        <f t="shared" si="14"/>
        <v/>
      </c>
    </row>
    <row r="391" spans="1:8" ht="18" thickBot="1" x14ac:dyDescent="0.45">
      <c r="A391" s="238"/>
      <c r="B391" s="238" t="s">
        <v>415</v>
      </c>
      <c r="C391" s="155" t="s">
        <v>668</v>
      </c>
      <c r="D391" s="145" t="s">
        <v>669</v>
      </c>
      <c r="E391" s="199">
        <v>0</v>
      </c>
      <c r="F391" s="244">
        <f t="shared" si="13"/>
        <v>0</v>
      </c>
      <c r="G391" s="172">
        <v>13</v>
      </c>
      <c r="H391" s="208">
        <f t="shared" si="14"/>
        <v>13</v>
      </c>
    </row>
    <row r="392" spans="1:8" ht="18" thickBot="1" x14ac:dyDescent="0.45">
      <c r="A392" s="238"/>
      <c r="B392" s="238"/>
      <c r="C392" s="155"/>
      <c r="D392" s="145"/>
      <c r="E392" s="199" t="s">
        <v>1658</v>
      </c>
      <c r="F392" s="244" t="e">
        <f t="shared" si="13"/>
        <v>#VALUE!</v>
      </c>
      <c r="G392" s="172" t="s">
        <v>1658</v>
      </c>
      <c r="H392" s="208" t="str">
        <f t="shared" si="14"/>
        <v/>
      </c>
    </row>
    <row r="393" spans="1:8" ht="18" thickBot="1" x14ac:dyDescent="0.45">
      <c r="A393" s="238"/>
      <c r="B393" s="238" t="s">
        <v>416</v>
      </c>
      <c r="C393" s="155" t="s">
        <v>670</v>
      </c>
      <c r="D393" s="145" t="s">
        <v>669</v>
      </c>
      <c r="E393" s="199">
        <v>0</v>
      </c>
      <c r="F393" s="244">
        <f t="shared" si="13"/>
        <v>0</v>
      </c>
      <c r="G393" s="172">
        <v>13</v>
      </c>
      <c r="H393" s="208">
        <f t="shared" si="14"/>
        <v>13</v>
      </c>
    </row>
    <row r="394" spans="1:8" ht="18" thickBot="1" x14ac:dyDescent="0.45">
      <c r="A394" s="238"/>
      <c r="B394" s="238"/>
      <c r="C394" s="155"/>
      <c r="D394" s="145"/>
      <c r="E394" s="199" t="s">
        <v>1658</v>
      </c>
      <c r="F394" s="244" t="e">
        <f t="shared" si="13"/>
        <v>#VALUE!</v>
      </c>
      <c r="G394" s="172" t="s">
        <v>1658</v>
      </c>
      <c r="H394" s="208" t="str">
        <f t="shared" si="14"/>
        <v/>
      </c>
    </row>
    <row r="395" spans="1:8" ht="18" thickBot="1" x14ac:dyDescent="0.45">
      <c r="A395" s="238"/>
      <c r="B395" s="238" t="s">
        <v>417</v>
      </c>
      <c r="C395" s="155" t="s">
        <v>671</v>
      </c>
      <c r="D395" s="145" t="s">
        <v>669</v>
      </c>
      <c r="E395" s="199">
        <v>0</v>
      </c>
      <c r="F395" s="244">
        <f t="shared" si="13"/>
        <v>0</v>
      </c>
      <c r="G395" s="172">
        <v>13</v>
      </c>
      <c r="H395" s="208">
        <f t="shared" si="14"/>
        <v>13</v>
      </c>
    </row>
    <row r="396" spans="1:8" ht="18" thickBot="1" x14ac:dyDescent="0.45">
      <c r="A396" s="238"/>
      <c r="B396" s="238"/>
      <c r="C396" s="155"/>
      <c r="D396" s="145"/>
      <c r="E396" s="199" t="s">
        <v>1658</v>
      </c>
      <c r="F396" s="244" t="e">
        <f t="shared" si="13"/>
        <v>#VALUE!</v>
      </c>
      <c r="G396" s="172" t="s">
        <v>1658</v>
      </c>
      <c r="H396" s="208" t="str">
        <f t="shared" si="14"/>
        <v/>
      </c>
    </row>
    <row r="397" spans="1:8" ht="18" thickBot="1" x14ac:dyDescent="0.45">
      <c r="A397" s="238"/>
      <c r="B397" s="238" t="s">
        <v>418</v>
      </c>
      <c r="C397" s="155" t="s">
        <v>672</v>
      </c>
      <c r="D397" s="145" t="s">
        <v>669</v>
      </c>
      <c r="E397" s="199">
        <v>0</v>
      </c>
      <c r="F397" s="244">
        <f t="shared" si="13"/>
        <v>0</v>
      </c>
      <c r="G397" s="172">
        <v>13</v>
      </c>
      <c r="H397" s="208">
        <f t="shared" si="14"/>
        <v>13</v>
      </c>
    </row>
    <row r="398" spans="1:8" ht="18" thickBot="1" x14ac:dyDescent="0.45">
      <c r="A398" s="238"/>
      <c r="B398" s="238"/>
      <c r="C398" s="155"/>
      <c r="D398" s="145"/>
      <c r="E398" s="199" t="s">
        <v>1658</v>
      </c>
      <c r="F398" s="244" t="e">
        <f t="shared" si="13"/>
        <v>#VALUE!</v>
      </c>
      <c r="G398" s="172" t="s">
        <v>1658</v>
      </c>
      <c r="H398" s="208" t="str">
        <f t="shared" si="14"/>
        <v/>
      </c>
    </row>
    <row r="399" spans="1:8" ht="18" thickBot="1" x14ac:dyDescent="0.45">
      <c r="A399" s="238"/>
      <c r="B399" s="238" t="s">
        <v>405</v>
      </c>
      <c r="C399" s="155" t="s">
        <v>830</v>
      </c>
      <c r="D399" s="145" t="s">
        <v>669</v>
      </c>
      <c r="E399" s="199">
        <v>0</v>
      </c>
      <c r="F399" s="244">
        <f t="shared" si="13"/>
        <v>0</v>
      </c>
      <c r="G399" s="172">
        <v>0</v>
      </c>
      <c r="H399" s="208">
        <f t="shared" si="14"/>
        <v>0</v>
      </c>
    </row>
    <row r="400" spans="1:8" ht="18" thickBot="1" x14ac:dyDescent="0.45">
      <c r="A400" s="238"/>
      <c r="B400" s="238"/>
      <c r="C400" s="155"/>
      <c r="D400" s="145"/>
      <c r="E400" s="199" t="s">
        <v>1658</v>
      </c>
      <c r="F400" s="244" t="e">
        <f t="shared" si="13"/>
        <v>#VALUE!</v>
      </c>
      <c r="G400" s="172" t="s">
        <v>1658</v>
      </c>
      <c r="H400" s="208" t="str">
        <f t="shared" si="14"/>
        <v/>
      </c>
    </row>
    <row r="401" spans="1:8" ht="18" thickBot="1" x14ac:dyDescent="0.45">
      <c r="A401" s="238"/>
      <c r="B401" s="238" t="s">
        <v>406</v>
      </c>
      <c r="C401" s="155" t="s">
        <v>831</v>
      </c>
      <c r="D401" s="145" t="s">
        <v>669</v>
      </c>
      <c r="E401" s="199">
        <v>0</v>
      </c>
      <c r="F401" s="244">
        <f t="shared" si="13"/>
        <v>0</v>
      </c>
      <c r="G401" s="172">
        <v>13</v>
      </c>
      <c r="H401" s="208">
        <f t="shared" si="14"/>
        <v>13</v>
      </c>
    </row>
    <row r="402" spans="1:8" ht="18" thickBot="1" x14ac:dyDescent="0.45">
      <c r="A402" s="238"/>
      <c r="B402" s="238"/>
      <c r="C402" s="155"/>
      <c r="D402" s="145"/>
      <c r="E402" s="199" t="s">
        <v>1658</v>
      </c>
      <c r="F402" s="244" t="e">
        <f t="shared" si="13"/>
        <v>#VALUE!</v>
      </c>
      <c r="G402" s="172" t="s">
        <v>1658</v>
      </c>
      <c r="H402" s="208" t="str">
        <f t="shared" si="14"/>
        <v/>
      </c>
    </row>
    <row r="403" spans="1:8" ht="18" thickBot="1" x14ac:dyDescent="0.45">
      <c r="A403" s="238"/>
      <c r="B403" s="238" t="s">
        <v>407</v>
      </c>
      <c r="C403" s="155" t="s">
        <v>832</v>
      </c>
      <c r="D403" s="145" t="s">
        <v>669</v>
      </c>
      <c r="E403" s="199">
        <v>0</v>
      </c>
      <c r="F403" s="244">
        <f t="shared" si="13"/>
        <v>0</v>
      </c>
      <c r="G403" s="172">
        <v>13</v>
      </c>
      <c r="H403" s="208">
        <f t="shared" si="14"/>
        <v>13</v>
      </c>
    </row>
    <row r="404" spans="1:8" ht="18" thickBot="1" x14ac:dyDescent="0.45">
      <c r="A404" s="238"/>
      <c r="B404" s="238"/>
      <c r="C404" s="155"/>
      <c r="D404" s="145"/>
      <c r="E404" s="199" t="s">
        <v>1658</v>
      </c>
      <c r="F404" s="244" t="e">
        <f t="shared" si="13"/>
        <v>#VALUE!</v>
      </c>
      <c r="G404" s="172" t="s">
        <v>1658</v>
      </c>
      <c r="H404" s="208" t="str">
        <f t="shared" si="14"/>
        <v/>
      </c>
    </row>
    <row r="405" spans="1:8" ht="18" thickBot="1" x14ac:dyDescent="0.45">
      <c r="A405" s="238"/>
      <c r="B405" s="238" t="s">
        <v>408</v>
      </c>
      <c r="C405" s="155" t="s">
        <v>833</v>
      </c>
      <c r="D405" s="145" t="s">
        <v>669</v>
      </c>
      <c r="E405" s="199">
        <v>0</v>
      </c>
      <c r="F405" s="244">
        <f t="shared" si="13"/>
        <v>0</v>
      </c>
      <c r="G405" s="172">
        <v>13</v>
      </c>
      <c r="H405" s="208">
        <f t="shared" si="14"/>
        <v>13</v>
      </c>
    </row>
    <row r="406" spans="1:8" ht="18" thickBot="1" x14ac:dyDescent="0.45">
      <c r="A406" s="238"/>
      <c r="B406" s="238"/>
      <c r="C406" s="155"/>
      <c r="D406" s="145"/>
      <c r="E406" s="199" t="s">
        <v>1658</v>
      </c>
      <c r="F406" s="244" t="e">
        <f t="shared" si="13"/>
        <v>#VALUE!</v>
      </c>
      <c r="G406" s="172" t="s">
        <v>1658</v>
      </c>
      <c r="H406" s="208" t="str">
        <f t="shared" si="14"/>
        <v/>
      </c>
    </row>
    <row r="407" spans="1:8" ht="18" thickBot="1" x14ac:dyDescent="0.45">
      <c r="A407" s="238"/>
      <c r="B407" s="238" t="s">
        <v>395</v>
      </c>
      <c r="C407" s="155" t="s">
        <v>834</v>
      </c>
      <c r="D407" s="145" t="s">
        <v>669</v>
      </c>
      <c r="E407" s="199">
        <v>0</v>
      </c>
      <c r="F407" s="244">
        <f t="shared" si="13"/>
        <v>0</v>
      </c>
      <c r="G407" s="172">
        <v>13</v>
      </c>
      <c r="H407" s="208">
        <f t="shared" si="14"/>
        <v>13</v>
      </c>
    </row>
    <row r="408" spans="1:8" ht="18" thickBot="1" x14ac:dyDescent="0.45">
      <c r="A408" s="238"/>
      <c r="B408" s="238"/>
      <c r="C408" s="155"/>
      <c r="D408" s="145"/>
      <c r="E408" s="199" t="s">
        <v>1658</v>
      </c>
      <c r="F408" s="244" t="e">
        <f t="shared" si="13"/>
        <v>#VALUE!</v>
      </c>
      <c r="G408" s="172" t="s">
        <v>1658</v>
      </c>
      <c r="H408" s="208" t="str">
        <f t="shared" si="14"/>
        <v/>
      </c>
    </row>
    <row r="409" spans="1:8" ht="18" thickBot="1" x14ac:dyDescent="0.45">
      <c r="A409" s="238"/>
      <c r="B409" s="238" t="s">
        <v>396</v>
      </c>
      <c r="C409" s="155" t="s">
        <v>835</v>
      </c>
      <c r="D409" s="145" t="s">
        <v>669</v>
      </c>
      <c r="E409" s="199">
        <v>0</v>
      </c>
      <c r="F409" s="244">
        <f t="shared" si="13"/>
        <v>0</v>
      </c>
      <c r="G409" s="172">
        <v>13</v>
      </c>
      <c r="H409" s="208">
        <f t="shared" si="14"/>
        <v>13</v>
      </c>
    </row>
    <row r="410" spans="1:8" ht="18" thickBot="1" x14ac:dyDescent="0.45">
      <c r="A410" s="238"/>
      <c r="B410" s="238"/>
      <c r="C410" s="155"/>
      <c r="D410" s="145"/>
      <c r="E410" s="199" t="s">
        <v>1658</v>
      </c>
      <c r="F410" s="244" t="e">
        <f t="shared" si="13"/>
        <v>#VALUE!</v>
      </c>
      <c r="G410" s="172" t="s">
        <v>1658</v>
      </c>
      <c r="H410" s="208" t="str">
        <f t="shared" si="14"/>
        <v/>
      </c>
    </row>
    <row r="411" spans="1:8" ht="18" thickBot="1" x14ac:dyDescent="0.45">
      <c r="A411" s="238"/>
      <c r="B411" s="238" t="s">
        <v>397</v>
      </c>
      <c r="C411" s="155" t="s">
        <v>836</v>
      </c>
      <c r="D411" s="145" t="s">
        <v>669</v>
      </c>
      <c r="E411" s="199">
        <v>0</v>
      </c>
      <c r="F411" s="244">
        <f t="shared" si="13"/>
        <v>0</v>
      </c>
      <c r="G411" s="172">
        <v>13</v>
      </c>
      <c r="H411" s="208">
        <f t="shared" si="14"/>
        <v>13</v>
      </c>
    </row>
    <row r="412" spans="1:8" ht="18" thickBot="1" x14ac:dyDescent="0.45">
      <c r="A412" s="238"/>
      <c r="B412" s="238"/>
      <c r="C412" s="155"/>
      <c r="D412" s="145"/>
      <c r="E412" s="199" t="s">
        <v>1658</v>
      </c>
      <c r="F412" s="244" t="e">
        <f t="shared" si="13"/>
        <v>#VALUE!</v>
      </c>
      <c r="G412" s="172" t="s">
        <v>1658</v>
      </c>
      <c r="H412" s="208" t="str">
        <f t="shared" si="14"/>
        <v/>
      </c>
    </row>
    <row r="413" spans="1:8" ht="18" thickBot="1" x14ac:dyDescent="0.45">
      <c r="A413" s="238"/>
      <c r="B413" s="238" t="s">
        <v>398</v>
      </c>
      <c r="C413" s="155" t="s">
        <v>837</v>
      </c>
      <c r="D413" s="145" t="s">
        <v>669</v>
      </c>
      <c r="E413" s="199">
        <v>0</v>
      </c>
      <c r="F413" s="244">
        <f t="shared" si="13"/>
        <v>0</v>
      </c>
      <c r="G413" s="172">
        <v>13</v>
      </c>
      <c r="H413" s="208">
        <f t="shared" si="14"/>
        <v>13</v>
      </c>
    </row>
    <row r="414" spans="1:8" ht="18" thickBot="1" x14ac:dyDescent="0.45">
      <c r="A414" s="238"/>
      <c r="B414" s="238"/>
      <c r="C414" s="155"/>
      <c r="D414" s="145"/>
      <c r="E414" s="199" t="s">
        <v>1658</v>
      </c>
      <c r="F414" s="244" t="e">
        <f t="shared" si="13"/>
        <v>#VALUE!</v>
      </c>
      <c r="G414" s="172" t="s">
        <v>1658</v>
      </c>
      <c r="H414" s="208" t="str">
        <f t="shared" si="14"/>
        <v/>
      </c>
    </row>
    <row r="415" spans="1:8" ht="18" thickBot="1" x14ac:dyDescent="0.45">
      <c r="A415" s="238"/>
      <c r="B415" s="238" t="s">
        <v>384</v>
      </c>
      <c r="C415" s="155" t="s">
        <v>838</v>
      </c>
      <c r="D415" s="145" t="s">
        <v>669</v>
      </c>
      <c r="E415" s="199">
        <v>0</v>
      </c>
      <c r="F415" s="244">
        <f t="shared" si="13"/>
        <v>0</v>
      </c>
      <c r="G415" s="172">
        <v>0</v>
      </c>
      <c r="H415" s="208">
        <f t="shared" si="14"/>
        <v>0</v>
      </c>
    </row>
    <row r="416" spans="1:8" ht="18" thickBot="1" x14ac:dyDescent="0.45">
      <c r="A416" s="238"/>
      <c r="B416" s="238"/>
      <c r="C416" s="155"/>
      <c r="D416" s="145"/>
      <c r="E416" s="199" t="s">
        <v>1658</v>
      </c>
      <c r="F416" s="244" t="e">
        <f t="shared" si="13"/>
        <v>#VALUE!</v>
      </c>
      <c r="G416" s="172" t="s">
        <v>1658</v>
      </c>
      <c r="H416" s="208" t="str">
        <f t="shared" si="14"/>
        <v/>
      </c>
    </row>
    <row r="417" spans="1:8" ht="35.4" thickBot="1" x14ac:dyDescent="0.45">
      <c r="A417" s="238"/>
      <c r="B417" s="238" t="s">
        <v>385</v>
      </c>
      <c r="C417" s="155" t="s">
        <v>839</v>
      </c>
      <c r="D417" s="145" t="s">
        <v>669</v>
      </c>
      <c r="E417" s="199">
        <v>0</v>
      </c>
      <c r="F417" s="244">
        <f t="shared" si="13"/>
        <v>0</v>
      </c>
      <c r="G417" s="172">
        <v>13</v>
      </c>
      <c r="H417" s="208">
        <f t="shared" si="14"/>
        <v>13</v>
      </c>
    </row>
    <row r="418" spans="1:8" ht="18" thickBot="1" x14ac:dyDescent="0.45">
      <c r="A418" s="238"/>
      <c r="B418" s="238"/>
      <c r="C418" s="155"/>
      <c r="D418" s="145"/>
      <c r="E418" s="199" t="s">
        <v>1658</v>
      </c>
      <c r="F418" s="244" t="e">
        <f t="shared" si="13"/>
        <v>#VALUE!</v>
      </c>
      <c r="G418" s="172" t="s">
        <v>1658</v>
      </c>
      <c r="H418" s="208" t="str">
        <f t="shared" si="14"/>
        <v/>
      </c>
    </row>
    <row r="419" spans="1:8" ht="18" thickBot="1" x14ac:dyDescent="0.45">
      <c r="A419" s="238"/>
      <c r="B419" s="238" t="s">
        <v>386</v>
      </c>
      <c r="C419" s="155" t="s">
        <v>840</v>
      </c>
      <c r="D419" s="145" t="s">
        <v>669</v>
      </c>
      <c r="E419" s="199">
        <v>0</v>
      </c>
      <c r="F419" s="244">
        <f t="shared" si="13"/>
        <v>0</v>
      </c>
      <c r="G419" s="172">
        <v>13</v>
      </c>
      <c r="H419" s="208">
        <f t="shared" si="14"/>
        <v>13</v>
      </c>
    </row>
    <row r="420" spans="1:8" ht="18" thickBot="1" x14ac:dyDescent="0.45">
      <c r="A420" s="238"/>
      <c r="B420" s="238"/>
      <c r="C420" s="155"/>
      <c r="D420" s="145"/>
      <c r="E420" s="199" t="s">
        <v>1658</v>
      </c>
      <c r="F420" s="244" t="e">
        <f t="shared" si="13"/>
        <v>#VALUE!</v>
      </c>
      <c r="G420" s="172" t="s">
        <v>1658</v>
      </c>
      <c r="H420" s="208" t="str">
        <f t="shared" si="14"/>
        <v/>
      </c>
    </row>
    <row r="421" spans="1:8" ht="18" thickBot="1" x14ac:dyDescent="0.45">
      <c r="A421" s="238"/>
      <c r="B421" s="238" t="s">
        <v>387</v>
      </c>
      <c r="C421" s="155" t="s">
        <v>841</v>
      </c>
      <c r="D421" s="145" t="s">
        <v>669</v>
      </c>
      <c r="E421" s="199">
        <v>0</v>
      </c>
      <c r="F421" s="244">
        <f t="shared" si="13"/>
        <v>0</v>
      </c>
      <c r="G421" s="172">
        <v>13</v>
      </c>
      <c r="H421" s="208">
        <f t="shared" si="14"/>
        <v>13</v>
      </c>
    </row>
    <row r="422" spans="1:8" ht="18" thickBot="1" x14ac:dyDescent="0.45">
      <c r="A422" s="238"/>
      <c r="B422" s="238"/>
      <c r="C422" s="155"/>
      <c r="D422" s="145"/>
      <c r="E422" s="199" t="s">
        <v>1658</v>
      </c>
      <c r="F422" s="244" t="e">
        <f t="shared" si="13"/>
        <v>#VALUE!</v>
      </c>
      <c r="G422" s="172" t="s">
        <v>1658</v>
      </c>
      <c r="H422" s="208" t="str">
        <f t="shared" si="14"/>
        <v/>
      </c>
    </row>
    <row r="423" spans="1:8" ht="18" thickBot="1" x14ac:dyDescent="0.45">
      <c r="A423" s="238"/>
      <c r="B423" s="238" t="s">
        <v>372</v>
      </c>
      <c r="C423" s="155" t="s">
        <v>842</v>
      </c>
      <c r="D423" s="145" t="s">
        <v>669</v>
      </c>
      <c r="E423" s="199">
        <v>0</v>
      </c>
      <c r="F423" s="244">
        <f t="shared" si="13"/>
        <v>0</v>
      </c>
      <c r="G423" s="172">
        <v>13</v>
      </c>
      <c r="H423" s="208">
        <f t="shared" si="14"/>
        <v>13</v>
      </c>
    </row>
    <row r="424" spans="1:8" ht="18" thickBot="1" x14ac:dyDescent="0.45">
      <c r="A424" s="238"/>
      <c r="B424" s="238"/>
      <c r="C424" s="155"/>
      <c r="D424" s="145"/>
      <c r="E424" s="199" t="s">
        <v>1658</v>
      </c>
      <c r="F424" s="244" t="e">
        <f t="shared" si="13"/>
        <v>#VALUE!</v>
      </c>
      <c r="G424" s="172" t="s">
        <v>1658</v>
      </c>
      <c r="H424" s="208" t="str">
        <f t="shared" si="14"/>
        <v/>
      </c>
    </row>
    <row r="425" spans="1:8" ht="18" thickBot="1" x14ac:dyDescent="0.45">
      <c r="A425" s="238"/>
      <c r="B425" s="238" t="s">
        <v>373</v>
      </c>
      <c r="C425" s="155" t="s">
        <v>843</v>
      </c>
      <c r="D425" s="145" t="s">
        <v>669</v>
      </c>
      <c r="E425" s="199">
        <v>0</v>
      </c>
      <c r="F425" s="244">
        <f t="shared" si="13"/>
        <v>0</v>
      </c>
      <c r="G425" s="172">
        <v>13</v>
      </c>
      <c r="H425" s="208">
        <f t="shared" si="14"/>
        <v>13</v>
      </c>
    </row>
    <row r="426" spans="1:8" ht="18" thickBot="1" x14ac:dyDescent="0.45">
      <c r="A426" s="238"/>
      <c r="B426" s="238"/>
      <c r="C426" s="155"/>
      <c r="D426" s="145"/>
      <c r="E426" s="199" t="s">
        <v>1658</v>
      </c>
      <c r="F426" s="244" t="e">
        <f t="shared" si="13"/>
        <v>#VALUE!</v>
      </c>
      <c r="G426" s="172" t="s">
        <v>1658</v>
      </c>
      <c r="H426" s="208" t="str">
        <f t="shared" si="14"/>
        <v/>
      </c>
    </row>
    <row r="427" spans="1:8" ht="18" thickBot="1" x14ac:dyDescent="0.45">
      <c r="A427" s="238"/>
      <c r="B427" s="238" t="s">
        <v>374</v>
      </c>
      <c r="C427" s="155" t="s">
        <v>844</v>
      </c>
      <c r="D427" s="145" t="s">
        <v>669</v>
      </c>
      <c r="E427" s="199">
        <v>0</v>
      </c>
      <c r="F427" s="244">
        <f t="shared" si="13"/>
        <v>0</v>
      </c>
      <c r="G427" s="172">
        <v>13</v>
      </c>
      <c r="H427" s="208">
        <f t="shared" si="14"/>
        <v>13</v>
      </c>
    </row>
    <row r="428" spans="1:8" ht="18" thickBot="1" x14ac:dyDescent="0.45">
      <c r="A428" s="238"/>
      <c r="B428" s="238"/>
      <c r="C428" s="155"/>
      <c r="D428" s="145"/>
      <c r="E428" s="199" t="s">
        <v>1658</v>
      </c>
      <c r="F428" s="244" t="e">
        <f t="shared" si="13"/>
        <v>#VALUE!</v>
      </c>
      <c r="G428" s="172" t="s">
        <v>1658</v>
      </c>
      <c r="H428" s="208" t="str">
        <f t="shared" si="14"/>
        <v/>
      </c>
    </row>
    <row r="429" spans="1:8" ht="18" thickBot="1" x14ac:dyDescent="0.45">
      <c r="A429" s="238"/>
      <c r="B429" s="238" t="s">
        <v>375</v>
      </c>
      <c r="C429" s="155" t="s">
        <v>845</v>
      </c>
      <c r="D429" s="145" t="s">
        <v>669</v>
      </c>
      <c r="E429" s="199">
        <v>0</v>
      </c>
      <c r="F429" s="244">
        <f t="shared" si="13"/>
        <v>0</v>
      </c>
      <c r="G429" s="172">
        <v>13</v>
      </c>
      <c r="H429" s="208">
        <f t="shared" si="14"/>
        <v>13</v>
      </c>
    </row>
    <row r="430" spans="1:8" ht="18" thickBot="1" x14ac:dyDescent="0.45">
      <c r="A430" s="238"/>
      <c r="B430" s="238"/>
      <c r="C430" s="155"/>
      <c r="D430" s="145"/>
      <c r="E430" s="199" t="s">
        <v>1658</v>
      </c>
      <c r="F430" s="244" t="e">
        <f t="shared" si="13"/>
        <v>#VALUE!</v>
      </c>
      <c r="G430" s="172" t="s">
        <v>1658</v>
      </c>
      <c r="H430" s="208" t="str">
        <f t="shared" si="14"/>
        <v/>
      </c>
    </row>
    <row r="431" spans="1:8" ht="18" thickBot="1" x14ac:dyDescent="0.45">
      <c r="A431" s="238"/>
      <c r="B431" s="238" t="s">
        <v>360</v>
      </c>
      <c r="C431" s="185" t="s">
        <v>846</v>
      </c>
      <c r="D431" s="145" t="s">
        <v>669</v>
      </c>
      <c r="E431" s="199">
        <v>0</v>
      </c>
      <c r="F431" s="244">
        <f t="shared" si="13"/>
        <v>0</v>
      </c>
      <c r="G431" s="172">
        <v>13</v>
      </c>
      <c r="H431" s="208">
        <f t="shared" si="14"/>
        <v>13</v>
      </c>
    </row>
    <row r="432" spans="1:8" ht="18" thickBot="1" x14ac:dyDescent="0.45">
      <c r="A432" s="238"/>
      <c r="B432" s="238"/>
      <c r="C432" s="185"/>
      <c r="D432" s="145"/>
      <c r="E432" s="199" t="s">
        <v>1658</v>
      </c>
      <c r="F432" s="244" t="e">
        <f t="shared" si="13"/>
        <v>#VALUE!</v>
      </c>
      <c r="G432" s="172" t="s">
        <v>1658</v>
      </c>
      <c r="H432" s="208" t="str">
        <f t="shared" si="14"/>
        <v/>
      </c>
    </row>
    <row r="433" spans="1:8" ht="18" thickBot="1" x14ac:dyDescent="0.45">
      <c r="A433" s="238"/>
      <c r="B433" s="238" t="s">
        <v>361</v>
      </c>
      <c r="C433" s="155" t="s">
        <v>847</v>
      </c>
      <c r="D433" s="145" t="s">
        <v>669</v>
      </c>
      <c r="E433" s="199">
        <v>0</v>
      </c>
      <c r="F433" s="244">
        <f t="shared" si="13"/>
        <v>0</v>
      </c>
      <c r="G433" s="172">
        <v>13</v>
      </c>
      <c r="H433" s="208">
        <f t="shared" si="14"/>
        <v>13</v>
      </c>
    </row>
    <row r="434" spans="1:8" ht="18" thickBot="1" x14ac:dyDescent="0.45">
      <c r="A434" s="238"/>
      <c r="B434" s="238"/>
      <c r="C434" s="155"/>
      <c r="D434" s="145"/>
      <c r="E434" s="199" t="s">
        <v>1658</v>
      </c>
      <c r="F434" s="244" t="e">
        <f t="shared" si="13"/>
        <v>#VALUE!</v>
      </c>
      <c r="G434" s="172" t="s">
        <v>1658</v>
      </c>
      <c r="H434" s="208" t="str">
        <f t="shared" si="14"/>
        <v/>
      </c>
    </row>
    <row r="435" spans="1:8" ht="18" thickBot="1" x14ac:dyDescent="0.45">
      <c r="A435" s="238"/>
      <c r="B435" s="238" t="s">
        <v>362</v>
      </c>
      <c r="C435" s="155" t="s">
        <v>848</v>
      </c>
      <c r="D435" s="145" t="s">
        <v>669</v>
      </c>
      <c r="E435" s="199">
        <v>0</v>
      </c>
      <c r="F435" s="244">
        <f t="shared" si="13"/>
        <v>0</v>
      </c>
      <c r="G435" s="172">
        <v>13</v>
      </c>
      <c r="H435" s="208">
        <f t="shared" si="14"/>
        <v>13</v>
      </c>
    </row>
    <row r="436" spans="1:8" ht="18" thickBot="1" x14ac:dyDescent="0.45">
      <c r="A436" s="238"/>
      <c r="B436" s="238"/>
      <c r="C436" s="155"/>
      <c r="D436" s="145"/>
      <c r="E436" s="199" t="s">
        <v>1658</v>
      </c>
      <c r="F436" s="244" t="e">
        <f t="shared" si="13"/>
        <v>#VALUE!</v>
      </c>
      <c r="G436" s="172" t="s">
        <v>1658</v>
      </c>
      <c r="H436" s="208" t="str">
        <f t="shared" si="14"/>
        <v/>
      </c>
    </row>
    <row r="437" spans="1:8" ht="18" thickBot="1" x14ac:dyDescent="0.45">
      <c r="A437" s="238"/>
      <c r="B437" s="238" t="s">
        <v>363</v>
      </c>
      <c r="C437" s="155" t="s">
        <v>849</v>
      </c>
      <c r="D437" s="145" t="s">
        <v>789</v>
      </c>
      <c r="E437" s="199">
        <v>0</v>
      </c>
      <c r="F437" s="244">
        <f t="shared" si="13"/>
        <v>0</v>
      </c>
      <c r="G437" s="172">
        <v>13</v>
      </c>
      <c r="H437" s="208">
        <f t="shared" si="14"/>
        <v>13</v>
      </c>
    </row>
    <row r="438" spans="1:8" ht="18" thickBot="1" x14ac:dyDescent="0.45">
      <c r="A438" s="238"/>
      <c r="B438" s="238"/>
      <c r="C438" s="155"/>
      <c r="D438" s="145"/>
      <c r="E438" s="199" t="s">
        <v>1658</v>
      </c>
      <c r="F438" s="244" t="e">
        <f t="shared" si="13"/>
        <v>#VALUE!</v>
      </c>
      <c r="G438" s="172" t="s">
        <v>1658</v>
      </c>
      <c r="H438" s="208" t="str">
        <f t="shared" si="14"/>
        <v/>
      </c>
    </row>
    <row r="439" spans="1:8" ht="18" thickBot="1" x14ac:dyDescent="0.45">
      <c r="A439" s="234"/>
      <c r="B439" s="234" t="s">
        <v>345</v>
      </c>
      <c r="C439" s="241" t="s">
        <v>850</v>
      </c>
      <c r="D439" s="235"/>
      <c r="E439" s="199">
        <v>0</v>
      </c>
      <c r="F439" s="244">
        <f t="shared" si="13"/>
        <v>0</v>
      </c>
      <c r="G439" s="172">
        <v>0</v>
      </c>
      <c r="H439" s="208">
        <f t="shared" si="14"/>
        <v>0</v>
      </c>
    </row>
    <row r="440" spans="1:8" ht="18" thickBot="1" x14ac:dyDescent="0.45">
      <c r="A440" s="234"/>
      <c r="B440" s="234" t="s">
        <v>346</v>
      </c>
      <c r="C440" s="241" t="s">
        <v>673</v>
      </c>
      <c r="D440" s="235"/>
      <c r="E440" s="199">
        <v>0</v>
      </c>
      <c r="F440" s="244">
        <f t="shared" si="13"/>
        <v>0</v>
      </c>
      <c r="G440" s="172">
        <v>0</v>
      </c>
      <c r="H440" s="208">
        <f t="shared" si="14"/>
        <v>0</v>
      </c>
    </row>
    <row r="441" spans="1:8" ht="18" thickBot="1" x14ac:dyDescent="0.45">
      <c r="A441" s="234"/>
      <c r="B441" s="234" t="s">
        <v>347</v>
      </c>
      <c r="C441" s="241" t="s">
        <v>674</v>
      </c>
      <c r="D441" s="235"/>
      <c r="E441" s="199">
        <v>0</v>
      </c>
      <c r="F441" s="244">
        <f t="shared" si="13"/>
        <v>0</v>
      </c>
      <c r="G441" s="172">
        <v>0</v>
      </c>
      <c r="H441" s="208">
        <f t="shared" si="14"/>
        <v>0</v>
      </c>
    </row>
    <row r="442" spans="1:8" ht="18" thickBot="1" x14ac:dyDescent="0.45">
      <c r="A442" s="234"/>
      <c r="B442" s="234" t="s">
        <v>348</v>
      </c>
      <c r="C442" s="241" t="s">
        <v>675</v>
      </c>
      <c r="D442" s="235"/>
      <c r="E442" s="199">
        <v>0</v>
      </c>
      <c r="F442" s="244">
        <f t="shared" si="13"/>
        <v>0</v>
      </c>
      <c r="G442" s="172">
        <v>0</v>
      </c>
      <c r="H442" s="208">
        <f t="shared" si="14"/>
        <v>0</v>
      </c>
    </row>
    <row r="443" spans="1:8" ht="18" thickBot="1" x14ac:dyDescent="0.45">
      <c r="A443" s="234"/>
      <c r="B443" s="234" t="s">
        <v>349</v>
      </c>
      <c r="C443" s="241" t="s">
        <v>676</v>
      </c>
      <c r="D443" s="235"/>
      <c r="E443" s="199">
        <v>0</v>
      </c>
      <c r="F443" s="244">
        <f t="shared" si="13"/>
        <v>0</v>
      </c>
      <c r="G443" s="172">
        <v>0</v>
      </c>
      <c r="H443" s="208">
        <f t="shared" si="14"/>
        <v>0</v>
      </c>
    </row>
    <row r="444" spans="1:8" ht="18" thickBot="1" x14ac:dyDescent="0.45">
      <c r="A444" s="234"/>
      <c r="B444" s="234" t="s">
        <v>350</v>
      </c>
      <c r="C444" s="241" t="s">
        <v>677</v>
      </c>
      <c r="D444" s="235"/>
      <c r="E444" s="199">
        <v>0</v>
      </c>
      <c r="F444" s="244">
        <f t="shared" si="13"/>
        <v>0</v>
      </c>
      <c r="G444" s="172">
        <v>0</v>
      </c>
      <c r="H444" s="208">
        <f t="shared" si="14"/>
        <v>0</v>
      </c>
    </row>
    <row r="445" spans="1:8" ht="18" thickBot="1" x14ac:dyDescent="0.45">
      <c r="A445" s="234"/>
      <c r="B445" s="234" t="s">
        <v>351</v>
      </c>
      <c r="C445" s="241" t="s">
        <v>678</v>
      </c>
      <c r="D445" s="235"/>
      <c r="E445" s="199">
        <v>0</v>
      </c>
      <c r="F445" s="244">
        <f t="shared" si="13"/>
        <v>0</v>
      </c>
      <c r="G445" s="172">
        <v>0</v>
      </c>
      <c r="H445" s="208">
        <f t="shared" si="14"/>
        <v>0</v>
      </c>
    </row>
    <row r="446" spans="1:8" ht="18" thickBot="1" x14ac:dyDescent="0.45">
      <c r="A446" s="234"/>
      <c r="B446" s="234" t="s">
        <v>352</v>
      </c>
      <c r="C446" s="241" t="s">
        <v>679</v>
      </c>
      <c r="D446" s="235"/>
      <c r="E446" s="199">
        <v>0</v>
      </c>
      <c r="F446" s="244">
        <f t="shared" si="13"/>
        <v>0</v>
      </c>
      <c r="G446" s="172">
        <v>0</v>
      </c>
      <c r="H446" s="208">
        <f t="shared" si="14"/>
        <v>0</v>
      </c>
    </row>
    <row r="447" spans="1:8" ht="18" thickBot="1" x14ac:dyDescent="0.45">
      <c r="A447" s="234"/>
      <c r="B447" s="234" t="s">
        <v>353</v>
      </c>
      <c r="C447" s="153"/>
      <c r="D447" s="143"/>
      <c r="E447" s="199">
        <v>0</v>
      </c>
      <c r="F447" s="244">
        <f t="shared" si="13"/>
        <v>0</v>
      </c>
      <c r="G447" s="172">
        <v>0</v>
      </c>
      <c r="H447" s="208">
        <f t="shared" si="14"/>
        <v>0</v>
      </c>
    </row>
    <row r="448" spans="1:8" ht="18" thickBot="1" x14ac:dyDescent="0.45">
      <c r="A448" s="234"/>
      <c r="B448" s="234" t="s">
        <v>354</v>
      </c>
      <c r="C448" s="153"/>
      <c r="D448" s="143"/>
      <c r="E448" s="199">
        <v>0</v>
      </c>
      <c r="F448" s="244">
        <f t="shared" si="13"/>
        <v>0</v>
      </c>
      <c r="G448" s="172">
        <v>0</v>
      </c>
      <c r="H448" s="208">
        <f t="shared" si="14"/>
        <v>0</v>
      </c>
    </row>
    <row r="449" spans="1:8" ht="18" thickBot="1" x14ac:dyDescent="0.45">
      <c r="A449" s="234"/>
      <c r="B449" s="234" t="s">
        <v>333</v>
      </c>
      <c r="C449" s="241" t="s">
        <v>851</v>
      </c>
      <c r="D449" s="235"/>
      <c r="E449" s="199">
        <v>0</v>
      </c>
      <c r="F449" s="244">
        <f t="shared" si="13"/>
        <v>0</v>
      </c>
      <c r="G449" s="172">
        <v>0</v>
      </c>
      <c r="H449" s="208">
        <f t="shared" si="14"/>
        <v>0</v>
      </c>
    </row>
    <row r="450" spans="1:8" ht="18" thickBot="1" x14ac:dyDescent="0.45">
      <c r="A450" s="234"/>
      <c r="B450" s="234" t="s">
        <v>566</v>
      </c>
      <c r="C450" s="241" t="s">
        <v>680</v>
      </c>
      <c r="D450" s="235"/>
      <c r="E450" s="199">
        <v>0</v>
      </c>
      <c r="F450" s="244">
        <f t="shared" si="13"/>
        <v>0</v>
      </c>
      <c r="G450" s="172">
        <v>0</v>
      </c>
      <c r="H450" s="208">
        <f t="shared" si="14"/>
        <v>0</v>
      </c>
    </row>
    <row r="451" spans="1:8" ht="18" thickBot="1" x14ac:dyDescent="0.45">
      <c r="A451" s="234"/>
      <c r="B451" s="234" t="s">
        <v>335</v>
      </c>
      <c r="C451" s="218" t="s">
        <v>681</v>
      </c>
      <c r="D451" s="235"/>
      <c r="E451" s="199">
        <v>0</v>
      </c>
      <c r="F451" s="244">
        <f t="shared" si="13"/>
        <v>0</v>
      </c>
      <c r="G451" s="172">
        <v>0</v>
      </c>
      <c r="H451" s="208">
        <f t="shared" si="14"/>
        <v>0</v>
      </c>
    </row>
    <row r="452" spans="1:8" ht="18" thickBot="1" x14ac:dyDescent="0.45">
      <c r="A452" s="234"/>
      <c r="B452" s="234" t="s">
        <v>336</v>
      </c>
      <c r="C452" s="241" t="s">
        <v>682</v>
      </c>
      <c r="D452" s="235"/>
      <c r="E452" s="199">
        <v>0</v>
      </c>
      <c r="F452" s="244">
        <f t="shared" si="13"/>
        <v>0</v>
      </c>
      <c r="G452" s="172">
        <v>0</v>
      </c>
      <c r="H452" s="208">
        <f t="shared" si="14"/>
        <v>0</v>
      </c>
    </row>
    <row r="453" spans="1:8" ht="18" thickBot="1" x14ac:dyDescent="0.45">
      <c r="A453" s="234"/>
      <c r="B453" s="234" t="s">
        <v>337</v>
      </c>
      <c r="C453" s="241" t="s">
        <v>683</v>
      </c>
      <c r="D453" s="235"/>
      <c r="E453" s="199">
        <v>0</v>
      </c>
      <c r="F453" s="244">
        <f t="shared" ref="F453:F516" si="15">E453/(24*31)</f>
        <v>0</v>
      </c>
      <c r="G453" s="172">
        <v>0</v>
      </c>
      <c r="H453" s="208">
        <f t="shared" ref="H453:H516" si="16">IFERROR(G453-F453, "")</f>
        <v>0</v>
      </c>
    </row>
    <row r="454" spans="1:8" ht="18" thickBot="1" x14ac:dyDescent="0.45">
      <c r="A454" s="234"/>
      <c r="B454" s="234" t="s">
        <v>338</v>
      </c>
      <c r="C454" s="241" t="s">
        <v>684</v>
      </c>
      <c r="D454" s="235"/>
      <c r="E454" s="199">
        <v>0</v>
      </c>
      <c r="F454" s="244">
        <f t="shared" si="15"/>
        <v>0</v>
      </c>
      <c r="G454" s="172">
        <v>0</v>
      </c>
      <c r="H454" s="208">
        <f t="shared" si="16"/>
        <v>0</v>
      </c>
    </row>
    <row r="455" spans="1:8" ht="18" thickBot="1" x14ac:dyDescent="0.45">
      <c r="A455" s="234"/>
      <c r="B455" s="234" t="s">
        <v>339</v>
      </c>
      <c r="C455" s="241" t="s">
        <v>685</v>
      </c>
      <c r="D455" s="235"/>
      <c r="E455" s="199">
        <v>0</v>
      </c>
      <c r="F455" s="244">
        <f t="shared" si="15"/>
        <v>0</v>
      </c>
      <c r="G455" s="172">
        <v>0</v>
      </c>
      <c r="H455" s="208">
        <f t="shared" si="16"/>
        <v>0</v>
      </c>
    </row>
    <row r="456" spans="1:8" ht="18" thickBot="1" x14ac:dyDescent="0.45">
      <c r="A456" s="234"/>
      <c r="B456" s="234" t="s">
        <v>340</v>
      </c>
      <c r="C456" s="241" t="s">
        <v>686</v>
      </c>
      <c r="D456" s="235"/>
      <c r="E456" s="199">
        <v>0</v>
      </c>
      <c r="F456" s="244">
        <f t="shared" si="15"/>
        <v>0</v>
      </c>
      <c r="G456" s="172">
        <v>0</v>
      </c>
      <c r="H456" s="208">
        <f t="shared" si="16"/>
        <v>0</v>
      </c>
    </row>
    <row r="457" spans="1:8" ht="18" thickBot="1" x14ac:dyDescent="0.45">
      <c r="A457" s="234"/>
      <c r="B457" s="234" t="s">
        <v>341</v>
      </c>
      <c r="C457" s="153"/>
      <c r="D457" s="143"/>
      <c r="E457" s="199">
        <v>0</v>
      </c>
      <c r="F457" s="244">
        <f t="shared" si="15"/>
        <v>0</v>
      </c>
      <c r="G457" s="172">
        <v>0</v>
      </c>
      <c r="H457" s="208">
        <f t="shared" si="16"/>
        <v>0</v>
      </c>
    </row>
    <row r="458" spans="1:8" ht="18" thickBot="1" x14ac:dyDescent="0.45">
      <c r="A458" s="234"/>
      <c r="B458" s="234" t="s">
        <v>342</v>
      </c>
      <c r="C458" s="153"/>
      <c r="D458" s="143"/>
      <c r="E458" s="199">
        <v>0</v>
      </c>
      <c r="F458" s="244">
        <f t="shared" si="15"/>
        <v>0</v>
      </c>
      <c r="G458" s="172">
        <v>0</v>
      </c>
      <c r="H458" s="208">
        <f t="shared" si="16"/>
        <v>0</v>
      </c>
    </row>
    <row r="459" spans="1:8" ht="18" thickBot="1" x14ac:dyDescent="0.45">
      <c r="A459" s="234"/>
      <c r="B459" s="234"/>
      <c r="C459" s="241"/>
      <c r="D459" s="235"/>
      <c r="E459" s="199">
        <v>0</v>
      </c>
      <c r="F459" s="244">
        <f t="shared" si="15"/>
        <v>0</v>
      </c>
      <c r="G459" s="172" t="s">
        <v>1658</v>
      </c>
      <c r="H459" s="208" t="str">
        <f t="shared" si="16"/>
        <v/>
      </c>
    </row>
    <row r="460" spans="1:8" ht="18" thickBot="1" x14ac:dyDescent="0.45">
      <c r="A460" s="234"/>
      <c r="B460" s="234"/>
      <c r="C460" s="241" t="s">
        <v>852</v>
      </c>
      <c r="D460" s="235"/>
      <c r="E460" s="199">
        <v>0</v>
      </c>
      <c r="F460" s="244">
        <f t="shared" si="15"/>
        <v>0</v>
      </c>
      <c r="G460" s="172" t="s">
        <v>1658</v>
      </c>
      <c r="H460" s="208" t="str">
        <f t="shared" si="16"/>
        <v/>
      </c>
    </row>
    <row r="461" spans="1:8" ht="18" thickBot="1" x14ac:dyDescent="0.45">
      <c r="A461" s="234"/>
      <c r="B461" s="234"/>
      <c r="C461" s="241" t="s">
        <v>687</v>
      </c>
      <c r="D461" s="235"/>
      <c r="E461" s="199">
        <v>0</v>
      </c>
      <c r="F461" s="244">
        <f t="shared" si="15"/>
        <v>0</v>
      </c>
      <c r="G461" s="172" t="s">
        <v>1658</v>
      </c>
      <c r="H461" s="208" t="str">
        <f t="shared" si="16"/>
        <v/>
      </c>
    </row>
    <row r="462" spans="1:8" ht="18" thickBot="1" x14ac:dyDescent="0.45">
      <c r="A462" s="234"/>
      <c r="B462" s="234"/>
      <c r="C462" s="241" t="s">
        <v>688</v>
      </c>
      <c r="D462" s="235"/>
      <c r="E462" s="199">
        <v>0</v>
      </c>
      <c r="F462" s="244">
        <f t="shared" si="15"/>
        <v>0</v>
      </c>
      <c r="G462" s="172" t="s">
        <v>1658</v>
      </c>
      <c r="H462" s="208" t="str">
        <f t="shared" si="16"/>
        <v/>
      </c>
    </row>
    <row r="463" spans="1:8" ht="18" thickBot="1" x14ac:dyDescent="0.45">
      <c r="A463" s="234"/>
      <c r="B463" s="234" t="s">
        <v>487</v>
      </c>
      <c r="C463" s="233" t="s">
        <v>689</v>
      </c>
      <c r="D463" s="235" t="s">
        <v>790</v>
      </c>
      <c r="E463" s="199">
        <v>0</v>
      </c>
      <c r="F463" s="244">
        <f t="shared" si="15"/>
        <v>0</v>
      </c>
      <c r="G463" s="172">
        <v>5</v>
      </c>
      <c r="H463" s="208">
        <f t="shared" si="16"/>
        <v>5</v>
      </c>
    </row>
    <row r="464" spans="1:8" ht="18" thickBot="1" x14ac:dyDescent="0.45">
      <c r="A464" s="234"/>
      <c r="B464" s="234" t="s">
        <v>567</v>
      </c>
      <c r="C464" s="233" t="s">
        <v>691</v>
      </c>
      <c r="D464" s="235" t="s">
        <v>690</v>
      </c>
      <c r="E464" s="199">
        <v>3707.2</v>
      </c>
      <c r="F464" s="244">
        <f t="shared" si="15"/>
        <v>4.9827956989247308</v>
      </c>
      <c r="G464" s="172">
        <v>5</v>
      </c>
      <c r="H464" s="208">
        <f t="shared" si="16"/>
        <v>1.7204301075269157E-2</v>
      </c>
    </row>
    <row r="465" spans="1:8" ht="18" thickBot="1" x14ac:dyDescent="0.45">
      <c r="A465" s="234"/>
      <c r="B465" s="234" t="s">
        <v>568</v>
      </c>
      <c r="C465" s="233" t="s">
        <v>692</v>
      </c>
      <c r="D465" s="235" t="s">
        <v>690</v>
      </c>
      <c r="E465" s="199">
        <v>3816.1</v>
      </c>
      <c r="F465" s="244">
        <f t="shared" si="15"/>
        <v>5.1291666666666664</v>
      </c>
      <c r="G465" s="172">
        <v>5</v>
      </c>
      <c r="H465" s="208">
        <f t="shared" si="16"/>
        <v>-0.12916666666666643</v>
      </c>
    </row>
    <row r="466" spans="1:8" ht="18" thickBot="1" x14ac:dyDescent="0.45">
      <c r="A466" s="234"/>
      <c r="B466" s="234" t="s">
        <v>569</v>
      </c>
      <c r="C466" s="241" t="s">
        <v>693</v>
      </c>
      <c r="D466" s="235" t="s">
        <v>690</v>
      </c>
      <c r="E466" s="199">
        <v>3915.1000000000004</v>
      </c>
      <c r="F466" s="244">
        <f t="shared" si="15"/>
        <v>5.2622311827956993</v>
      </c>
      <c r="G466" s="172">
        <v>5</v>
      </c>
      <c r="H466" s="208">
        <f t="shared" si="16"/>
        <v>-0.26223118279569935</v>
      </c>
    </row>
    <row r="467" spans="1:8" ht="18" thickBot="1" x14ac:dyDescent="0.45">
      <c r="A467" s="234"/>
      <c r="B467" s="234" t="s">
        <v>570</v>
      </c>
      <c r="C467" s="241" t="s">
        <v>694</v>
      </c>
      <c r="D467" s="235" t="s">
        <v>690</v>
      </c>
      <c r="E467" s="199">
        <v>0</v>
      </c>
      <c r="F467" s="244">
        <f t="shared" si="15"/>
        <v>0</v>
      </c>
      <c r="G467" s="172">
        <v>5</v>
      </c>
      <c r="H467" s="208">
        <f t="shared" si="16"/>
        <v>5</v>
      </c>
    </row>
    <row r="468" spans="1:8" ht="18" thickBot="1" x14ac:dyDescent="0.45">
      <c r="A468" s="234"/>
      <c r="B468" s="234" t="s">
        <v>497</v>
      </c>
      <c r="C468" s="233" t="s">
        <v>853</v>
      </c>
      <c r="D468" s="235" t="s">
        <v>690</v>
      </c>
      <c r="E468" s="199">
        <v>0</v>
      </c>
      <c r="F468" s="244">
        <f t="shared" si="15"/>
        <v>0</v>
      </c>
      <c r="G468" s="172">
        <v>5</v>
      </c>
      <c r="H468" s="208">
        <f t="shared" si="16"/>
        <v>5</v>
      </c>
    </row>
    <row r="469" spans="1:8" ht="18" thickBot="1" x14ac:dyDescent="0.45">
      <c r="A469" s="234"/>
      <c r="B469" s="234" t="s">
        <v>498</v>
      </c>
      <c r="C469" s="233" t="s">
        <v>854</v>
      </c>
      <c r="D469" s="235" t="s">
        <v>690</v>
      </c>
      <c r="E469" s="199">
        <v>3690.4</v>
      </c>
      <c r="F469" s="244">
        <f t="shared" si="15"/>
        <v>4.9602150537634406</v>
      </c>
      <c r="G469" s="172">
        <v>5</v>
      </c>
      <c r="H469" s="208">
        <f t="shared" si="16"/>
        <v>3.9784946236559371E-2</v>
      </c>
    </row>
    <row r="470" spans="1:8" ht="18" thickBot="1" x14ac:dyDescent="0.45">
      <c r="A470" s="234"/>
      <c r="B470" s="234" t="s">
        <v>571</v>
      </c>
      <c r="C470" s="233" t="s">
        <v>695</v>
      </c>
      <c r="D470" s="235" t="s">
        <v>690</v>
      </c>
      <c r="E470" s="199">
        <v>3540.2</v>
      </c>
      <c r="F470" s="244">
        <f t="shared" si="15"/>
        <v>4.7583333333333329</v>
      </c>
      <c r="G470" s="172">
        <v>5</v>
      </c>
      <c r="H470" s="208">
        <f t="shared" si="16"/>
        <v>0.24166666666666714</v>
      </c>
    </row>
    <row r="471" spans="1:8" ht="18" thickBot="1" x14ac:dyDescent="0.45">
      <c r="A471" s="234"/>
      <c r="B471" s="234" t="s">
        <v>493</v>
      </c>
      <c r="C471" s="233" t="s">
        <v>696</v>
      </c>
      <c r="D471" s="235" t="s">
        <v>690</v>
      </c>
      <c r="E471" s="199">
        <v>3533.6</v>
      </c>
      <c r="F471" s="244">
        <f t="shared" si="15"/>
        <v>4.7494623655913975</v>
      </c>
      <c r="G471" s="172">
        <v>5</v>
      </c>
      <c r="H471" s="208">
        <f t="shared" si="16"/>
        <v>0.25053763440860255</v>
      </c>
    </row>
    <row r="472" spans="1:8" ht="18" thickBot="1" x14ac:dyDescent="0.45">
      <c r="A472" s="234"/>
      <c r="B472" s="234" t="s">
        <v>494</v>
      </c>
      <c r="C472" s="233" t="s">
        <v>697</v>
      </c>
      <c r="D472" s="235" t="s">
        <v>690</v>
      </c>
      <c r="E472" s="199">
        <v>3456</v>
      </c>
      <c r="F472" s="244">
        <f t="shared" si="15"/>
        <v>4.645161290322581</v>
      </c>
      <c r="G472" s="172">
        <v>5</v>
      </c>
      <c r="H472" s="208">
        <f t="shared" si="16"/>
        <v>0.35483870967741904</v>
      </c>
    </row>
    <row r="473" spans="1:8" ht="18" thickBot="1" x14ac:dyDescent="0.45">
      <c r="A473" s="234"/>
      <c r="B473" s="234"/>
      <c r="C473" s="241" t="s">
        <v>698</v>
      </c>
      <c r="D473" s="235"/>
      <c r="E473" s="199">
        <v>3293.3</v>
      </c>
      <c r="F473" s="244">
        <f t="shared" si="15"/>
        <v>4.4264784946236562</v>
      </c>
      <c r="G473" s="172" t="s">
        <v>1658</v>
      </c>
      <c r="H473" s="208" t="str">
        <f t="shared" si="16"/>
        <v/>
      </c>
    </row>
    <row r="474" spans="1:8" ht="18" thickBot="1" x14ac:dyDescent="0.45">
      <c r="A474" s="234"/>
      <c r="B474" s="234"/>
      <c r="C474" s="241" t="s">
        <v>699</v>
      </c>
      <c r="D474" s="235"/>
      <c r="E474" s="199">
        <v>0</v>
      </c>
      <c r="F474" s="244">
        <f t="shared" si="15"/>
        <v>0</v>
      </c>
      <c r="G474" s="172" t="s">
        <v>1658</v>
      </c>
      <c r="H474" s="208" t="str">
        <f t="shared" si="16"/>
        <v/>
      </c>
    </row>
    <row r="475" spans="1:8" ht="18" thickBot="1" x14ac:dyDescent="0.45">
      <c r="A475" s="234"/>
      <c r="B475" s="234"/>
      <c r="C475" s="241" t="s">
        <v>700</v>
      </c>
      <c r="D475" s="235"/>
      <c r="E475" s="199">
        <v>0</v>
      </c>
      <c r="F475" s="244">
        <f t="shared" si="15"/>
        <v>0</v>
      </c>
      <c r="G475" s="172" t="s">
        <v>1658</v>
      </c>
      <c r="H475" s="208" t="str">
        <f t="shared" si="16"/>
        <v/>
      </c>
    </row>
    <row r="476" spans="1:8" ht="18" thickBot="1" x14ac:dyDescent="0.45">
      <c r="A476" s="234"/>
      <c r="B476" s="234"/>
      <c r="C476" s="241" t="s">
        <v>701</v>
      </c>
      <c r="D476" s="235"/>
      <c r="E476" s="199">
        <v>0</v>
      </c>
      <c r="F476" s="244">
        <f t="shared" si="15"/>
        <v>0</v>
      </c>
      <c r="G476" s="172" t="s">
        <v>1658</v>
      </c>
      <c r="H476" s="208" t="str">
        <f t="shared" si="16"/>
        <v/>
      </c>
    </row>
    <row r="477" spans="1:8" ht="18" thickBot="1" x14ac:dyDescent="0.45">
      <c r="A477" s="234"/>
      <c r="B477" s="234" t="s">
        <v>572</v>
      </c>
      <c r="C477" s="140" t="s">
        <v>855</v>
      </c>
      <c r="D477" s="235" t="s">
        <v>791</v>
      </c>
      <c r="E477" s="199">
        <v>0</v>
      </c>
      <c r="F477" s="244">
        <f t="shared" si="15"/>
        <v>0</v>
      </c>
      <c r="G477" s="172">
        <v>2.2000000000000002</v>
      </c>
      <c r="H477" s="208">
        <f t="shared" si="16"/>
        <v>2.2000000000000002</v>
      </c>
    </row>
    <row r="478" spans="1:8" ht="18" thickBot="1" x14ac:dyDescent="0.45">
      <c r="A478" s="234"/>
      <c r="B478" s="234" t="s">
        <v>573</v>
      </c>
      <c r="C478" s="140" t="s">
        <v>856</v>
      </c>
      <c r="D478" s="235" t="s">
        <v>791</v>
      </c>
      <c r="E478" s="199">
        <v>127.6</v>
      </c>
      <c r="F478" s="244">
        <f t="shared" si="15"/>
        <v>0.17150537634408602</v>
      </c>
      <c r="G478" s="172">
        <v>2.2000000000000002</v>
      </c>
      <c r="H478" s="208">
        <f t="shared" si="16"/>
        <v>2.0284946236559143</v>
      </c>
    </row>
    <row r="479" spans="1:8" ht="18" thickBot="1" x14ac:dyDescent="0.45">
      <c r="A479" s="234"/>
      <c r="B479" s="234" t="s">
        <v>574</v>
      </c>
      <c r="C479" s="140" t="s">
        <v>857</v>
      </c>
      <c r="D479" s="235" t="s">
        <v>791</v>
      </c>
      <c r="E479" s="199">
        <v>419.1</v>
      </c>
      <c r="F479" s="244">
        <f t="shared" si="15"/>
        <v>0.56330645161290327</v>
      </c>
      <c r="G479" s="172">
        <v>2.2000000000000002</v>
      </c>
      <c r="H479" s="208">
        <f t="shared" si="16"/>
        <v>1.6366935483870968</v>
      </c>
    </row>
    <row r="480" spans="1:8" ht="18" thickBot="1" x14ac:dyDescent="0.45">
      <c r="A480" s="234"/>
      <c r="B480" s="234" t="s">
        <v>575</v>
      </c>
      <c r="C480" s="140" t="s">
        <v>858</v>
      </c>
      <c r="D480" s="235" t="s">
        <v>791</v>
      </c>
      <c r="E480" s="199">
        <v>433</v>
      </c>
      <c r="F480" s="244">
        <f t="shared" si="15"/>
        <v>0.581989247311828</v>
      </c>
      <c r="G480" s="172">
        <v>2.2000000000000002</v>
      </c>
      <c r="H480" s="208">
        <f t="shared" si="16"/>
        <v>1.6180107526881722</v>
      </c>
    </row>
    <row r="481" spans="1:8" ht="18" thickBot="1" x14ac:dyDescent="0.45">
      <c r="A481" s="234"/>
      <c r="B481" s="234"/>
      <c r="C481" s="186" t="s">
        <v>853</v>
      </c>
      <c r="D481" s="187"/>
      <c r="E481" s="199">
        <v>0</v>
      </c>
      <c r="F481" s="244">
        <f t="shared" si="15"/>
        <v>0</v>
      </c>
      <c r="G481" s="172" t="s">
        <v>1658</v>
      </c>
      <c r="H481" s="208" t="str">
        <f t="shared" si="16"/>
        <v/>
      </c>
    </row>
    <row r="482" spans="1:8" ht="18" thickBot="1" x14ac:dyDescent="0.45">
      <c r="A482" s="184"/>
      <c r="B482" s="184"/>
      <c r="C482" s="241" t="s">
        <v>859</v>
      </c>
      <c r="D482" s="235"/>
      <c r="E482" s="199">
        <v>0</v>
      </c>
      <c r="F482" s="244">
        <f t="shared" si="15"/>
        <v>0</v>
      </c>
      <c r="G482" s="172" t="s">
        <v>1658</v>
      </c>
      <c r="H482" s="208" t="str">
        <f t="shared" si="16"/>
        <v/>
      </c>
    </row>
    <row r="483" spans="1:8" ht="18" thickBot="1" x14ac:dyDescent="0.45">
      <c r="A483" s="234"/>
      <c r="B483" s="234" t="s">
        <v>486</v>
      </c>
      <c r="C483" s="235" t="s">
        <v>860</v>
      </c>
      <c r="D483" s="235" t="s">
        <v>791</v>
      </c>
      <c r="E483" s="199">
        <v>0</v>
      </c>
      <c r="F483" s="244">
        <f t="shared" si="15"/>
        <v>0</v>
      </c>
      <c r="G483" s="172">
        <v>2.2000000000000002</v>
      </c>
      <c r="H483" s="208">
        <f t="shared" si="16"/>
        <v>2.2000000000000002</v>
      </c>
    </row>
    <row r="484" spans="1:8" ht="18" thickBot="1" x14ac:dyDescent="0.45">
      <c r="A484" s="234"/>
      <c r="B484" s="234" t="s">
        <v>576</v>
      </c>
      <c r="C484" s="140" t="s">
        <v>861</v>
      </c>
      <c r="D484" s="235" t="s">
        <v>791</v>
      </c>
      <c r="E484" s="199">
        <v>0</v>
      </c>
      <c r="F484" s="244">
        <f t="shared" si="15"/>
        <v>0</v>
      </c>
      <c r="G484" s="172">
        <v>2.2000000000000002</v>
      </c>
      <c r="H484" s="208">
        <f t="shared" si="16"/>
        <v>2.2000000000000002</v>
      </c>
    </row>
    <row r="485" spans="1:8" ht="18" thickBot="1" x14ac:dyDescent="0.45">
      <c r="A485" s="184"/>
      <c r="B485" s="184"/>
      <c r="C485" s="233" t="s">
        <v>862</v>
      </c>
      <c r="D485" s="235" t="s">
        <v>791</v>
      </c>
      <c r="E485" s="199">
        <v>409.5</v>
      </c>
      <c r="F485" s="244">
        <f t="shared" si="15"/>
        <v>0.55040322580645162</v>
      </c>
      <c r="G485" s="172" t="s">
        <v>1658</v>
      </c>
      <c r="H485" s="208" t="str">
        <f t="shared" si="16"/>
        <v/>
      </c>
    </row>
    <row r="486" spans="1:8" ht="18" thickBot="1" x14ac:dyDescent="0.45">
      <c r="A486" s="184"/>
      <c r="B486" s="184"/>
      <c r="C486" s="233" t="s">
        <v>863</v>
      </c>
      <c r="D486" s="235" t="s">
        <v>791</v>
      </c>
      <c r="E486" s="199">
        <v>0</v>
      </c>
      <c r="F486" s="244">
        <f t="shared" si="15"/>
        <v>0</v>
      </c>
      <c r="G486" s="172" t="s">
        <v>1658</v>
      </c>
      <c r="H486" s="208" t="str">
        <f t="shared" si="16"/>
        <v/>
      </c>
    </row>
    <row r="487" spans="1:8" ht="35.4" thickBot="1" x14ac:dyDescent="0.45">
      <c r="A487" s="234"/>
      <c r="B487" s="234" t="s">
        <v>444</v>
      </c>
      <c r="C487" s="241" t="s">
        <v>864</v>
      </c>
      <c r="D487" s="141" t="s">
        <v>792</v>
      </c>
      <c r="E487" s="199">
        <v>0</v>
      </c>
      <c r="F487" s="244">
        <f t="shared" si="15"/>
        <v>0</v>
      </c>
      <c r="G487" s="172">
        <v>2.2000000000000002</v>
      </c>
      <c r="H487" s="208">
        <f t="shared" si="16"/>
        <v>2.2000000000000002</v>
      </c>
    </row>
    <row r="488" spans="1:8" ht="35.4" thickBot="1" x14ac:dyDescent="0.45">
      <c r="A488" s="234"/>
      <c r="B488" s="234" t="s">
        <v>445</v>
      </c>
      <c r="C488" s="233" t="s">
        <v>865</v>
      </c>
      <c r="D488" s="146" t="s">
        <v>792</v>
      </c>
      <c r="E488" s="199">
        <v>0</v>
      </c>
      <c r="F488" s="244">
        <f t="shared" si="15"/>
        <v>0</v>
      </c>
      <c r="G488" s="172">
        <v>2.2000000000000002</v>
      </c>
      <c r="H488" s="208">
        <f t="shared" si="16"/>
        <v>2.2000000000000002</v>
      </c>
    </row>
    <row r="489" spans="1:8" ht="35.4" thickBot="1" x14ac:dyDescent="0.45">
      <c r="A489" s="234"/>
      <c r="B489" s="234" t="s">
        <v>577</v>
      </c>
      <c r="C489" s="233" t="s">
        <v>866</v>
      </c>
      <c r="D489" s="146" t="s">
        <v>792</v>
      </c>
      <c r="E489" s="199">
        <v>0</v>
      </c>
      <c r="F489" s="244">
        <f t="shared" si="15"/>
        <v>0</v>
      </c>
      <c r="G489" s="172">
        <v>2.2000000000000002</v>
      </c>
      <c r="H489" s="208">
        <f t="shared" si="16"/>
        <v>2.2000000000000002</v>
      </c>
    </row>
    <row r="490" spans="1:8" ht="18" thickBot="1" x14ac:dyDescent="0.45">
      <c r="A490" s="234"/>
      <c r="B490" s="234"/>
      <c r="C490" s="233"/>
      <c r="D490" s="146"/>
      <c r="E490" s="199">
        <v>67.699999999999989</v>
      </c>
      <c r="F490" s="244">
        <f t="shared" si="15"/>
        <v>9.0994623655913959E-2</v>
      </c>
      <c r="G490" s="172" t="s">
        <v>1658</v>
      </c>
      <c r="H490" s="208" t="str">
        <f t="shared" si="16"/>
        <v/>
      </c>
    </row>
    <row r="491" spans="1:8" ht="18" thickBot="1" x14ac:dyDescent="0.45">
      <c r="A491" s="234"/>
      <c r="B491" s="241"/>
      <c r="C491" s="153" t="s">
        <v>853</v>
      </c>
      <c r="D491" s="143"/>
      <c r="E491" s="199">
        <v>458.3</v>
      </c>
      <c r="F491" s="244">
        <f t="shared" si="15"/>
        <v>0.61599462365591395</v>
      </c>
      <c r="G491" s="172" t="s">
        <v>1658</v>
      </c>
      <c r="H491" s="208" t="str">
        <f t="shared" si="16"/>
        <v/>
      </c>
    </row>
    <row r="492" spans="1:8" ht="18" thickBot="1" x14ac:dyDescent="0.45">
      <c r="A492" s="234"/>
      <c r="B492" s="241"/>
      <c r="C492" s="153" t="s">
        <v>867</v>
      </c>
      <c r="D492" s="143"/>
      <c r="E492" s="199">
        <v>0</v>
      </c>
      <c r="F492" s="244">
        <f t="shared" si="15"/>
        <v>0</v>
      </c>
      <c r="G492" s="172" t="s">
        <v>1658</v>
      </c>
      <c r="H492" s="208" t="str">
        <f t="shared" si="16"/>
        <v/>
      </c>
    </row>
    <row r="493" spans="1:8" ht="18" thickBot="1" x14ac:dyDescent="0.45">
      <c r="A493" s="234"/>
      <c r="B493" s="241"/>
      <c r="C493" s="153" t="s">
        <v>702</v>
      </c>
      <c r="D493" s="143"/>
      <c r="E493" s="199">
        <v>0</v>
      </c>
      <c r="F493" s="244">
        <f t="shared" si="15"/>
        <v>0</v>
      </c>
      <c r="G493" s="172" t="s">
        <v>1658</v>
      </c>
      <c r="H493" s="208" t="str">
        <f t="shared" si="16"/>
        <v/>
      </c>
    </row>
    <row r="494" spans="1:8" ht="18" thickBot="1" x14ac:dyDescent="0.45">
      <c r="A494" s="234"/>
      <c r="B494" s="241"/>
      <c r="C494" s="153" t="s">
        <v>703</v>
      </c>
      <c r="D494" s="143"/>
      <c r="E494" s="199">
        <v>0</v>
      </c>
      <c r="F494" s="244">
        <f t="shared" si="15"/>
        <v>0</v>
      </c>
      <c r="G494" s="172" t="s">
        <v>1658</v>
      </c>
      <c r="H494" s="208" t="str">
        <f t="shared" si="16"/>
        <v/>
      </c>
    </row>
    <row r="495" spans="1:8" ht="18" thickBot="1" x14ac:dyDescent="0.45">
      <c r="A495" s="234"/>
      <c r="B495" s="241"/>
      <c r="C495" s="153" t="s">
        <v>704</v>
      </c>
      <c r="D495" s="143"/>
      <c r="E495" s="199">
        <v>0</v>
      </c>
      <c r="F495" s="244">
        <f t="shared" si="15"/>
        <v>0</v>
      </c>
      <c r="G495" s="172" t="s">
        <v>1658</v>
      </c>
      <c r="H495" s="208" t="str">
        <f t="shared" si="16"/>
        <v/>
      </c>
    </row>
    <row r="496" spans="1:8" ht="18" thickBot="1" x14ac:dyDescent="0.45">
      <c r="A496" s="234"/>
      <c r="B496" s="241"/>
      <c r="C496" s="153" t="s">
        <v>705</v>
      </c>
      <c r="D496" s="143"/>
      <c r="E496" s="199">
        <v>0</v>
      </c>
      <c r="F496" s="244">
        <f t="shared" si="15"/>
        <v>0</v>
      </c>
      <c r="G496" s="172" t="s">
        <v>1658</v>
      </c>
      <c r="H496" s="208" t="str">
        <f t="shared" si="16"/>
        <v/>
      </c>
    </row>
    <row r="497" spans="1:8" ht="18" thickBot="1" x14ac:dyDescent="0.45">
      <c r="A497" s="234"/>
      <c r="B497" s="241"/>
      <c r="C497" s="153" t="s">
        <v>706</v>
      </c>
      <c r="D497" s="143"/>
      <c r="E497" s="199">
        <v>0</v>
      </c>
      <c r="F497" s="244">
        <f t="shared" si="15"/>
        <v>0</v>
      </c>
      <c r="G497" s="172" t="s">
        <v>1658</v>
      </c>
      <c r="H497" s="208" t="str">
        <f t="shared" si="16"/>
        <v/>
      </c>
    </row>
    <row r="498" spans="1:8" ht="18" thickBot="1" x14ac:dyDescent="0.45">
      <c r="A498" s="234"/>
      <c r="B498" s="241"/>
      <c r="C498" s="153" t="s">
        <v>707</v>
      </c>
      <c r="D498" s="143"/>
      <c r="E498" s="199">
        <v>0</v>
      </c>
      <c r="F498" s="244">
        <f t="shared" si="15"/>
        <v>0</v>
      </c>
      <c r="G498" s="172" t="s">
        <v>1658</v>
      </c>
      <c r="H498" s="208" t="str">
        <f t="shared" si="16"/>
        <v/>
      </c>
    </row>
    <row r="499" spans="1:8" ht="18" thickBot="1" x14ac:dyDescent="0.45">
      <c r="A499" s="234"/>
      <c r="B499" s="241"/>
      <c r="C499" s="153" t="s">
        <v>708</v>
      </c>
      <c r="D499" s="143"/>
      <c r="E499" s="199">
        <v>0</v>
      </c>
      <c r="F499" s="244">
        <f t="shared" si="15"/>
        <v>0</v>
      </c>
      <c r="G499" s="172" t="s">
        <v>1658</v>
      </c>
      <c r="H499" s="208" t="str">
        <f t="shared" si="16"/>
        <v/>
      </c>
    </row>
    <row r="500" spans="1:8" ht="18" thickBot="1" x14ac:dyDescent="0.45">
      <c r="A500" s="234"/>
      <c r="B500" s="241"/>
      <c r="C500" s="153" t="s">
        <v>853</v>
      </c>
      <c r="D500" s="143"/>
      <c r="E500" s="199">
        <v>0</v>
      </c>
      <c r="F500" s="244">
        <f t="shared" si="15"/>
        <v>0</v>
      </c>
      <c r="G500" s="172" t="s">
        <v>1658</v>
      </c>
      <c r="H500" s="208" t="str">
        <f t="shared" si="16"/>
        <v/>
      </c>
    </row>
    <row r="501" spans="1:8" ht="18" thickBot="1" x14ac:dyDescent="0.45">
      <c r="A501" s="234"/>
      <c r="B501" s="241"/>
      <c r="C501" s="153" t="s">
        <v>868</v>
      </c>
      <c r="D501" s="143"/>
      <c r="E501" s="199">
        <v>0</v>
      </c>
      <c r="F501" s="244">
        <f t="shared" si="15"/>
        <v>0</v>
      </c>
      <c r="G501" s="172" t="s">
        <v>1658</v>
      </c>
      <c r="H501" s="208" t="str">
        <f t="shared" si="16"/>
        <v/>
      </c>
    </row>
    <row r="502" spans="1:8" ht="18" thickBot="1" x14ac:dyDescent="0.45">
      <c r="A502" s="234"/>
      <c r="B502" s="241"/>
      <c r="C502" s="153" t="s">
        <v>709</v>
      </c>
      <c r="D502" s="143"/>
      <c r="E502" s="199">
        <v>0</v>
      </c>
      <c r="F502" s="244">
        <f t="shared" si="15"/>
        <v>0</v>
      </c>
      <c r="G502" s="172" t="s">
        <v>1658</v>
      </c>
      <c r="H502" s="208" t="str">
        <f t="shared" si="16"/>
        <v/>
      </c>
    </row>
    <row r="503" spans="1:8" ht="18" thickBot="1" x14ac:dyDescent="0.45">
      <c r="A503" s="234"/>
      <c r="B503" s="241"/>
      <c r="C503" s="153" t="s">
        <v>710</v>
      </c>
      <c r="D503" s="143"/>
      <c r="E503" s="199">
        <v>0</v>
      </c>
      <c r="F503" s="244">
        <f t="shared" si="15"/>
        <v>0</v>
      </c>
      <c r="G503" s="172" t="s">
        <v>1658</v>
      </c>
      <c r="H503" s="208" t="str">
        <f t="shared" si="16"/>
        <v/>
      </c>
    </row>
    <row r="504" spans="1:8" ht="18" thickBot="1" x14ac:dyDescent="0.45">
      <c r="A504" s="234"/>
      <c r="B504" s="241"/>
      <c r="C504" s="153" t="s">
        <v>711</v>
      </c>
      <c r="D504" s="143"/>
      <c r="E504" s="199">
        <v>0</v>
      </c>
      <c r="F504" s="244">
        <f t="shared" si="15"/>
        <v>0</v>
      </c>
      <c r="G504" s="172" t="s">
        <v>1658</v>
      </c>
      <c r="H504" s="208" t="str">
        <f t="shared" si="16"/>
        <v/>
      </c>
    </row>
    <row r="505" spans="1:8" ht="18" thickBot="1" x14ac:dyDescent="0.45">
      <c r="A505" s="234"/>
      <c r="B505" s="241"/>
      <c r="C505" s="153" t="s">
        <v>712</v>
      </c>
      <c r="D505" s="143"/>
      <c r="E505" s="199">
        <v>0</v>
      </c>
      <c r="F505" s="244">
        <f t="shared" si="15"/>
        <v>0</v>
      </c>
      <c r="G505" s="172" t="s">
        <v>1658</v>
      </c>
      <c r="H505" s="208" t="str">
        <f t="shared" si="16"/>
        <v/>
      </c>
    </row>
    <row r="506" spans="1:8" ht="18" thickBot="1" x14ac:dyDescent="0.45">
      <c r="A506" s="234"/>
      <c r="B506" s="241"/>
      <c r="C506" s="153" t="s">
        <v>713</v>
      </c>
      <c r="D506" s="143"/>
      <c r="E506" s="199">
        <v>0</v>
      </c>
      <c r="F506" s="244">
        <f t="shared" si="15"/>
        <v>0</v>
      </c>
      <c r="G506" s="172" t="s">
        <v>1658</v>
      </c>
      <c r="H506" s="208" t="str">
        <f t="shared" si="16"/>
        <v/>
      </c>
    </row>
    <row r="507" spans="1:8" ht="18" thickBot="1" x14ac:dyDescent="0.45">
      <c r="A507" s="234"/>
      <c r="B507" s="241"/>
      <c r="C507" s="153" t="s">
        <v>714</v>
      </c>
      <c r="D507" s="143"/>
      <c r="E507" s="199">
        <v>0</v>
      </c>
      <c r="F507" s="244">
        <f t="shared" si="15"/>
        <v>0</v>
      </c>
      <c r="G507" s="172" t="s">
        <v>1658</v>
      </c>
      <c r="H507" s="208" t="str">
        <f t="shared" si="16"/>
        <v/>
      </c>
    </row>
    <row r="508" spans="1:8" ht="18" thickBot="1" x14ac:dyDescent="0.45">
      <c r="A508" s="234"/>
      <c r="B508" s="241"/>
      <c r="C508" s="153" t="s">
        <v>715</v>
      </c>
      <c r="D508" s="143"/>
      <c r="E508" s="199">
        <v>0</v>
      </c>
      <c r="F508" s="244">
        <f t="shared" si="15"/>
        <v>0</v>
      </c>
      <c r="G508" s="172" t="s">
        <v>1658</v>
      </c>
      <c r="H508" s="208" t="str">
        <f t="shared" si="16"/>
        <v/>
      </c>
    </row>
    <row r="509" spans="1:8" ht="18" thickBot="1" x14ac:dyDescent="0.45">
      <c r="A509" s="234"/>
      <c r="B509" s="241"/>
      <c r="C509" s="153" t="s">
        <v>716</v>
      </c>
      <c r="D509" s="143"/>
      <c r="E509" s="199">
        <v>0</v>
      </c>
      <c r="F509" s="244">
        <f t="shared" si="15"/>
        <v>0</v>
      </c>
      <c r="G509" s="172" t="s">
        <v>1658</v>
      </c>
      <c r="H509" s="208" t="str">
        <f t="shared" si="16"/>
        <v/>
      </c>
    </row>
    <row r="510" spans="1:8" ht="18" thickBot="1" x14ac:dyDescent="0.45">
      <c r="A510" s="234"/>
      <c r="B510" s="241"/>
      <c r="C510" s="153" t="s">
        <v>717</v>
      </c>
      <c r="D510" s="143"/>
      <c r="E510" s="199">
        <v>0</v>
      </c>
      <c r="F510" s="244">
        <f t="shared" si="15"/>
        <v>0</v>
      </c>
      <c r="G510" s="172" t="s">
        <v>1658</v>
      </c>
      <c r="H510" s="208" t="str">
        <f t="shared" si="16"/>
        <v/>
      </c>
    </row>
    <row r="511" spans="1:8" ht="18" thickBot="1" x14ac:dyDescent="0.45">
      <c r="A511" s="234"/>
      <c r="B511" s="241"/>
      <c r="C511" s="153" t="s">
        <v>718</v>
      </c>
      <c r="D511" s="143"/>
      <c r="E511" s="199">
        <v>0</v>
      </c>
      <c r="F511" s="244">
        <f t="shared" si="15"/>
        <v>0</v>
      </c>
      <c r="G511" s="172" t="s">
        <v>1658</v>
      </c>
      <c r="H511" s="208" t="str">
        <f t="shared" si="16"/>
        <v/>
      </c>
    </row>
    <row r="512" spans="1:8" ht="18" thickBot="1" x14ac:dyDescent="0.45">
      <c r="A512" s="234"/>
      <c r="B512" s="241"/>
      <c r="C512" s="153" t="s">
        <v>719</v>
      </c>
      <c r="D512" s="143"/>
      <c r="E512" s="199">
        <v>0</v>
      </c>
      <c r="F512" s="244">
        <f t="shared" si="15"/>
        <v>0</v>
      </c>
      <c r="G512" s="172" t="s">
        <v>1658</v>
      </c>
      <c r="H512" s="208" t="str">
        <f t="shared" si="16"/>
        <v/>
      </c>
    </row>
    <row r="513" spans="1:8" ht="18" thickBot="1" x14ac:dyDescent="0.45">
      <c r="A513" s="234"/>
      <c r="B513" s="241"/>
      <c r="C513" s="153" t="s">
        <v>720</v>
      </c>
      <c r="D513" s="143"/>
      <c r="E513" s="199">
        <v>0</v>
      </c>
      <c r="F513" s="244">
        <f t="shared" si="15"/>
        <v>0</v>
      </c>
      <c r="G513" s="172" t="s">
        <v>1658</v>
      </c>
      <c r="H513" s="208" t="str">
        <f t="shared" si="16"/>
        <v/>
      </c>
    </row>
    <row r="514" spans="1:8" ht="18" thickBot="1" x14ac:dyDescent="0.45">
      <c r="A514" s="234"/>
      <c r="B514" s="241"/>
      <c r="C514" s="154" t="s">
        <v>853</v>
      </c>
      <c r="D514" s="144"/>
      <c r="E514" s="199">
        <v>0</v>
      </c>
      <c r="F514" s="244">
        <f t="shared" si="15"/>
        <v>0</v>
      </c>
      <c r="G514" s="172" t="s">
        <v>1658</v>
      </c>
      <c r="H514" s="208" t="str">
        <f t="shared" si="16"/>
        <v/>
      </c>
    </row>
    <row r="515" spans="1:8" ht="18" thickBot="1" x14ac:dyDescent="0.45">
      <c r="A515" s="234"/>
      <c r="B515" s="241"/>
      <c r="C515" s="153" t="s">
        <v>721</v>
      </c>
      <c r="D515" s="143"/>
      <c r="E515" s="199">
        <v>0</v>
      </c>
      <c r="F515" s="244">
        <f t="shared" si="15"/>
        <v>0</v>
      </c>
      <c r="G515" s="172" t="s">
        <v>1658</v>
      </c>
      <c r="H515" s="208" t="str">
        <f t="shared" si="16"/>
        <v/>
      </c>
    </row>
    <row r="516" spans="1:8" ht="18" thickBot="1" x14ac:dyDescent="0.45">
      <c r="A516" s="234"/>
      <c r="B516" s="241"/>
      <c r="C516" s="153" t="s">
        <v>722</v>
      </c>
      <c r="D516" s="143"/>
      <c r="E516" s="199">
        <v>0</v>
      </c>
      <c r="F516" s="244">
        <f t="shared" si="15"/>
        <v>0</v>
      </c>
      <c r="G516" s="172" t="s">
        <v>1658</v>
      </c>
      <c r="H516" s="208" t="str">
        <f t="shared" si="16"/>
        <v/>
      </c>
    </row>
    <row r="517" spans="1:8" ht="18" thickBot="1" x14ac:dyDescent="0.45">
      <c r="A517" s="234"/>
      <c r="B517" s="241"/>
      <c r="C517" s="153" t="s">
        <v>723</v>
      </c>
      <c r="D517" s="143"/>
      <c r="E517" s="199">
        <v>0</v>
      </c>
      <c r="F517" s="244">
        <f t="shared" ref="F517:F580" si="17">E517/(24*31)</f>
        <v>0</v>
      </c>
      <c r="G517" s="172" t="s">
        <v>1658</v>
      </c>
      <c r="H517" s="208" t="str">
        <f t="shared" ref="H517:H580" si="18">IFERROR(G517-F517, "")</f>
        <v/>
      </c>
    </row>
    <row r="518" spans="1:8" ht="18" thickBot="1" x14ac:dyDescent="0.45">
      <c r="A518" s="184"/>
      <c r="B518" s="241"/>
      <c r="C518" s="153" t="s">
        <v>724</v>
      </c>
      <c r="D518" s="143"/>
      <c r="E518" s="199">
        <v>0</v>
      </c>
      <c r="F518" s="244">
        <f t="shared" si="17"/>
        <v>0</v>
      </c>
      <c r="G518" s="172" t="s">
        <v>1658</v>
      </c>
      <c r="H518" s="208" t="str">
        <f t="shared" si="18"/>
        <v/>
      </c>
    </row>
    <row r="519" spans="1:8" ht="18" thickBot="1" x14ac:dyDescent="0.45">
      <c r="A519" s="184"/>
      <c r="B519" s="241"/>
      <c r="C519" s="153" t="s">
        <v>853</v>
      </c>
      <c r="D519" s="143"/>
      <c r="E519" s="199">
        <v>0</v>
      </c>
      <c r="F519" s="244">
        <f t="shared" si="17"/>
        <v>0</v>
      </c>
      <c r="G519" s="172" t="s">
        <v>1658</v>
      </c>
      <c r="H519" s="208" t="str">
        <f t="shared" si="18"/>
        <v/>
      </c>
    </row>
    <row r="520" spans="1:8" ht="18" thickBot="1" x14ac:dyDescent="0.45">
      <c r="A520" s="234"/>
      <c r="B520" s="241"/>
      <c r="C520" s="233"/>
      <c r="D520" s="235"/>
      <c r="E520" s="199">
        <v>0</v>
      </c>
      <c r="F520" s="244">
        <f t="shared" si="17"/>
        <v>0</v>
      </c>
      <c r="G520" s="172" t="s">
        <v>1658</v>
      </c>
      <c r="H520" s="208" t="str">
        <f t="shared" si="18"/>
        <v/>
      </c>
    </row>
    <row r="521" spans="1:8" ht="52.8" thickBot="1" x14ac:dyDescent="0.45">
      <c r="A521" s="238"/>
      <c r="B521" s="241"/>
      <c r="C521" s="188" t="s">
        <v>869</v>
      </c>
      <c r="D521" s="147" t="s">
        <v>793</v>
      </c>
      <c r="E521" s="199">
        <v>0</v>
      </c>
      <c r="F521" s="244">
        <f t="shared" si="17"/>
        <v>0</v>
      </c>
      <c r="G521" s="172" t="s">
        <v>1658</v>
      </c>
      <c r="H521" s="208" t="str">
        <f t="shared" si="18"/>
        <v/>
      </c>
    </row>
    <row r="522" spans="1:8" ht="35.4" thickBot="1" x14ac:dyDescent="0.45">
      <c r="A522" s="238"/>
      <c r="B522" s="241"/>
      <c r="C522" s="189"/>
      <c r="D522" s="147" t="s">
        <v>794</v>
      </c>
      <c r="E522" s="199">
        <v>0</v>
      </c>
      <c r="F522" s="244">
        <f t="shared" si="17"/>
        <v>0</v>
      </c>
      <c r="G522" s="172" t="s">
        <v>1658</v>
      </c>
      <c r="H522" s="208" t="str">
        <f t="shared" si="18"/>
        <v/>
      </c>
    </row>
    <row r="523" spans="1:8" ht="18" thickBot="1" x14ac:dyDescent="0.45">
      <c r="A523" s="238"/>
      <c r="B523" s="241"/>
      <c r="C523" s="156" t="s">
        <v>870</v>
      </c>
      <c r="D523" s="147" t="s">
        <v>795</v>
      </c>
      <c r="E523" s="199">
        <v>0</v>
      </c>
      <c r="F523" s="244">
        <f t="shared" si="17"/>
        <v>0</v>
      </c>
      <c r="G523" s="172" t="s">
        <v>1658</v>
      </c>
      <c r="H523" s="208" t="str">
        <f t="shared" si="18"/>
        <v/>
      </c>
    </row>
    <row r="524" spans="1:8" ht="18" thickBot="1" x14ac:dyDescent="0.45">
      <c r="A524" s="238"/>
      <c r="B524" s="241"/>
      <c r="C524" s="156"/>
      <c r="D524" s="147" t="s">
        <v>725</v>
      </c>
      <c r="E524" s="199">
        <v>356.9</v>
      </c>
      <c r="F524" s="244">
        <f t="shared" si="17"/>
        <v>0.47970430107526879</v>
      </c>
      <c r="G524" s="172" t="s">
        <v>1658</v>
      </c>
      <c r="H524" s="208" t="str">
        <f t="shared" si="18"/>
        <v/>
      </c>
    </row>
    <row r="525" spans="1:8" ht="18" thickBot="1" x14ac:dyDescent="0.45">
      <c r="A525" s="238"/>
      <c r="B525" s="241"/>
      <c r="C525" s="156"/>
      <c r="D525" s="147" t="s">
        <v>796</v>
      </c>
      <c r="E525" s="199">
        <v>362.4</v>
      </c>
      <c r="F525" s="244">
        <f t="shared" si="17"/>
        <v>0.48709677419354835</v>
      </c>
      <c r="G525" s="172" t="s">
        <v>1658</v>
      </c>
      <c r="H525" s="208" t="str">
        <f t="shared" si="18"/>
        <v/>
      </c>
    </row>
    <row r="526" spans="1:8" ht="35.4" thickBot="1" x14ac:dyDescent="0.45">
      <c r="A526" s="238"/>
      <c r="B526" s="241"/>
      <c r="C526" s="156"/>
      <c r="D526" s="147" t="s">
        <v>797</v>
      </c>
      <c r="E526" s="199">
        <v>22.9</v>
      </c>
      <c r="F526" s="244">
        <f t="shared" si="17"/>
        <v>3.0779569892473116E-2</v>
      </c>
      <c r="G526" s="172" t="s">
        <v>1658</v>
      </c>
      <c r="H526" s="208" t="str">
        <f t="shared" si="18"/>
        <v/>
      </c>
    </row>
    <row r="527" spans="1:8" ht="35.4" thickBot="1" x14ac:dyDescent="0.45">
      <c r="A527" s="238"/>
      <c r="B527" s="241"/>
      <c r="C527" s="156"/>
      <c r="D527" s="147" t="s">
        <v>726</v>
      </c>
      <c r="E527" s="199">
        <v>391.9</v>
      </c>
      <c r="F527" s="244">
        <f t="shared" si="17"/>
        <v>0.52674731182795698</v>
      </c>
      <c r="G527" s="172" t="s">
        <v>1658</v>
      </c>
      <c r="H527" s="208" t="str">
        <f t="shared" si="18"/>
        <v/>
      </c>
    </row>
    <row r="528" spans="1:8" ht="35.4" thickBot="1" x14ac:dyDescent="0.45">
      <c r="A528" s="238"/>
      <c r="B528" s="241"/>
      <c r="C528" s="156"/>
      <c r="D528" s="147" t="s">
        <v>727</v>
      </c>
      <c r="E528" s="199">
        <v>249.4</v>
      </c>
      <c r="F528" s="244">
        <f t="shared" si="17"/>
        <v>0.33521505376344085</v>
      </c>
      <c r="G528" s="172" t="s">
        <v>1658</v>
      </c>
      <c r="H528" s="208" t="str">
        <f t="shared" si="18"/>
        <v/>
      </c>
    </row>
    <row r="529" spans="1:10" ht="18" thickBot="1" x14ac:dyDescent="0.45">
      <c r="A529" s="238"/>
      <c r="B529" s="241"/>
      <c r="C529" s="156"/>
      <c r="D529" s="147" t="s">
        <v>796</v>
      </c>
      <c r="E529" s="199">
        <v>0</v>
      </c>
      <c r="F529" s="244">
        <f t="shared" si="17"/>
        <v>0</v>
      </c>
      <c r="G529" s="172" t="s">
        <v>1658</v>
      </c>
      <c r="H529" s="208" t="str">
        <f t="shared" si="18"/>
        <v/>
      </c>
    </row>
    <row r="530" spans="1:10" ht="18" thickBot="1" x14ac:dyDescent="0.45">
      <c r="A530" s="238"/>
      <c r="B530" s="241"/>
      <c r="C530" s="156"/>
      <c r="D530" s="147" t="s">
        <v>725</v>
      </c>
      <c r="E530" s="199">
        <v>0</v>
      </c>
      <c r="F530" s="244">
        <f t="shared" si="17"/>
        <v>0</v>
      </c>
      <c r="G530" s="172" t="s">
        <v>1658</v>
      </c>
      <c r="H530" s="208" t="str">
        <f t="shared" si="18"/>
        <v/>
      </c>
    </row>
    <row r="531" spans="1:10" ht="18" thickBot="1" x14ac:dyDescent="0.45">
      <c r="A531" s="238"/>
      <c r="B531" s="241"/>
      <c r="C531" s="156"/>
      <c r="D531" s="147" t="s">
        <v>725</v>
      </c>
      <c r="E531" s="199">
        <v>59.2</v>
      </c>
      <c r="F531" s="244">
        <f t="shared" si="17"/>
        <v>7.9569892473118284E-2</v>
      </c>
      <c r="G531" s="172" t="s">
        <v>1658</v>
      </c>
      <c r="H531" s="208" t="str">
        <f t="shared" si="18"/>
        <v/>
      </c>
    </row>
    <row r="532" spans="1:10" ht="18" thickBot="1" x14ac:dyDescent="0.45">
      <c r="A532" s="238"/>
      <c r="B532" s="241"/>
      <c r="C532" s="156"/>
      <c r="D532" s="147" t="s">
        <v>725</v>
      </c>
      <c r="E532" s="199">
        <v>232</v>
      </c>
      <c r="F532" s="244">
        <f t="shared" si="17"/>
        <v>0.31182795698924731</v>
      </c>
      <c r="G532" s="172" t="s">
        <v>1658</v>
      </c>
      <c r="H532" s="208" t="str">
        <f t="shared" si="18"/>
        <v/>
      </c>
    </row>
    <row r="533" spans="1:10" ht="18" thickBot="1" x14ac:dyDescent="0.45">
      <c r="A533" s="238"/>
      <c r="B533" s="241"/>
      <c r="C533" s="156"/>
      <c r="D533" s="147" t="s">
        <v>725</v>
      </c>
      <c r="E533" s="199">
        <v>349.5</v>
      </c>
      <c r="F533" s="244">
        <f t="shared" si="17"/>
        <v>0.46975806451612906</v>
      </c>
      <c r="G533" s="172" t="s">
        <v>1658</v>
      </c>
      <c r="H533" s="208" t="str">
        <f t="shared" si="18"/>
        <v/>
      </c>
    </row>
    <row r="534" spans="1:10" ht="18" thickBot="1" x14ac:dyDescent="0.45">
      <c r="A534" s="238"/>
      <c r="B534" s="241"/>
      <c r="C534" s="156"/>
      <c r="D534" s="147" t="s">
        <v>725</v>
      </c>
      <c r="E534" s="199">
        <v>222.9</v>
      </c>
      <c r="F534" s="244">
        <f t="shared" si="17"/>
        <v>0.29959677419354841</v>
      </c>
      <c r="G534" s="172" t="s">
        <v>1658</v>
      </c>
      <c r="H534" s="208" t="str">
        <f t="shared" si="18"/>
        <v/>
      </c>
    </row>
    <row r="535" spans="1:10" ht="18" thickBot="1" x14ac:dyDescent="0.45">
      <c r="A535" s="238"/>
      <c r="B535" s="241"/>
      <c r="C535" s="155" t="s">
        <v>871</v>
      </c>
      <c r="D535" s="145" t="s">
        <v>798</v>
      </c>
      <c r="E535" s="199">
        <v>42.2</v>
      </c>
      <c r="F535" s="244">
        <f t="shared" si="17"/>
        <v>5.6720430107526885E-2</v>
      </c>
      <c r="G535" s="172" t="s">
        <v>1658</v>
      </c>
      <c r="H535" s="208" t="str">
        <f t="shared" si="18"/>
        <v/>
      </c>
    </row>
    <row r="536" spans="1:10" ht="18" thickBot="1" x14ac:dyDescent="0.45">
      <c r="A536" s="238"/>
      <c r="B536" s="241"/>
      <c r="C536" s="155"/>
      <c r="D536" s="145" t="s">
        <v>728</v>
      </c>
      <c r="E536" s="199">
        <v>0</v>
      </c>
      <c r="F536" s="244">
        <f t="shared" si="17"/>
        <v>0</v>
      </c>
      <c r="G536" s="172" t="s">
        <v>1658</v>
      </c>
      <c r="H536" s="208" t="str">
        <f t="shared" si="18"/>
        <v/>
      </c>
    </row>
    <row r="537" spans="1:10" ht="18" thickBot="1" x14ac:dyDescent="0.45">
      <c r="A537" s="238"/>
      <c r="B537" s="241"/>
      <c r="C537" s="155"/>
      <c r="D537" s="145" t="s">
        <v>728</v>
      </c>
      <c r="E537" s="199">
        <v>0</v>
      </c>
      <c r="F537" s="244">
        <f t="shared" si="17"/>
        <v>0</v>
      </c>
      <c r="G537" s="172" t="s">
        <v>1658</v>
      </c>
      <c r="H537" s="208" t="str">
        <f t="shared" si="18"/>
        <v/>
      </c>
    </row>
    <row r="538" spans="1:10" ht="18" thickBot="1" x14ac:dyDescent="0.45">
      <c r="A538" s="238"/>
      <c r="B538" s="241"/>
      <c r="C538" s="155"/>
      <c r="D538" s="145" t="s">
        <v>728</v>
      </c>
      <c r="E538" s="199">
        <v>2223.8000000000002</v>
      </c>
      <c r="F538" s="244">
        <f t="shared" si="17"/>
        <v>2.9889784946236562</v>
      </c>
      <c r="G538" s="172" t="s">
        <v>1658</v>
      </c>
      <c r="H538" s="208" t="str">
        <f t="shared" si="18"/>
        <v/>
      </c>
    </row>
    <row r="539" spans="1:10" ht="18" thickBot="1" x14ac:dyDescent="0.45">
      <c r="A539" s="238"/>
      <c r="B539" s="241"/>
      <c r="C539" s="155"/>
      <c r="D539" s="145" t="s">
        <v>728</v>
      </c>
      <c r="E539" s="199">
        <v>1287</v>
      </c>
      <c r="F539" s="244">
        <f t="shared" si="17"/>
        <v>1.7298387096774193</v>
      </c>
      <c r="G539" s="172" t="s">
        <v>1658</v>
      </c>
      <c r="H539" s="208" t="str">
        <f t="shared" si="18"/>
        <v/>
      </c>
    </row>
    <row r="540" spans="1:10" ht="18" thickBot="1" x14ac:dyDescent="0.45">
      <c r="A540" s="238"/>
      <c r="B540" s="241"/>
      <c r="C540" s="155"/>
      <c r="D540" s="145" t="s">
        <v>728</v>
      </c>
      <c r="E540" s="199">
        <v>1680.3</v>
      </c>
      <c r="F540" s="244">
        <f t="shared" si="17"/>
        <v>2.2584677419354837</v>
      </c>
      <c r="G540" s="172" t="s">
        <v>1658</v>
      </c>
      <c r="H540" s="208" t="str">
        <f t="shared" si="18"/>
        <v/>
      </c>
    </row>
    <row r="541" spans="1:10" ht="18" thickBot="1" x14ac:dyDescent="0.45">
      <c r="A541" s="238"/>
      <c r="B541" s="241"/>
      <c r="C541" s="155"/>
      <c r="D541" s="145" t="s">
        <v>728</v>
      </c>
      <c r="E541" s="199">
        <v>1289.5</v>
      </c>
      <c r="F541" s="244">
        <f t="shared" si="17"/>
        <v>1.7331989247311828</v>
      </c>
      <c r="G541" s="172" t="s">
        <v>1658</v>
      </c>
      <c r="H541" s="208" t="str">
        <f t="shared" si="18"/>
        <v/>
      </c>
    </row>
    <row r="542" spans="1:10" ht="18" thickBot="1" x14ac:dyDescent="0.45">
      <c r="A542" s="238"/>
      <c r="B542" s="241"/>
      <c r="C542" s="155" t="s">
        <v>729</v>
      </c>
      <c r="D542" s="241"/>
      <c r="E542" s="199">
        <v>0</v>
      </c>
      <c r="F542" s="244">
        <f t="shared" si="17"/>
        <v>0</v>
      </c>
      <c r="G542" s="172" t="s">
        <v>1658</v>
      </c>
      <c r="H542" s="208" t="str">
        <f t="shared" si="18"/>
        <v/>
      </c>
    </row>
    <row r="543" spans="1:10" ht="18" thickBot="1" x14ac:dyDescent="0.45">
      <c r="A543" s="238"/>
      <c r="B543" s="241"/>
      <c r="C543" s="155" t="s">
        <v>730</v>
      </c>
      <c r="D543" s="241"/>
      <c r="E543" s="199">
        <v>80.400000000000006</v>
      </c>
      <c r="F543" s="244">
        <f t="shared" si="17"/>
        <v>0.10806451612903227</v>
      </c>
      <c r="G543" s="172" t="s">
        <v>1658</v>
      </c>
      <c r="H543" s="208" t="str">
        <f t="shared" si="18"/>
        <v/>
      </c>
      <c r="I543" s="148"/>
    </row>
    <row r="544" spans="1:10" ht="18" thickBot="1" x14ac:dyDescent="0.45">
      <c r="A544" s="177"/>
      <c r="B544" s="177" t="s">
        <v>872</v>
      </c>
      <c r="C544" s="190"/>
      <c r="D544" s="190"/>
      <c r="E544" s="199">
        <v>80</v>
      </c>
      <c r="F544" s="244">
        <f t="shared" si="17"/>
        <v>0.10752688172043011</v>
      </c>
      <c r="G544" s="181">
        <v>0</v>
      </c>
      <c r="H544" s="208">
        <f t="shared" si="18"/>
        <v>-0.10752688172043011</v>
      </c>
      <c r="I544" s="138" t="s">
        <v>1661</v>
      </c>
      <c r="J544" s="148"/>
    </row>
    <row r="545" spans="1:8" ht="18" thickBot="1" x14ac:dyDescent="0.45">
      <c r="A545" s="234"/>
      <c r="B545" s="234" t="s">
        <v>873</v>
      </c>
      <c r="C545" s="153" t="s">
        <v>969</v>
      </c>
      <c r="D545" s="153"/>
      <c r="E545" s="199">
        <v>0</v>
      </c>
      <c r="F545" s="244">
        <f t="shared" si="17"/>
        <v>0</v>
      </c>
      <c r="G545" s="172">
        <v>0</v>
      </c>
      <c r="H545" s="208">
        <f t="shared" si="18"/>
        <v>0</v>
      </c>
    </row>
    <row r="546" spans="1:8" ht="18" thickBot="1" x14ac:dyDescent="0.45">
      <c r="A546" s="234"/>
      <c r="B546" s="234" t="s">
        <v>874</v>
      </c>
      <c r="C546" s="153" t="s">
        <v>970</v>
      </c>
      <c r="D546" s="153"/>
      <c r="E546" s="199">
        <v>0</v>
      </c>
      <c r="F546" s="244">
        <f t="shared" si="17"/>
        <v>0</v>
      </c>
      <c r="G546" s="172">
        <v>0</v>
      </c>
      <c r="H546" s="208">
        <f t="shared" si="18"/>
        <v>0</v>
      </c>
    </row>
    <row r="547" spans="1:8" ht="18" thickBot="1" x14ac:dyDescent="0.45">
      <c r="A547" s="234"/>
      <c r="B547" s="234" t="s">
        <v>875</v>
      </c>
      <c r="C547" s="153" t="s">
        <v>971</v>
      </c>
      <c r="D547" s="153"/>
      <c r="E547" s="199">
        <v>0</v>
      </c>
      <c r="F547" s="244">
        <f t="shared" si="17"/>
        <v>0</v>
      </c>
      <c r="G547" s="172">
        <v>0</v>
      </c>
      <c r="H547" s="208">
        <f t="shared" si="18"/>
        <v>0</v>
      </c>
    </row>
    <row r="548" spans="1:8" ht="18" thickBot="1" x14ac:dyDescent="0.45">
      <c r="A548" s="234"/>
      <c r="B548" s="234" t="s">
        <v>876</v>
      </c>
      <c r="C548" s="241" t="s">
        <v>972</v>
      </c>
      <c r="D548" s="241"/>
      <c r="E548" s="199">
        <v>0</v>
      </c>
      <c r="F548" s="244">
        <f t="shared" si="17"/>
        <v>0</v>
      </c>
      <c r="G548" s="172">
        <v>0</v>
      </c>
      <c r="H548" s="208">
        <f t="shared" si="18"/>
        <v>0</v>
      </c>
    </row>
    <row r="549" spans="1:8" ht="18" thickBot="1" x14ac:dyDescent="0.45">
      <c r="A549" s="234"/>
      <c r="B549" s="234" t="s">
        <v>877</v>
      </c>
      <c r="C549" s="241" t="s">
        <v>973</v>
      </c>
      <c r="D549" s="241"/>
      <c r="E549" s="199">
        <v>0</v>
      </c>
      <c r="F549" s="244">
        <f t="shared" si="17"/>
        <v>0</v>
      </c>
      <c r="G549" s="172">
        <v>0</v>
      </c>
      <c r="H549" s="208">
        <f t="shared" si="18"/>
        <v>0</v>
      </c>
    </row>
    <row r="550" spans="1:8" ht="18" thickBot="1" x14ac:dyDescent="0.45">
      <c r="A550" s="234"/>
      <c r="B550" s="234" t="s">
        <v>878</v>
      </c>
      <c r="C550" s="241" t="s">
        <v>974</v>
      </c>
      <c r="D550" s="241"/>
      <c r="E550" s="199">
        <v>0</v>
      </c>
      <c r="F550" s="244">
        <f t="shared" si="17"/>
        <v>0</v>
      </c>
      <c r="G550" s="172">
        <v>0</v>
      </c>
      <c r="H550" s="208">
        <f t="shared" si="18"/>
        <v>0</v>
      </c>
    </row>
    <row r="551" spans="1:8" ht="18" thickBot="1" x14ac:dyDescent="0.45">
      <c r="A551" s="234"/>
      <c r="B551" s="234" t="s">
        <v>879</v>
      </c>
      <c r="C551" s="241" t="s">
        <v>975</v>
      </c>
      <c r="D551" s="241"/>
      <c r="E551" s="199">
        <v>0</v>
      </c>
      <c r="F551" s="244">
        <f t="shared" si="17"/>
        <v>0</v>
      </c>
      <c r="G551" s="172">
        <v>0</v>
      </c>
      <c r="H551" s="208">
        <f t="shared" si="18"/>
        <v>0</v>
      </c>
    </row>
    <row r="552" spans="1:8" ht="18" thickBot="1" x14ac:dyDescent="0.45">
      <c r="A552" s="234"/>
      <c r="B552" s="234" t="s">
        <v>880</v>
      </c>
      <c r="C552" s="241" t="s">
        <v>976</v>
      </c>
      <c r="D552" s="241"/>
      <c r="E552" s="199">
        <v>0</v>
      </c>
      <c r="F552" s="244">
        <f t="shared" si="17"/>
        <v>0</v>
      </c>
      <c r="G552" s="172">
        <v>0</v>
      </c>
      <c r="H552" s="208">
        <f t="shared" si="18"/>
        <v>0</v>
      </c>
    </row>
    <row r="553" spans="1:8" ht="18" thickBot="1" x14ac:dyDescent="0.45">
      <c r="A553" s="234"/>
      <c r="B553" s="234" t="s">
        <v>881</v>
      </c>
      <c r="C553" s="241" t="s">
        <v>977</v>
      </c>
      <c r="D553" s="241"/>
      <c r="E553" s="199">
        <v>0</v>
      </c>
      <c r="F553" s="244">
        <f t="shared" si="17"/>
        <v>0</v>
      </c>
      <c r="G553" s="172">
        <v>0</v>
      </c>
      <c r="H553" s="208">
        <f t="shared" si="18"/>
        <v>0</v>
      </c>
    </row>
    <row r="554" spans="1:8" ht="18" thickBot="1" x14ac:dyDescent="0.45">
      <c r="A554" s="234"/>
      <c r="B554" s="234" t="s">
        <v>882</v>
      </c>
      <c r="C554" s="153"/>
      <c r="D554" s="153"/>
      <c r="E554" s="199">
        <v>0</v>
      </c>
      <c r="F554" s="244">
        <f t="shared" si="17"/>
        <v>0</v>
      </c>
      <c r="G554" s="172">
        <v>0</v>
      </c>
      <c r="H554" s="208">
        <f t="shared" si="18"/>
        <v>0</v>
      </c>
    </row>
    <row r="555" spans="1:8" ht="18" thickBot="1" x14ac:dyDescent="0.45">
      <c r="A555" s="234"/>
      <c r="B555" s="234" t="s">
        <v>883</v>
      </c>
      <c r="C555" s="153" t="s">
        <v>978</v>
      </c>
      <c r="D555" s="153"/>
      <c r="E555" s="199">
        <v>0</v>
      </c>
      <c r="F555" s="244">
        <f t="shared" si="17"/>
        <v>0</v>
      </c>
      <c r="G555" s="172">
        <v>0</v>
      </c>
      <c r="H555" s="208">
        <f t="shared" si="18"/>
        <v>0</v>
      </c>
    </row>
    <row r="556" spans="1:8" ht="18" thickBot="1" x14ac:dyDescent="0.45">
      <c r="A556" s="234"/>
      <c r="B556" s="234" t="s">
        <v>884</v>
      </c>
      <c r="C556" s="153" t="s">
        <v>979</v>
      </c>
      <c r="D556" s="153"/>
      <c r="E556" s="199">
        <v>0</v>
      </c>
      <c r="F556" s="244">
        <f t="shared" si="17"/>
        <v>0</v>
      </c>
      <c r="G556" s="172">
        <v>0</v>
      </c>
      <c r="H556" s="208">
        <f t="shared" si="18"/>
        <v>0</v>
      </c>
    </row>
    <row r="557" spans="1:8" ht="18" thickBot="1" x14ac:dyDescent="0.45">
      <c r="A557" s="234"/>
      <c r="B557" s="234" t="s">
        <v>885</v>
      </c>
      <c r="C557" s="153" t="s">
        <v>980</v>
      </c>
      <c r="D557" s="153"/>
      <c r="E557" s="199">
        <v>0</v>
      </c>
      <c r="F557" s="244">
        <f t="shared" si="17"/>
        <v>0</v>
      </c>
      <c r="G557" s="172">
        <v>0</v>
      </c>
      <c r="H557" s="208">
        <f t="shared" si="18"/>
        <v>0</v>
      </c>
    </row>
    <row r="558" spans="1:8" ht="18" thickBot="1" x14ac:dyDescent="0.45">
      <c r="A558" s="234"/>
      <c r="B558" s="234" t="s">
        <v>886</v>
      </c>
      <c r="C558" s="241" t="s">
        <v>981</v>
      </c>
      <c r="D558" s="241"/>
      <c r="E558" s="199">
        <v>0</v>
      </c>
      <c r="F558" s="244">
        <f t="shared" si="17"/>
        <v>0</v>
      </c>
      <c r="G558" s="172">
        <v>0</v>
      </c>
      <c r="H558" s="208">
        <f t="shared" si="18"/>
        <v>0</v>
      </c>
    </row>
    <row r="559" spans="1:8" ht="18" thickBot="1" x14ac:dyDescent="0.45">
      <c r="A559" s="234"/>
      <c r="B559" s="234" t="s">
        <v>887</v>
      </c>
      <c r="C559" s="241" t="s">
        <v>982</v>
      </c>
      <c r="D559" s="241"/>
      <c r="E559" s="199">
        <v>0</v>
      </c>
      <c r="F559" s="244">
        <f t="shared" si="17"/>
        <v>0</v>
      </c>
      <c r="G559" s="172">
        <v>0</v>
      </c>
      <c r="H559" s="208">
        <f t="shared" si="18"/>
        <v>0</v>
      </c>
    </row>
    <row r="560" spans="1:8" ht="18" thickBot="1" x14ac:dyDescent="0.45">
      <c r="A560" s="234"/>
      <c r="B560" s="234" t="s">
        <v>888</v>
      </c>
      <c r="C560" s="241" t="s">
        <v>983</v>
      </c>
      <c r="D560" s="241"/>
      <c r="E560" s="199">
        <v>0</v>
      </c>
      <c r="F560" s="244">
        <f t="shared" si="17"/>
        <v>0</v>
      </c>
      <c r="G560" s="172">
        <v>0</v>
      </c>
      <c r="H560" s="208">
        <f t="shared" si="18"/>
        <v>0</v>
      </c>
    </row>
    <row r="561" spans="1:8" ht="18" thickBot="1" x14ac:dyDescent="0.45">
      <c r="A561" s="234"/>
      <c r="B561" s="234" t="s">
        <v>889</v>
      </c>
      <c r="C561" s="241" t="s">
        <v>984</v>
      </c>
      <c r="D561" s="241"/>
      <c r="E561" s="199">
        <v>0</v>
      </c>
      <c r="F561" s="244">
        <f t="shared" si="17"/>
        <v>0</v>
      </c>
      <c r="G561" s="172">
        <v>0</v>
      </c>
      <c r="H561" s="208">
        <f t="shared" si="18"/>
        <v>0</v>
      </c>
    </row>
    <row r="562" spans="1:8" ht="18" thickBot="1" x14ac:dyDescent="0.45">
      <c r="A562" s="234"/>
      <c r="B562" s="234" t="s">
        <v>890</v>
      </c>
      <c r="C562" s="241" t="s">
        <v>985</v>
      </c>
      <c r="D562" s="241"/>
      <c r="E562" s="199">
        <v>0</v>
      </c>
      <c r="F562" s="244">
        <f t="shared" si="17"/>
        <v>0</v>
      </c>
      <c r="G562" s="172">
        <v>0</v>
      </c>
      <c r="H562" s="208">
        <f t="shared" si="18"/>
        <v>0</v>
      </c>
    </row>
    <row r="563" spans="1:8" ht="18" thickBot="1" x14ac:dyDescent="0.45">
      <c r="A563" s="234"/>
      <c r="B563" s="234" t="s">
        <v>891</v>
      </c>
      <c r="C563" s="241" t="s">
        <v>986</v>
      </c>
      <c r="D563" s="241"/>
      <c r="E563" s="199">
        <v>0</v>
      </c>
      <c r="F563" s="244">
        <f t="shared" si="17"/>
        <v>0</v>
      </c>
      <c r="G563" s="172">
        <v>0</v>
      </c>
      <c r="H563" s="208">
        <f t="shared" si="18"/>
        <v>0</v>
      </c>
    </row>
    <row r="564" spans="1:8" ht="18" thickBot="1" x14ac:dyDescent="0.45">
      <c r="A564" s="234"/>
      <c r="B564" s="234" t="s">
        <v>892</v>
      </c>
      <c r="C564" s="153" t="s">
        <v>987</v>
      </c>
      <c r="D564" s="153"/>
      <c r="E564" s="199">
        <v>0</v>
      </c>
      <c r="F564" s="244">
        <f t="shared" si="17"/>
        <v>0</v>
      </c>
      <c r="G564" s="172">
        <v>0</v>
      </c>
      <c r="H564" s="208">
        <f t="shared" si="18"/>
        <v>0</v>
      </c>
    </row>
    <row r="565" spans="1:8" ht="18" thickBot="1" x14ac:dyDescent="0.45">
      <c r="A565" s="234"/>
      <c r="B565" s="234" t="s">
        <v>893</v>
      </c>
      <c r="C565" s="153" t="s">
        <v>988</v>
      </c>
      <c r="D565" s="153"/>
      <c r="E565" s="199">
        <v>0</v>
      </c>
      <c r="F565" s="244">
        <f t="shared" si="17"/>
        <v>0</v>
      </c>
      <c r="G565" s="172">
        <v>0</v>
      </c>
      <c r="H565" s="208">
        <f t="shared" si="18"/>
        <v>0</v>
      </c>
    </row>
    <row r="566" spans="1:8" ht="18" thickBot="1" x14ac:dyDescent="0.45">
      <c r="A566" s="234"/>
      <c r="B566" s="234" t="s">
        <v>894</v>
      </c>
      <c r="C566" s="241" t="s">
        <v>989</v>
      </c>
      <c r="D566" s="235"/>
      <c r="E566" s="199">
        <v>0</v>
      </c>
      <c r="F566" s="244">
        <f t="shared" si="17"/>
        <v>0</v>
      </c>
      <c r="G566" s="172">
        <v>0</v>
      </c>
      <c r="H566" s="208">
        <f t="shared" si="18"/>
        <v>0</v>
      </c>
    </row>
    <row r="567" spans="1:8" ht="18" thickBot="1" x14ac:dyDescent="0.45">
      <c r="A567" s="234"/>
      <c r="B567" s="234" t="s">
        <v>895</v>
      </c>
      <c r="C567" s="241" t="s">
        <v>990</v>
      </c>
      <c r="D567" s="235"/>
      <c r="E567" s="199">
        <v>0</v>
      </c>
      <c r="F567" s="244">
        <f t="shared" si="17"/>
        <v>0</v>
      </c>
      <c r="G567" s="172">
        <v>0</v>
      </c>
      <c r="H567" s="208">
        <f t="shared" si="18"/>
        <v>0</v>
      </c>
    </row>
    <row r="568" spans="1:8" ht="18" thickBot="1" x14ac:dyDescent="0.45">
      <c r="A568" s="234"/>
      <c r="B568" s="234" t="s">
        <v>896</v>
      </c>
      <c r="C568" s="218" t="s">
        <v>991</v>
      </c>
      <c r="D568" s="235"/>
      <c r="E568" s="199">
        <v>0</v>
      </c>
      <c r="F568" s="244">
        <f t="shared" si="17"/>
        <v>0</v>
      </c>
      <c r="G568" s="172">
        <v>0</v>
      </c>
      <c r="H568" s="208">
        <f t="shared" si="18"/>
        <v>0</v>
      </c>
    </row>
    <row r="569" spans="1:8" ht="18" thickBot="1" x14ac:dyDescent="0.45">
      <c r="A569" s="234"/>
      <c r="B569" s="234" t="s">
        <v>897</v>
      </c>
      <c r="C569" s="218" t="s">
        <v>992</v>
      </c>
      <c r="D569" s="235"/>
      <c r="E569" s="199">
        <v>0</v>
      </c>
      <c r="F569" s="244">
        <f t="shared" si="17"/>
        <v>0</v>
      </c>
      <c r="G569" s="172">
        <v>0</v>
      </c>
      <c r="H569" s="208">
        <f t="shared" si="18"/>
        <v>0</v>
      </c>
    </row>
    <row r="570" spans="1:8" ht="18" thickBot="1" x14ac:dyDescent="0.45">
      <c r="A570" s="234"/>
      <c r="B570" s="234" t="s">
        <v>898</v>
      </c>
      <c r="C570" s="218" t="s">
        <v>993</v>
      </c>
      <c r="D570" s="235"/>
      <c r="E570" s="199">
        <v>0</v>
      </c>
      <c r="F570" s="244">
        <f t="shared" si="17"/>
        <v>0</v>
      </c>
      <c r="G570" s="172">
        <v>0</v>
      </c>
      <c r="H570" s="208">
        <f t="shared" si="18"/>
        <v>0</v>
      </c>
    </row>
    <row r="571" spans="1:8" ht="18" thickBot="1" x14ac:dyDescent="0.45">
      <c r="A571" s="234"/>
      <c r="B571" s="234" t="s">
        <v>899</v>
      </c>
      <c r="C571" s="218" t="s">
        <v>994</v>
      </c>
      <c r="D571" s="235"/>
      <c r="E571" s="199">
        <v>0</v>
      </c>
      <c r="F571" s="244">
        <f t="shared" si="17"/>
        <v>0</v>
      </c>
      <c r="G571" s="172">
        <v>0</v>
      </c>
      <c r="H571" s="208">
        <f t="shared" si="18"/>
        <v>0</v>
      </c>
    </row>
    <row r="572" spans="1:8" ht="18" thickBot="1" x14ac:dyDescent="0.45">
      <c r="A572" s="234"/>
      <c r="B572" s="234" t="s">
        <v>900</v>
      </c>
      <c r="C572" s="153" t="s">
        <v>995</v>
      </c>
      <c r="D572" s="143"/>
      <c r="E572" s="199">
        <v>0</v>
      </c>
      <c r="F572" s="244">
        <f t="shared" si="17"/>
        <v>0</v>
      </c>
      <c r="G572" s="172">
        <v>0</v>
      </c>
      <c r="H572" s="208">
        <f t="shared" si="18"/>
        <v>0</v>
      </c>
    </row>
    <row r="573" spans="1:8" ht="18" thickBot="1" x14ac:dyDescent="0.45">
      <c r="A573" s="234"/>
      <c r="B573" s="234" t="s">
        <v>901</v>
      </c>
      <c r="C573" s="153" t="s">
        <v>996</v>
      </c>
      <c r="D573" s="143"/>
      <c r="E573" s="199">
        <v>0</v>
      </c>
      <c r="F573" s="244">
        <f t="shared" si="17"/>
        <v>0</v>
      </c>
      <c r="G573" s="172">
        <v>0</v>
      </c>
      <c r="H573" s="208">
        <f t="shared" si="18"/>
        <v>0</v>
      </c>
    </row>
    <row r="574" spans="1:8" ht="18" thickBot="1" x14ac:dyDescent="0.45">
      <c r="A574" s="234"/>
      <c r="B574" s="234" t="s">
        <v>902</v>
      </c>
      <c r="C574" s="218" t="s">
        <v>997</v>
      </c>
      <c r="D574" s="235"/>
      <c r="E574" s="199">
        <v>0</v>
      </c>
      <c r="F574" s="244">
        <f t="shared" si="17"/>
        <v>0</v>
      </c>
      <c r="G574" s="172">
        <v>0</v>
      </c>
      <c r="H574" s="208">
        <f t="shared" si="18"/>
        <v>0</v>
      </c>
    </row>
    <row r="575" spans="1:8" ht="18" thickBot="1" x14ac:dyDescent="0.45">
      <c r="A575" s="234"/>
      <c r="B575" s="234" t="s">
        <v>903</v>
      </c>
      <c r="C575" s="218" t="s">
        <v>998</v>
      </c>
      <c r="D575" s="235"/>
      <c r="E575" s="199">
        <v>0</v>
      </c>
      <c r="F575" s="244">
        <f t="shared" si="17"/>
        <v>0</v>
      </c>
      <c r="G575" s="172">
        <v>0</v>
      </c>
      <c r="H575" s="208">
        <f t="shared" si="18"/>
        <v>0</v>
      </c>
    </row>
    <row r="576" spans="1:8" ht="18" thickBot="1" x14ac:dyDescent="0.45">
      <c r="A576" s="234"/>
      <c r="B576" s="234" t="s">
        <v>904</v>
      </c>
      <c r="C576" s="218" t="s">
        <v>999</v>
      </c>
      <c r="D576" s="235"/>
      <c r="E576" s="199">
        <v>0</v>
      </c>
      <c r="F576" s="244">
        <f t="shared" si="17"/>
        <v>0</v>
      </c>
      <c r="G576" s="172">
        <v>0</v>
      </c>
      <c r="H576" s="208">
        <f t="shared" si="18"/>
        <v>0</v>
      </c>
    </row>
    <row r="577" spans="1:8" ht="18" thickBot="1" x14ac:dyDescent="0.45">
      <c r="A577" s="234"/>
      <c r="B577" s="234" t="s">
        <v>905</v>
      </c>
      <c r="C577" s="218" t="s">
        <v>1000</v>
      </c>
      <c r="D577" s="235"/>
      <c r="E577" s="199">
        <v>0</v>
      </c>
      <c r="F577" s="244">
        <f t="shared" si="17"/>
        <v>0</v>
      </c>
      <c r="G577" s="172">
        <v>0</v>
      </c>
      <c r="H577" s="208">
        <f t="shared" si="18"/>
        <v>0</v>
      </c>
    </row>
    <row r="578" spans="1:8" ht="18" thickBot="1" x14ac:dyDescent="0.45">
      <c r="A578" s="234"/>
      <c r="B578" s="234" t="s">
        <v>906</v>
      </c>
      <c r="C578" s="218" t="s">
        <v>1001</v>
      </c>
      <c r="D578" s="235"/>
      <c r="E578" s="199">
        <v>0</v>
      </c>
      <c r="F578" s="244">
        <f t="shared" si="17"/>
        <v>0</v>
      </c>
      <c r="G578" s="172">
        <v>0</v>
      </c>
      <c r="H578" s="208">
        <f t="shared" si="18"/>
        <v>0</v>
      </c>
    </row>
    <row r="579" spans="1:8" ht="18" thickBot="1" x14ac:dyDescent="0.45">
      <c r="A579" s="234"/>
      <c r="B579" s="234" t="s">
        <v>907</v>
      </c>
      <c r="C579" s="218" t="s">
        <v>1002</v>
      </c>
      <c r="D579" s="235"/>
      <c r="E579" s="199">
        <v>0</v>
      </c>
      <c r="F579" s="244">
        <f t="shared" si="17"/>
        <v>0</v>
      </c>
      <c r="G579" s="172">
        <v>0</v>
      </c>
      <c r="H579" s="208">
        <f t="shared" si="18"/>
        <v>0</v>
      </c>
    </row>
    <row r="580" spans="1:8" ht="18" thickBot="1" x14ac:dyDescent="0.45">
      <c r="A580" s="234"/>
      <c r="B580" s="234" t="s">
        <v>908</v>
      </c>
      <c r="C580" s="153" t="s">
        <v>1003</v>
      </c>
      <c r="D580" s="153"/>
      <c r="E580" s="199">
        <v>0</v>
      </c>
      <c r="F580" s="244">
        <f t="shared" si="17"/>
        <v>0</v>
      </c>
      <c r="G580" s="172">
        <v>0</v>
      </c>
      <c r="H580" s="208">
        <f t="shared" si="18"/>
        <v>0</v>
      </c>
    </row>
    <row r="581" spans="1:8" ht="18" thickBot="1" x14ac:dyDescent="0.45">
      <c r="A581" s="234"/>
      <c r="B581" s="234" t="s">
        <v>508</v>
      </c>
      <c r="C581" s="233" t="s">
        <v>1004</v>
      </c>
      <c r="D581" s="241"/>
      <c r="E581" s="199">
        <v>0</v>
      </c>
      <c r="F581" s="244">
        <f t="shared" ref="F581:F644" si="19">E581/(24*31)</f>
        <v>0</v>
      </c>
      <c r="G581" s="172">
        <v>0</v>
      </c>
      <c r="H581" s="208">
        <f t="shared" ref="H581:H644" si="20">IFERROR(G581-F581, "")</f>
        <v>0</v>
      </c>
    </row>
    <row r="582" spans="1:8" ht="18" thickBot="1" x14ac:dyDescent="0.45">
      <c r="A582" s="234"/>
      <c r="B582" s="234"/>
      <c r="C582" s="233"/>
      <c r="D582" s="241"/>
      <c r="E582" s="199">
        <v>0</v>
      </c>
      <c r="F582" s="244">
        <f t="shared" si="19"/>
        <v>0</v>
      </c>
      <c r="G582" s="172" t="s">
        <v>1658</v>
      </c>
      <c r="H582" s="208" t="str">
        <f t="shared" si="20"/>
        <v/>
      </c>
    </row>
    <row r="583" spans="1:8" ht="18" thickBot="1" x14ac:dyDescent="0.45">
      <c r="A583" s="234"/>
      <c r="B583" s="234" t="s">
        <v>509</v>
      </c>
      <c r="C583" s="233" t="s">
        <v>1005</v>
      </c>
      <c r="D583" s="241"/>
      <c r="E583" s="199">
        <v>0</v>
      </c>
      <c r="F583" s="244">
        <f t="shared" si="19"/>
        <v>0</v>
      </c>
      <c r="G583" s="172">
        <v>0</v>
      </c>
      <c r="H583" s="208">
        <f t="shared" si="20"/>
        <v>0</v>
      </c>
    </row>
    <row r="584" spans="1:8" ht="18" thickBot="1" x14ac:dyDescent="0.45">
      <c r="A584" s="234"/>
      <c r="B584" s="234"/>
      <c r="C584" s="233"/>
      <c r="D584" s="241"/>
      <c r="E584" s="199">
        <v>0</v>
      </c>
      <c r="F584" s="244">
        <f t="shared" si="19"/>
        <v>0</v>
      </c>
      <c r="G584" s="172" t="s">
        <v>1658</v>
      </c>
      <c r="H584" s="208" t="str">
        <f t="shared" si="20"/>
        <v/>
      </c>
    </row>
    <row r="585" spans="1:8" ht="18" thickBot="1" x14ac:dyDescent="0.45">
      <c r="A585" s="234"/>
      <c r="B585" s="234" t="s">
        <v>909</v>
      </c>
      <c r="C585" s="233" t="s">
        <v>1006</v>
      </c>
      <c r="D585" s="241"/>
      <c r="E585" s="199">
        <v>0</v>
      </c>
      <c r="F585" s="244">
        <f t="shared" si="19"/>
        <v>0</v>
      </c>
      <c r="G585" s="172">
        <v>0</v>
      </c>
      <c r="H585" s="208">
        <f t="shared" si="20"/>
        <v>0</v>
      </c>
    </row>
    <row r="586" spans="1:8" ht="18" thickBot="1" x14ac:dyDescent="0.45">
      <c r="A586" s="234"/>
      <c r="B586" s="234" t="s">
        <v>910</v>
      </c>
      <c r="C586" s="233" t="s">
        <v>1007</v>
      </c>
      <c r="D586" s="241"/>
      <c r="E586" s="199">
        <v>0</v>
      </c>
      <c r="F586" s="244">
        <f t="shared" si="19"/>
        <v>0</v>
      </c>
      <c r="G586" s="172">
        <v>0</v>
      </c>
      <c r="H586" s="208">
        <f t="shared" si="20"/>
        <v>0</v>
      </c>
    </row>
    <row r="587" spans="1:8" ht="18" thickBot="1" x14ac:dyDescent="0.45">
      <c r="A587" s="234"/>
      <c r="B587" s="234" t="s">
        <v>911</v>
      </c>
      <c r="C587" s="218" t="s">
        <v>1008</v>
      </c>
      <c r="D587" s="241"/>
      <c r="E587" s="199">
        <v>0</v>
      </c>
      <c r="F587" s="244">
        <f t="shared" si="19"/>
        <v>0</v>
      </c>
      <c r="G587" s="172">
        <v>0</v>
      </c>
      <c r="H587" s="208">
        <f t="shared" si="20"/>
        <v>0</v>
      </c>
    </row>
    <row r="588" spans="1:8" ht="18" thickBot="1" x14ac:dyDescent="0.45">
      <c r="A588" s="234"/>
      <c r="B588" s="234" t="s">
        <v>513</v>
      </c>
      <c r="C588" s="218" t="s">
        <v>1009</v>
      </c>
      <c r="D588" s="241"/>
      <c r="E588" s="199">
        <v>0</v>
      </c>
      <c r="F588" s="244">
        <f t="shared" si="19"/>
        <v>0</v>
      </c>
      <c r="G588" s="172">
        <v>0</v>
      </c>
      <c r="H588" s="208">
        <f t="shared" si="20"/>
        <v>0</v>
      </c>
    </row>
    <row r="589" spans="1:8" ht="18" thickBot="1" x14ac:dyDescent="0.45">
      <c r="A589" s="234"/>
      <c r="B589" s="234" t="s">
        <v>912</v>
      </c>
      <c r="C589" s="233" t="s">
        <v>1010</v>
      </c>
      <c r="D589" s="241"/>
      <c r="E589" s="199">
        <v>0</v>
      </c>
      <c r="F589" s="244">
        <f t="shared" si="19"/>
        <v>0</v>
      </c>
      <c r="G589" s="172">
        <v>0</v>
      </c>
      <c r="H589" s="208">
        <f t="shared" si="20"/>
        <v>0</v>
      </c>
    </row>
    <row r="590" spans="1:8" ht="18" thickBot="1" x14ac:dyDescent="0.45">
      <c r="A590" s="184"/>
      <c r="B590" s="184"/>
      <c r="C590" s="153" t="s">
        <v>1011</v>
      </c>
      <c r="D590" s="153"/>
      <c r="E590" s="199">
        <v>0</v>
      </c>
      <c r="F590" s="244">
        <f t="shared" si="19"/>
        <v>0</v>
      </c>
      <c r="G590" s="172" t="s">
        <v>1658</v>
      </c>
      <c r="H590" s="208" t="str">
        <f t="shared" si="20"/>
        <v/>
      </c>
    </row>
    <row r="591" spans="1:8" ht="18" thickBot="1" x14ac:dyDescent="0.45">
      <c r="A591" s="234"/>
      <c r="B591" s="234" t="s">
        <v>913</v>
      </c>
      <c r="C591" s="153" t="s">
        <v>1012</v>
      </c>
      <c r="D591" s="153"/>
      <c r="E591" s="199">
        <v>0</v>
      </c>
      <c r="F591" s="244">
        <f t="shared" si="19"/>
        <v>0</v>
      </c>
      <c r="G591" s="172">
        <v>0</v>
      </c>
      <c r="H591" s="208">
        <f t="shared" si="20"/>
        <v>0</v>
      </c>
    </row>
    <row r="592" spans="1:8" ht="18" thickBot="1" x14ac:dyDescent="0.45">
      <c r="A592" s="234"/>
      <c r="B592" s="234" t="s">
        <v>914</v>
      </c>
      <c r="C592" s="233" t="s">
        <v>1013</v>
      </c>
      <c r="D592" s="241"/>
      <c r="E592" s="199">
        <v>0</v>
      </c>
      <c r="F592" s="244">
        <f t="shared" si="19"/>
        <v>0</v>
      </c>
      <c r="G592" s="172">
        <v>0</v>
      </c>
      <c r="H592" s="208">
        <f t="shared" si="20"/>
        <v>0</v>
      </c>
    </row>
    <row r="593" spans="1:8" ht="18" thickBot="1" x14ac:dyDescent="0.45">
      <c r="A593" s="234"/>
      <c r="B593" s="234" t="s">
        <v>915</v>
      </c>
      <c r="C593" s="233" t="s">
        <v>1014</v>
      </c>
      <c r="D593" s="241"/>
      <c r="E593" s="199">
        <v>0</v>
      </c>
      <c r="F593" s="244">
        <f t="shared" si="19"/>
        <v>0</v>
      </c>
      <c r="G593" s="172">
        <v>0</v>
      </c>
      <c r="H593" s="208">
        <f t="shared" si="20"/>
        <v>0</v>
      </c>
    </row>
    <row r="594" spans="1:8" ht="18" thickBot="1" x14ac:dyDescent="0.45">
      <c r="A594" s="234"/>
      <c r="B594" s="234" t="s">
        <v>916</v>
      </c>
      <c r="C594" s="233" t="s">
        <v>1015</v>
      </c>
      <c r="D594" s="241"/>
      <c r="E594" s="199">
        <v>0</v>
      </c>
      <c r="F594" s="244">
        <f t="shared" si="19"/>
        <v>0</v>
      </c>
      <c r="G594" s="172">
        <v>0</v>
      </c>
      <c r="H594" s="208">
        <f t="shared" si="20"/>
        <v>0</v>
      </c>
    </row>
    <row r="595" spans="1:8" ht="18" thickBot="1" x14ac:dyDescent="0.45">
      <c r="A595" s="234"/>
      <c r="B595" s="234" t="s">
        <v>521</v>
      </c>
      <c r="C595" s="233" t="s">
        <v>1016</v>
      </c>
      <c r="D595" s="241"/>
      <c r="E595" s="199">
        <v>0</v>
      </c>
      <c r="F595" s="244">
        <f t="shared" si="19"/>
        <v>0</v>
      </c>
      <c r="G595" s="172">
        <v>0</v>
      </c>
      <c r="H595" s="208">
        <f t="shared" si="20"/>
        <v>0</v>
      </c>
    </row>
    <row r="596" spans="1:8" ht="18" thickBot="1" x14ac:dyDescent="0.45">
      <c r="A596" s="234"/>
      <c r="B596" s="234" t="s">
        <v>917</v>
      </c>
      <c r="C596" s="241" t="s">
        <v>1017</v>
      </c>
      <c r="D596" s="241"/>
      <c r="E596" s="199">
        <v>0</v>
      </c>
      <c r="F596" s="244">
        <f t="shared" si="19"/>
        <v>0</v>
      </c>
      <c r="G596" s="172">
        <v>0</v>
      </c>
      <c r="H596" s="208">
        <f t="shared" si="20"/>
        <v>0</v>
      </c>
    </row>
    <row r="597" spans="1:8" ht="18" thickBot="1" x14ac:dyDescent="0.45">
      <c r="A597" s="234"/>
      <c r="B597" s="234"/>
      <c r="C597" s="218"/>
      <c r="D597" s="241"/>
      <c r="E597" s="199">
        <v>0</v>
      </c>
      <c r="F597" s="244">
        <f t="shared" si="19"/>
        <v>0</v>
      </c>
      <c r="G597" s="172" t="s">
        <v>1658</v>
      </c>
      <c r="H597" s="208" t="str">
        <f t="shared" si="20"/>
        <v/>
      </c>
    </row>
    <row r="598" spans="1:8" ht="18" thickBot="1" x14ac:dyDescent="0.45">
      <c r="A598" s="234"/>
      <c r="B598" s="234" t="s">
        <v>523</v>
      </c>
      <c r="C598" s="241" t="s">
        <v>1018</v>
      </c>
      <c r="D598" s="241"/>
      <c r="E598" s="199">
        <v>0</v>
      </c>
      <c r="F598" s="244">
        <f t="shared" si="19"/>
        <v>0</v>
      </c>
      <c r="G598" s="172">
        <v>0</v>
      </c>
      <c r="H598" s="208">
        <f t="shared" si="20"/>
        <v>0</v>
      </c>
    </row>
    <row r="599" spans="1:8" ht="18" thickBot="1" x14ac:dyDescent="0.45">
      <c r="A599" s="234"/>
      <c r="B599" s="234"/>
      <c r="C599" s="218"/>
      <c r="D599" s="241"/>
      <c r="E599" s="199">
        <v>0</v>
      </c>
      <c r="F599" s="244">
        <f t="shared" si="19"/>
        <v>0</v>
      </c>
      <c r="G599" s="172" t="s">
        <v>1658</v>
      </c>
      <c r="H599" s="208" t="str">
        <f t="shared" si="20"/>
        <v/>
      </c>
    </row>
    <row r="600" spans="1:8" ht="18" thickBot="1" x14ac:dyDescent="0.45">
      <c r="A600" s="234"/>
      <c r="B600" s="234" t="s">
        <v>918</v>
      </c>
      <c r="C600" s="218" t="s">
        <v>1019</v>
      </c>
      <c r="D600" s="241"/>
      <c r="E600" s="199">
        <v>0</v>
      </c>
      <c r="F600" s="244">
        <f t="shared" si="19"/>
        <v>0</v>
      </c>
      <c r="G600" s="172">
        <v>0</v>
      </c>
      <c r="H600" s="208">
        <f t="shared" si="20"/>
        <v>0</v>
      </c>
    </row>
    <row r="601" spans="1:8" ht="18" thickBot="1" x14ac:dyDescent="0.45">
      <c r="A601" s="234"/>
      <c r="B601" s="234"/>
      <c r="C601" s="241"/>
      <c r="D601" s="241"/>
      <c r="E601" s="199">
        <v>0</v>
      </c>
      <c r="F601" s="244">
        <f t="shared" si="19"/>
        <v>0</v>
      </c>
      <c r="G601" s="172" t="s">
        <v>1658</v>
      </c>
      <c r="H601" s="208" t="str">
        <f t="shared" si="20"/>
        <v/>
      </c>
    </row>
    <row r="602" spans="1:8" ht="18" thickBot="1" x14ac:dyDescent="0.45">
      <c r="A602" s="184"/>
      <c r="B602" s="184"/>
      <c r="C602" s="153" t="s">
        <v>1020</v>
      </c>
      <c r="D602" s="153"/>
      <c r="E602" s="199">
        <v>0</v>
      </c>
      <c r="F602" s="244">
        <f t="shared" si="19"/>
        <v>0</v>
      </c>
      <c r="G602" s="172" t="s">
        <v>1658</v>
      </c>
      <c r="H602" s="208" t="str">
        <f t="shared" si="20"/>
        <v/>
      </c>
    </row>
    <row r="603" spans="1:8" ht="18" thickBot="1" x14ac:dyDescent="0.45">
      <c r="A603" s="184"/>
      <c r="B603" s="184"/>
      <c r="C603" s="153" t="s">
        <v>1021</v>
      </c>
      <c r="D603" s="153"/>
      <c r="E603" s="199">
        <v>0</v>
      </c>
      <c r="F603" s="244">
        <f t="shared" si="19"/>
        <v>0</v>
      </c>
      <c r="G603" s="172" t="s">
        <v>1658</v>
      </c>
      <c r="H603" s="208" t="str">
        <f t="shared" si="20"/>
        <v/>
      </c>
    </row>
    <row r="604" spans="1:8" ht="18" thickBot="1" x14ac:dyDescent="0.45">
      <c r="A604" s="184"/>
      <c r="B604" s="184"/>
      <c r="C604" s="153" t="s">
        <v>1022</v>
      </c>
      <c r="D604" s="153"/>
      <c r="E604" s="199">
        <v>0</v>
      </c>
      <c r="F604" s="244">
        <f t="shared" si="19"/>
        <v>0</v>
      </c>
      <c r="G604" s="172" t="s">
        <v>1658</v>
      </c>
      <c r="H604" s="208" t="str">
        <f t="shared" si="20"/>
        <v/>
      </c>
    </row>
    <row r="605" spans="1:8" ht="18" thickBot="1" x14ac:dyDescent="0.45">
      <c r="A605" s="184"/>
      <c r="B605" s="184"/>
      <c r="C605" s="153" t="s">
        <v>1023</v>
      </c>
      <c r="D605" s="153"/>
      <c r="E605" s="199">
        <v>0</v>
      </c>
      <c r="F605" s="244">
        <f t="shared" si="19"/>
        <v>0</v>
      </c>
      <c r="G605" s="172" t="s">
        <v>1658</v>
      </c>
      <c r="H605" s="208" t="str">
        <f t="shared" si="20"/>
        <v/>
      </c>
    </row>
    <row r="606" spans="1:8" ht="18" thickBot="1" x14ac:dyDescent="0.45">
      <c r="A606" s="234"/>
      <c r="B606" s="234" t="s">
        <v>529</v>
      </c>
      <c r="C606" s="233" t="s">
        <v>1024</v>
      </c>
      <c r="D606" s="235" t="s">
        <v>1173</v>
      </c>
      <c r="E606" s="199">
        <v>0</v>
      </c>
      <c r="F606" s="244">
        <f t="shared" si="19"/>
        <v>0</v>
      </c>
      <c r="G606" s="172">
        <v>1.1000000000000001</v>
      </c>
      <c r="H606" s="208">
        <f t="shared" si="20"/>
        <v>1.1000000000000001</v>
      </c>
    </row>
    <row r="607" spans="1:8" ht="18" thickBot="1" x14ac:dyDescent="0.45">
      <c r="A607" s="234"/>
      <c r="B607" s="234" t="s">
        <v>530</v>
      </c>
      <c r="C607" s="233" t="s">
        <v>1025</v>
      </c>
      <c r="D607" s="235" t="s">
        <v>1173</v>
      </c>
      <c r="E607" s="199">
        <v>358.6</v>
      </c>
      <c r="F607" s="244">
        <f t="shared" si="19"/>
        <v>0.48198924731182796</v>
      </c>
      <c r="G607" s="172">
        <v>2.2000000000000002</v>
      </c>
      <c r="H607" s="208">
        <f t="shared" si="20"/>
        <v>1.7180107526881723</v>
      </c>
    </row>
    <row r="608" spans="1:8" ht="18" thickBot="1" x14ac:dyDescent="0.45">
      <c r="A608" s="234"/>
      <c r="B608" s="234" t="s">
        <v>531</v>
      </c>
      <c r="C608" s="233" t="s">
        <v>1026</v>
      </c>
      <c r="D608" s="235" t="s">
        <v>1173</v>
      </c>
      <c r="E608" s="199">
        <v>650.70000000000005</v>
      </c>
      <c r="F608" s="244">
        <f t="shared" si="19"/>
        <v>0.87459677419354842</v>
      </c>
      <c r="G608" s="172">
        <v>2.2000000000000002</v>
      </c>
      <c r="H608" s="208">
        <f t="shared" si="20"/>
        <v>1.3254032258064519</v>
      </c>
    </row>
    <row r="609" spans="1:8" ht="18" thickBot="1" x14ac:dyDescent="0.45">
      <c r="A609" s="234"/>
      <c r="B609" s="234" t="s">
        <v>532</v>
      </c>
      <c r="C609" s="233" t="s">
        <v>1027</v>
      </c>
      <c r="D609" s="235" t="s">
        <v>1173</v>
      </c>
      <c r="E609" s="199">
        <v>948.5</v>
      </c>
      <c r="F609" s="244">
        <f t="shared" si="19"/>
        <v>1.2748655913978495</v>
      </c>
      <c r="G609" s="172">
        <v>1.1000000000000001</v>
      </c>
      <c r="H609" s="208">
        <f t="shared" si="20"/>
        <v>-0.17486559139784941</v>
      </c>
    </row>
    <row r="610" spans="1:8" ht="18" thickBot="1" x14ac:dyDescent="0.45">
      <c r="A610" s="234"/>
      <c r="B610" s="234" t="s">
        <v>533</v>
      </c>
      <c r="C610" s="241"/>
      <c r="D610" s="235"/>
      <c r="E610" s="199">
        <v>247.8</v>
      </c>
      <c r="F610" s="244">
        <f t="shared" si="19"/>
        <v>0.33306451612903226</v>
      </c>
      <c r="G610" s="172">
        <v>0</v>
      </c>
      <c r="H610" s="208">
        <f t="shared" si="20"/>
        <v>-0.33306451612903226</v>
      </c>
    </row>
    <row r="611" spans="1:8" ht="18" thickBot="1" x14ac:dyDescent="0.45">
      <c r="A611" s="184"/>
      <c r="B611" s="184"/>
      <c r="C611" s="153" t="s">
        <v>1028</v>
      </c>
      <c r="D611" s="143"/>
      <c r="E611" s="199">
        <v>0</v>
      </c>
      <c r="F611" s="244">
        <f t="shared" si="19"/>
        <v>0</v>
      </c>
      <c r="G611" s="172" t="s">
        <v>1658</v>
      </c>
      <c r="H611" s="208" t="str">
        <f t="shared" si="20"/>
        <v/>
      </c>
    </row>
    <row r="612" spans="1:8" ht="18" thickBot="1" x14ac:dyDescent="0.45">
      <c r="A612" s="184"/>
      <c r="B612" s="184"/>
      <c r="C612" s="153" t="s">
        <v>1029</v>
      </c>
      <c r="D612" s="143"/>
      <c r="E612" s="199">
        <v>0</v>
      </c>
      <c r="F612" s="244">
        <f t="shared" si="19"/>
        <v>0</v>
      </c>
      <c r="G612" s="172" t="s">
        <v>1658</v>
      </c>
      <c r="H612" s="208" t="str">
        <f t="shared" si="20"/>
        <v/>
      </c>
    </row>
    <row r="613" spans="1:8" ht="18" thickBot="1" x14ac:dyDescent="0.45">
      <c r="A613" s="184"/>
      <c r="B613" s="184"/>
      <c r="C613" s="153" t="s">
        <v>1030</v>
      </c>
      <c r="D613" s="143"/>
      <c r="E613" s="199">
        <v>0</v>
      </c>
      <c r="F613" s="244">
        <f t="shared" si="19"/>
        <v>0</v>
      </c>
      <c r="G613" s="172" t="s">
        <v>1658</v>
      </c>
      <c r="H613" s="208" t="str">
        <f t="shared" si="20"/>
        <v/>
      </c>
    </row>
    <row r="614" spans="1:8" ht="18" thickBot="1" x14ac:dyDescent="0.45">
      <c r="A614" s="234"/>
      <c r="B614" s="234" t="s">
        <v>536</v>
      </c>
      <c r="C614" s="233" t="s">
        <v>1031</v>
      </c>
      <c r="D614" s="235" t="s">
        <v>1174</v>
      </c>
      <c r="E614" s="199">
        <v>0</v>
      </c>
      <c r="F614" s="244">
        <f t="shared" si="19"/>
        <v>0</v>
      </c>
      <c r="G614" s="172">
        <v>12</v>
      </c>
      <c r="H614" s="208">
        <f t="shared" si="20"/>
        <v>12</v>
      </c>
    </row>
    <row r="615" spans="1:8" ht="18" thickBot="1" x14ac:dyDescent="0.45">
      <c r="A615" s="234"/>
      <c r="B615" s="234"/>
      <c r="C615" s="233" t="s">
        <v>1032</v>
      </c>
      <c r="D615" s="235"/>
      <c r="E615" s="199">
        <v>2218.8000000000002</v>
      </c>
      <c r="F615" s="244">
        <f t="shared" si="19"/>
        <v>2.9822580645161292</v>
      </c>
      <c r="G615" s="172" t="s">
        <v>1658</v>
      </c>
      <c r="H615" s="208" t="str">
        <f t="shared" si="20"/>
        <v/>
      </c>
    </row>
    <row r="616" spans="1:8" ht="18" thickBot="1" x14ac:dyDescent="0.45">
      <c r="A616" s="234"/>
      <c r="B616" s="234" t="s">
        <v>537</v>
      </c>
      <c r="C616" s="241" t="s">
        <v>1033</v>
      </c>
      <c r="D616" s="235" t="s">
        <v>1174</v>
      </c>
      <c r="E616" s="199">
        <v>0</v>
      </c>
      <c r="F616" s="244">
        <f t="shared" si="19"/>
        <v>0</v>
      </c>
      <c r="G616" s="172">
        <v>12</v>
      </c>
      <c r="H616" s="208">
        <f t="shared" si="20"/>
        <v>12</v>
      </c>
    </row>
    <row r="617" spans="1:8" ht="18" thickBot="1" x14ac:dyDescent="0.45">
      <c r="A617" s="234"/>
      <c r="B617" s="234"/>
      <c r="C617" s="241"/>
      <c r="D617" s="235"/>
      <c r="E617" s="199">
        <v>0</v>
      </c>
      <c r="F617" s="244">
        <f t="shared" si="19"/>
        <v>0</v>
      </c>
      <c r="G617" s="172" t="s">
        <v>1658</v>
      </c>
      <c r="H617" s="208" t="str">
        <f t="shared" si="20"/>
        <v/>
      </c>
    </row>
    <row r="618" spans="1:8" ht="18" thickBot="1" x14ac:dyDescent="0.45">
      <c r="A618" s="234"/>
      <c r="B618" s="234" t="s">
        <v>538</v>
      </c>
      <c r="C618" s="233" t="s">
        <v>1034</v>
      </c>
      <c r="D618" s="235" t="s">
        <v>1175</v>
      </c>
      <c r="E618" s="199">
        <v>0</v>
      </c>
      <c r="F618" s="244">
        <f t="shared" si="19"/>
        <v>0</v>
      </c>
      <c r="G618" s="172">
        <v>1.6</v>
      </c>
      <c r="H618" s="208">
        <f t="shared" si="20"/>
        <v>1.6</v>
      </c>
    </row>
    <row r="619" spans="1:8" ht="18" thickBot="1" x14ac:dyDescent="0.45">
      <c r="A619" s="234"/>
      <c r="B619" s="234" t="s">
        <v>539</v>
      </c>
      <c r="C619" s="233" t="s">
        <v>1035</v>
      </c>
      <c r="D619" s="235" t="s">
        <v>1176</v>
      </c>
      <c r="E619" s="199">
        <v>295.89999999999998</v>
      </c>
      <c r="F619" s="244">
        <f t="shared" si="19"/>
        <v>0.39771505376344085</v>
      </c>
      <c r="G619" s="172">
        <v>1.6</v>
      </c>
      <c r="H619" s="208">
        <f t="shared" si="20"/>
        <v>1.2022849462365592</v>
      </c>
    </row>
    <row r="620" spans="1:8" ht="18" thickBot="1" x14ac:dyDescent="0.45">
      <c r="A620" s="234"/>
      <c r="B620" s="234" t="s">
        <v>540</v>
      </c>
      <c r="C620" s="233" t="s">
        <v>1036</v>
      </c>
      <c r="D620" s="235" t="s">
        <v>733</v>
      </c>
      <c r="E620" s="199">
        <v>292</v>
      </c>
      <c r="F620" s="244">
        <f t="shared" si="19"/>
        <v>0.39247311827956988</v>
      </c>
      <c r="G620" s="172">
        <v>1.6</v>
      </c>
      <c r="H620" s="208">
        <f t="shared" si="20"/>
        <v>1.2075268817204301</v>
      </c>
    </row>
    <row r="621" spans="1:8" ht="18" thickBot="1" x14ac:dyDescent="0.45">
      <c r="A621" s="234"/>
      <c r="B621" s="234" t="s">
        <v>476</v>
      </c>
      <c r="C621" s="153"/>
      <c r="D621" s="153"/>
      <c r="E621" s="199">
        <v>132.9</v>
      </c>
      <c r="F621" s="244">
        <f t="shared" si="19"/>
        <v>0.17862903225806454</v>
      </c>
      <c r="G621" s="172">
        <v>0</v>
      </c>
      <c r="H621" s="208">
        <f t="shared" si="20"/>
        <v>-0.17862903225806454</v>
      </c>
    </row>
    <row r="622" spans="1:8" ht="18" thickBot="1" x14ac:dyDescent="0.45">
      <c r="A622" s="234"/>
      <c r="B622" s="234" t="s">
        <v>551</v>
      </c>
      <c r="C622" s="153" t="s">
        <v>1037</v>
      </c>
      <c r="D622" s="153"/>
      <c r="E622" s="199">
        <v>0</v>
      </c>
      <c r="F622" s="244">
        <f t="shared" si="19"/>
        <v>0</v>
      </c>
      <c r="G622" s="172">
        <v>0</v>
      </c>
      <c r="H622" s="208">
        <f t="shared" si="20"/>
        <v>0</v>
      </c>
    </row>
    <row r="623" spans="1:8" ht="18" thickBot="1" x14ac:dyDescent="0.45">
      <c r="A623" s="234"/>
      <c r="B623" s="234" t="s">
        <v>478</v>
      </c>
      <c r="C623" s="153" t="s">
        <v>1038</v>
      </c>
      <c r="D623" s="153"/>
      <c r="E623" s="199">
        <v>0</v>
      </c>
      <c r="F623" s="244">
        <f t="shared" si="19"/>
        <v>0</v>
      </c>
      <c r="G623" s="172">
        <v>0</v>
      </c>
      <c r="H623" s="208">
        <f t="shared" si="20"/>
        <v>0</v>
      </c>
    </row>
    <row r="624" spans="1:8" ht="18" thickBot="1" x14ac:dyDescent="0.45">
      <c r="A624" s="234"/>
      <c r="B624" s="234" t="s">
        <v>479</v>
      </c>
      <c r="C624" s="218" t="s">
        <v>1039</v>
      </c>
      <c r="D624" s="241"/>
      <c r="E624" s="199">
        <v>0</v>
      </c>
      <c r="F624" s="244">
        <f t="shared" si="19"/>
        <v>0</v>
      </c>
      <c r="G624" s="172">
        <v>0</v>
      </c>
      <c r="H624" s="208">
        <f t="shared" si="20"/>
        <v>0</v>
      </c>
    </row>
    <row r="625" spans="1:8" ht="18" thickBot="1" x14ac:dyDescent="0.45">
      <c r="A625" s="234"/>
      <c r="B625" s="234"/>
      <c r="C625" s="218"/>
      <c r="D625" s="241"/>
      <c r="E625" s="199">
        <v>0</v>
      </c>
      <c r="F625" s="244">
        <f t="shared" si="19"/>
        <v>0</v>
      </c>
      <c r="G625" s="172" t="s">
        <v>1658</v>
      </c>
      <c r="H625" s="208" t="str">
        <f t="shared" si="20"/>
        <v/>
      </c>
    </row>
    <row r="626" spans="1:8" ht="18" thickBot="1" x14ac:dyDescent="0.45">
      <c r="A626" s="234"/>
      <c r="B626" s="234" t="s">
        <v>919</v>
      </c>
      <c r="C626" s="218" t="s">
        <v>1040</v>
      </c>
      <c r="D626" s="241"/>
      <c r="E626" s="199">
        <v>0</v>
      </c>
      <c r="F626" s="244">
        <f t="shared" si="19"/>
        <v>0</v>
      </c>
      <c r="G626" s="172">
        <v>0</v>
      </c>
      <c r="H626" s="208">
        <f t="shared" si="20"/>
        <v>0</v>
      </c>
    </row>
    <row r="627" spans="1:8" ht="18" thickBot="1" x14ac:dyDescent="0.45">
      <c r="A627" s="234"/>
      <c r="B627" s="234" t="s">
        <v>920</v>
      </c>
      <c r="C627" s="218" t="s">
        <v>1041</v>
      </c>
      <c r="D627" s="241"/>
      <c r="E627" s="199">
        <v>0</v>
      </c>
      <c r="F627" s="244">
        <f t="shared" si="19"/>
        <v>0</v>
      </c>
      <c r="G627" s="172">
        <v>0</v>
      </c>
      <c r="H627" s="208">
        <f t="shared" si="20"/>
        <v>0</v>
      </c>
    </row>
    <row r="628" spans="1:8" ht="18" thickBot="1" x14ac:dyDescent="0.45">
      <c r="A628" s="234"/>
      <c r="B628" s="234"/>
      <c r="C628" s="218"/>
      <c r="D628" s="241"/>
      <c r="E628" s="199">
        <v>0</v>
      </c>
      <c r="F628" s="244">
        <f t="shared" si="19"/>
        <v>0</v>
      </c>
      <c r="G628" s="172" t="s">
        <v>1658</v>
      </c>
      <c r="H628" s="208" t="str">
        <f t="shared" si="20"/>
        <v/>
      </c>
    </row>
    <row r="629" spans="1:8" ht="18" thickBot="1" x14ac:dyDescent="0.45">
      <c r="A629" s="234"/>
      <c r="B629" s="234" t="s">
        <v>921</v>
      </c>
      <c r="C629" s="218" t="s">
        <v>1042</v>
      </c>
      <c r="D629" s="241"/>
      <c r="E629" s="199">
        <v>0</v>
      </c>
      <c r="F629" s="244">
        <f t="shared" si="19"/>
        <v>0</v>
      </c>
      <c r="G629" s="172">
        <v>0</v>
      </c>
      <c r="H629" s="208">
        <f t="shared" si="20"/>
        <v>0</v>
      </c>
    </row>
    <row r="630" spans="1:8" ht="18" thickBot="1" x14ac:dyDescent="0.45">
      <c r="A630" s="234"/>
      <c r="B630" s="234" t="s">
        <v>483</v>
      </c>
      <c r="C630" s="153" t="s">
        <v>1043</v>
      </c>
      <c r="D630" s="153"/>
      <c r="E630" s="199">
        <v>0</v>
      </c>
      <c r="F630" s="244">
        <f t="shared" si="19"/>
        <v>0</v>
      </c>
      <c r="G630" s="172">
        <v>0</v>
      </c>
      <c r="H630" s="208">
        <f t="shared" si="20"/>
        <v>0</v>
      </c>
    </row>
    <row r="631" spans="1:8" ht="18" thickBot="1" x14ac:dyDescent="0.45">
      <c r="A631" s="234"/>
      <c r="B631" s="234" t="s">
        <v>484</v>
      </c>
      <c r="C631" s="153" t="s">
        <v>1044</v>
      </c>
      <c r="D631" s="153"/>
      <c r="E631" s="199">
        <v>0</v>
      </c>
      <c r="F631" s="244">
        <f t="shared" si="19"/>
        <v>0</v>
      </c>
      <c r="G631" s="172">
        <v>0</v>
      </c>
      <c r="H631" s="208">
        <f t="shared" si="20"/>
        <v>0</v>
      </c>
    </row>
    <row r="632" spans="1:8" ht="18" thickBot="1" x14ac:dyDescent="0.45">
      <c r="A632" s="234"/>
      <c r="B632" s="234" t="s">
        <v>485</v>
      </c>
      <c r="C632" s="153" t="s">
        <v>1045</v>
      </c>
      <c r="D632" s="153"/>
      <c r="E632" s="199">
        <v>0</v>
      </c>
      <c r="F632" s="244">
        <f t="shared" si="19"/>
        <v>0</v>
      </c>
      <c r="G632" s="172">
        <v>0</v>
      </c>
      <c r="H632" s="208">
        <f t="shared" si="20"/>
        <v>0</v>
      </c>
    </row>
    <row r="633" spans="1:8" ht="18" thickBot="1" x14ac:dyDescent="0.45">
      <c r="A633" s="234"/>
      <c r="B633" s="234" t="s">
        <v>922</v>
      </c>
      <c r="C633" s="153"/>
      <c r="D633" s="153"/>
      <c r="E633" s="199">
        <v>0</v>
      </c>
      <c r="F633" s="244">
        <f t="shared" si="19"/>
        <v>0</v>
      </c>
      <c r="G633" s="172">
        <v>0</v>
      </c>
      <c r="H633" s="208">
        <f t="shared" si="20"/>
        <v>0</v>
      </c>
    </row>
    <row r="634" spans="1:8" ht="18" thickBot="1" x14ac:dyDescent="0.45">
      <c r="A634" s="234"/>
      <c r="B634" s="234" t="s">
        <v>923</v>
      </c>
      <c r="C634" s="233"/>
      <c r="D634" s="235" t="s">
        <v>1177</v>
      </c>
      <c r="E634" s="199">
        <v>0</v>
      </c>
      <c r="F634" s="244">
        <f t="shared" si="19"/>
        <v>0</v>
      </c>
      <c r="G634" s="172">
        <v>2.2000000000000002</v>
      </c>
      <c r="H634" s="208">
        <f t="shared" si="20"/>
        <v>2.2000000000000002</v>
      </c>
    </row>
    <row r="635" spans="1:8" ht="18" thickBot="1" x14ac:dyDescent="0.45">
      <c r="A635" s="234"/>
      <c r="B635" s="234" t="s">
        <v>924</v>
      </c>
      <c r="C635" s="233" t="s">
        <v>1046</v>
      </c>
      <c r="D635" s="235" t="s">
        <v>745</v>
      </c>
      <c r="E635" s="199">
        <v>159.60000000000002</v>
      </c>
      <c r="F635" s="244">
        <f t="shared" si="19"/>
        <v>0.21451612903225808</v>
      </c>
      <c r="G635" s="172">
        <v>2.2000000000000002</v>
      </c>
      <c r="H635" s="208">
        <f t="shared" si="20"/>
        <v>1.985483870967742</v>
      </c>
    </row>
    <row r="636" spans="1:8" ht="18" thickBot="1" x14ac:dyDescent="0.45">
      <c r="A636" s="234"/>
      <c r="B636" s="234" t="s">
        <v>925</v>
      </c>
      <c r="C636" s="233" t="s">
        <v>1047</v>
      </c>
      <c r="D636" s="235" t="s">
        <v>745</v>
      </c>
      <c r="E636" s="199">
        <v>486.4</v>
      </c>
      <c r="F636" s="244">
        <f t="shared" si="19"/>
        <v>0.65376344086021498</v>
      </c>
      <c r="G636" s="172">
        <v>2.2000000000000002</v>
      </c>
      <c r="H636" s="208">
        <f t="shared" si="20"/>
        <v>1.5462365591397851</v>
      </c>
    </row>
    <row r="637" spans="1:8" ht="18" thickBot="1" x14ac:dyDescent="0.45">
      <c r="A637" s="234"/>
      <c r="B637" s="234" t="s">
        <v>926</v>
      </c>
      <c r="C637" s="233" t="s">
        <v>1048</v>
      </c>
      <c r="D637" s="235" t="s">
        <v>1177</v>
      </c>
      <c r="E637" s="199">
        <v>0</v>
      </c>
      <c r="F637" s="244">
        <f t="shared" si="19"/>
        <v>0</v>
      </c>
      <c r="G637" s="172">
        <v>2.2000000000000002</v>
      </c>
      <c r="H637" s="208">
        <f t="shared" si="20"/>
        <v>2.2000000000000002</v>
      </c>
    </row>
    <row r="638" spans="1:8" ht="18" thickBot="1" x14ac:dyDescent="0.45">
      <c r="A638" s="234"/>
      <c r="B638" s="234" t="s">
        <v>927</v>
      </c>
      <c r="C638" s="233" t="s">
        <v>1049</v>
      </c>
      <c r="D638" s="235" t="s">
        <v>1177</v>
      </c>
      <c r="E638" s="199">
        <v>6.1</v>
      </c>
      <c r="F638" s="244">
        <f t="shared" si="19"/>
        <v>8.1989247311827947E-3</v>
      </c>
      <c r="G638" s="172">
        <v>2.2000000000000002</v>
      </c>
      <c r="H638" s="208">
        <f t="shared" si="20"/>
        <v>2.1918010752688173</v>
      </c>
    </row>
    <row r="639" spans="1:8" ht="18" thickBot="1" x14ac:dyDescent="0.45">
      <c r="A639" s="234"/>
      <c r="B639" s="234" t="s">
        <v>928</v>
      </c>
      <c r="C639" s="233" t="s">
        <v>1050</v>
      </c>
      <c r="D639" s="235" t="s">
        <v>1177</v>
      </c>
      <c r="E639" s="199">
        <v>4.0999999999999996</v>
      </c>
      <c r="F639" s="244">
        <f t="shared" si="19"/>
        <v>5.5107526881720426E-3</v>
      </c>
      <c r="G639" s="172">
        <v>6</v>
      </c>
      <c r="H639" s="208">
        <f t="shared" si="20"/>
        <v>5.9944892473118276</v>
      </c>
    </row>
    <row r="640" spans="1:8" ht="18" thickBot="1" x14ac:dyDescent="0.45">
      <c r="A640" s="234"/>
      <c r="B640" s="234" t="s">
        <v>929</v>
      </c>
      <c r="C640" s="233" t="s">
        <v>1051</v>
      </c>
      <c r="D640" s="235"/>
      <c r="E640" s="199">
        <v>21.3</v>
      </c>
      <c r="F640" s="244">
        <f t="shared" si="19"/>
        <v>2.8629032258064516E-2</v>
      </c>
      <c r="G640" s="172">
        <v>0</v>
      </c>
      <c r="H640" s="208">
        <f t="shared" si="20"/>
        <v>-2.8629032258064516E-2</v>
      </c>
    </row>
    <row r="641" spans="1:8" ht="18" thickBot="1" x14ac:dyDescent="0.45">
      <c r="A641" s="234"/>
      <c r="B641" s="234" t="s">
        <v>930</v>
      </c>
      <c r="C641" s="233" t="s">
        <v>1052</v>
      </c>
      <c r="D641" s="235" t="s">
        <v>1177</v>
      </c>
      <c r="E641" s="199">
        <v>0</v>
      </c>
      <c r="F641" s="244">
        <f t="shared" si="19"/>
        <v>0</v>
      </c>
      <c r="G641" s="172">
        <v>2.2000000000000002</v>
      </c>
      <c r="H641" s="208">
        <f t="shared" si="20"/>
        <v>2.2000000000000002</v>
      </c>
    </row>
    <row r="642" spans="1:8" ht="18" thickBot="1" x14ac:dyDescent="0.45">
      <c r="A642" s="234"/>
      <c r="B642" s="234" t="s">
        <v>931</v>
      </c>
      <c r="C642" s="233" t="s">
        <v>1053</v>
      </c>
      <c r="D642" s="235" t="s">
        <v>1178</v>
      </c>
      <c r="E642" s="199">
        <v>0</v>
      </c>
      <c r="F642" s="244">
        <f t="shared" si="19"/>
        <v>0</v>
      </c>
      <c r="G642" s="172">
        <v>2.2000000000000002</v>
      </c>
      <c r="H642" s="208">
        <f t="shared" si="20"/>
        <v>2.2000000000000002</v>
      </c>
    </row>
    <row r="643" spans="1:8" ht="18" thickBot="1" x14ac:dyDescent="0.45">
      <c r="A643" s="234"/>
      <c r="B643" s="234" t="s">
        <v>932</v>
      </c>
      <c r="C643" s="218" t="s">
        <v>1054</v>
      </c>
      <c r="D643" s="235" t="s">
        <v>1179</v>
      </c>
      <c r="E643" s="199">
        <v>205.89999999999998</v>
      </c>
      <c r="F643" s="244">
        <f t="shared" si="19"/>
        <v>0.27674731182795698</v>
      </c>
      <c r="G643" s="172">
        <v>4.4000000000000004</v>
      </c>
      <c r="H643" s="208">
        <f t="shared" si="20"/>
        <v>4.1232526881720437</v>
      </c>
    </row>
    <row r="644" spans="1:8" ht="18" thickBot="1" x14ac:dyDescent="0.45">
      <c r="A644" s="234"/>
      <c r="B644" s="234" t="s">
        <v>933</v>
      </c>
      <c r="C644" s="153"/>
      <c r="D644" s="143"/>
      <c r="E644" s="199">
        <v>2348.1</v>
      </c>
      <c r="F644" s="244">
        <f t="shared" si="19"/>
        <v>3.1560483870967739</v>
      </c>
      <c r="G644" s="172">
        <v>0</v>
      </c>
      <c r="H644" s="208">
        <f t="shared" si="20"/>
        <v>-3.1560483870967739</v>
      </c>
    </row>
    <row r="645" spans="1:8" ht="18" thickBot="1" x14ac:dyDescent="0.45">
      <c r="A645" s="234"/>
      <c r="B645" s="234" t="s">
        <v>934</v>
      </c>
      <c r="C645" s="153"/>
      <c r="D645" s="153"/>
      <c r="E645" s="199">
        <v>0</v>
      </c>
      <c r="F645" s="244">
        <f t="shared" ref="F645:F708" si="21">E645/(24*31)</f>
        <v>0</v>
      </c>
      <c r="G645" s="172">
        <v>0</v>
      </c>
      <c r="H645" s="208">
        <f t="shared" ref="H645:H708" si="22">IFERROR(G645-F645, "")</f>
        <v>0</v>
      </c>
    </row>
    <row r="646" spans="1:8" ht="18" thickBot="1" x14ac:dyDescent="0.45">
      <c r="A646" s="234"/>
      <c r="B646" s="234" t="s">
        <v>935</v>
      </c>
      <c r="C646" s="218" t="s">
        <v>1055</v>
      </c>
      <c r="D646" s="241"/>
      <c r="E646" s="199">
        <v>0</v>
      </c>
      <c r="F646" s="244">
        <f t="shared" si="21"/>
        <v>0</v>
      </c>
      <c r="G646" s="172">
        <v>0</v>
      </c>
      <c r="H646" s="208">
        <f t="shared" si="22"/>
        <v>0</v>
      </c>
    </row>
    <row r="647" spans="1:8" ht="18" thickBot="1" x14ac:dyDescent="0.45">
      <c r="A647" s="234"/>
      <c r="B647" s="234" t="s">
        <v>554</v>
      </c>
      <c r="C647" s="241" t="s">
        <v>1056</v>
      </c>
      <c r="D647" s="241"/>
      <c r="E647" s="199">
        <v>0</v>
      </c>
      <c r="F647" s="244">
        <f t="shared" si="21"/>
        <v>0</v>
      </c>
      <c r="G647" s="172">
        <v>0</v>
      </c>
      <c r="H647" s="208">
        <f t="shared" si="22"/>
        <v>0</v>
      </c>
    </row>
    <row r="648" spans="1:8" ht="18" thickBot="1" x14ac:dyDescent="0.45">
      <c r="A648" s="234"/>
      <c r="B648" s="234" t="s">
        <v>555</v>
      </c>
      <c r="C648" s="241" t="s">
        <v>1057</v>
      </c>
      <c r="D648" s="241"/>
      <c r="E648" s="199">
        <v>0</v>
      </c>
      <c r="F648" s="244">
        <f t="shared" si="21"/>
        <v>0</v>
      </c>
      <c r="G648" s="172">
        <v>0</v>
      </c>
      <c r="H648" s="208">
        <f t="shared" si="22"/>
        <v>0</v>
      </c>
    </row>
    <row r="649" spans="1:8" ht="18" thickBot="1" x14ac:dyDescent="0.45">
      <c r="A649" s="234"/>
      <c r="B649" s="234" t="s">
        <v>556</v>
      </c>
      <c r="C649" s="241" t="s">
        <v>1058</v>
      </c>
      <c r="D649" s="241"/>
      <c r="E649" s="199">
        <v>0</v>
      </c>
      <c r="F649" s="244">
        <f t="shared" si="21"/>
        <v>0</v>
      </c>
      <c r="G649" s="172">
        <v>0</v>
      </c>
      <c r="H649" s="208">
        <f t="shared" si="22"/>
        <v>0</v>
      </c>
    </row>
    <row r="650" spans="1:8" ht="18" thickBot="1" x14ac:dyDescent="0.45">
      <c r="A650" s="234"/>
      <c r="B650" s="234" t="s">
        <v>557</v>
      </c>
      <c r="C650" s="233" t="s">
        <v>1059</v>
      </c>
      <c r="D650" s="241" t="s">
        <v>1180</v>
      </c>
      <c r="E650" s="199">
        <v>0</v>
      </c>
      <c r="F650" s="244">
        <f t="shared" si="21"/>
        <v>0</v>
      </c>
      <c r="G650" s="172">
        <v>0</v>
      </c>
      <c r="H650" s="208">
        <f t="shared" si="22"/>
        <v>0</v>
      </c>
    </row>
    <row r="651" spans="1:8" ht="18" thickBot="1" x14ac:dyDescent="0.45">
      <c r="A651" s="234"/>
      <c r="B651" s="234" t="s">
        <v>558</v>
      </c>
      <c r="C651" s="218" t="s">
        <v>1060</v>
      </c>
      <c r="D651" s="241"/>
      <c r="E651" s="199">
        <v>0</v>
      </c>
      <c r="F651" s="244">
        <f t="shared" si="21"/>
        <v>0</v>
      </c>
      <c r="G651" s="172">
        <v>0</v>
      </c>
      <c r="H651" s="208">
        <f t="shared" si="22"/>
        <v>0</v>
      </c>
    </row>
    <row r="652" spans="1:8" ht="18" thickBot="1" x14ac:dyDescent="0.45">
      <c r="A652" s="234"/>
      <c r="B652" s="234" t="s">
        <v>559</v>
      </c>
      <c r="C652" s="233" t="s">
        <v>1061</v>
      </c>
      <c r="D652" s="241" t="s">
        <v>1180</v>
      </c>
      <c r="E652" s="199">
        <v>0</v>
      </c>
      <c r="F652" s="244">
        <f t="shared" si="21"/>
        <v>0</v>
      </c>
      <c r="G652" s="172">
        <v>0</v>
      </c>
      <c r="H652" s="208">
        <f t="shared" si="22"/>
        <v>0</v>
      </c>
    </row>
    <row r="653" spans="1:8" ht="18" thickBot="1" x14ac:dyDescent="0.45">
      <c r="A653" s="234"/>
      <c r="B653" s="234" t="s">
        <v>936</v>
      </c>
      <c r="C653" s="218" t="s">
        <v>1062</v>
      </c>
      <c r="D653" s="241"/>
      <c r="E653" s="199">
        <v>0</v>
      </c>
      <c r="F653" s="244">
        <f t="shared" si="21"/>
        <v>0</v>
      </c>
      <c r="G653" s="172">
        <v>0</v>
      </c>
      <c r="H653" s="208">
        <f t="shared" si="22"/>
        <v>0</v>
      </c>
    </row>
    <row r="654" spans="1:8" ht="18" thickBot="1" x14ac:dyDescent="0.45">
      <c r="A654" s="234"/>
      <c r="B654" s="234" t="s">
        <v>937</v>
      </c>
      <c r="C654" s="218" t="s">
        <v>1063</v>
      </c>
      <c r="D654" s="241"/>
      <c r="E654" s="199">
        <v>0</v>
      </c>
      <c r="F654" s="244">
        <f t="shared" si="21"/>
        <v>0</v>
      </c>
      <c r="G654" s="172">
        <v>0</v>
      </c>
      <c r="H654" s="208">
        <f t="shared" si="22"/>
        <v>0</v>
      </c>
    </row>
    <row r="655" spans="1:8" ht="18" thickBot="1" x14ac:dyDescent="0.45">
      <c r="A655" s="234"/>
      <c r="B655" s="234" t="s">
        <v>938</v>
      </c>
      <c r="C655" s="153"/>
      <c r="D655" s="153"/>
      <c r="E655" s="199">
        <v>0</v>
      </c>
      <c r="F655" s="244">
        <f t="shared" si="21"/>
        <v>0</v>
      </c>
      <c r="G655" s="172">
        <v>0</v>
      </c>
      <c r="H655" s="208">
        <f t="shared" si="22"/>
        <v>0</v>
      </c>
    </row>
    <row r="656" spans="1:8" ht="18" thickBot="1" x14ac:dyDescent="0.45">
      <c r="A656" s="234"/>
      <c r="B656" s="234" t="s">
        <v>939</v>
      </c>
      <c r="C656" s="234" t="s">
        <v>1064</v>
      </c>
      <c r="D656" s="236" t="s">
        <v>1179</v>
      </c>
      <c r="E656" s="199">
        <v>0</v>
      </c>
      <c r="F656" s="244">
        <f t="shared" si="21"/>
        <v>0</v>
      </c>
      <c r="G656" s="172">
        <v>2.2000000000000002</v>
      </c>
      <c r="H656" s="208">
        <f t="shared" si="22"/>
        <v>2.2000000000000002</v>
      </c>
    </row>
    <row r="657" spans="1:8" ht="29.4" thickBot="1" x14ac:dyDescent="0.45">
      <c r="A657" s="234"/>
      <c r="B657" s="234" t="s">
        <v>940</v>
      </c>
      <c r="C657" s="157" t="s">
        <v>1065</v>
      </c>
      <c r="D657" s="176" t="s">
        <v>1181</v>
      </c>
      <c r="E657" s="199">
        <v>1510.1</v>
      </c>
      <c r="F657" s="244">
        <f t="shared" si="21"/>
        <v>2.0297043010752689</v>
      </c>
      <c r="G657" s="172">
        <v>2.2000000000000002</v>
      </c>
      <c r="H657" s="208">
        <f t="shared" si="22"/>
        <v>0.17029569892473129</v>
      </c>
    </row>
    <row r="658" spans="1:8" ht="18" thickBot="1" x14ac:dyDescent="0.45">
      <c r="A658" s="234"/>
      <c r="B658" s="234" t="s">
        <v>941</v>
      </c>
      <c r="C658" s="157" t="s">
        <v>1066</v>
      </c>
      <c r="D658" s="176" t="s">
        <v>1182</v>
      </c>
      <c r="E658" s="199">
        <v>624.70000000000005</v>
      </c>
      <c r="F658" s="244">
        <f t="shared" si="21"/>
        <v>0.83965053763440867</v>
      </c>
      <c r="G658" s="172">
        <v>1.1000000000000001</v>
      </c>
      <c r="H658" s="208">
        <f t="shared" si="22"/>
        <v>0.26034946236559142</v>
      </c>
    </row>
    <row r="659" spans="1:8" ht="18" thickBot="1" x14ac:dyDescent="0.45">
      <c r="A659" s="234"/>
      <c r="B659" s="234" t="s">
        <v>942</v>
      </c>
      <c r="C659" s="237" t="s">
        <v>1067</v>
      </c>
      <c r="D659" s="236" t="s">
        <v>1179</v>
      </c>
      <c r="E659" s="199">
        <v>334.1</v>
      </c>
      <c r="F659" s="244">
        <f t="shared" si="21"/>
        <v>0.44905913978494627</v>
      </c>
      <c r="G659" s="172">
        <v>2.2000000000000002</v>
      </c>
      <c r="H659" s="208">
        <f t="shared" si="22"/>
        <v>1.7509408602150538</v>
      </c>
    </row>
    <row r="660" spans="1:8" ht="18" thickBot="1" x14ac:dyDescent="0.45">
      <c r="A660" s="234"/>
      <c r="B660" s="234" t="s">
        <v>943</v>
      </c>
      <c r="C660" s="237" t="s">
        <v>1068</v>
      </c>
      <c r="D660" s="236" t="s">
        <v>1179</v>
      </c>
      <c r="E660" s="199">
        <v>1623.2</v>
      </c>
      <c r="F660" s="244">
        <f t="shared" si="21"/>
        <v>2.1817204301075268</v>
      </c>
      <c r="G660" s="172">
        <v>2.2000000000000002</v>
      </c>
      <c r="H660" s="208">
        <f t="shared" si="22"/>
        <v>1.8279569892473368E-2</v>
      </c>
    </row>
    <row r="661" spans="1:8" ht="18" thickBot="1" x14ac:dyDescent="0.45">
      <c r="A661" s="234"/>
      <c r="B661" s="234" t="s">
        <v>944</v>
      </c>
      <c r="C661" s="237" t="s">
        <v>1069</v>
      </c>
      <c r="D661" s="236" t="s">
        <v>1179</v>
      </c>
      <c r="E661" s="199">
        <v>1447.8000000000002</v>
      </c>
      <c r="F661" s="244">
        <f t="shared" si="21"/>
        <v>1.9459677419354842</v>
      </c>
      <c r="G661" s="172">
        <v>2.2000000000000002</v>
      </c>
      <c r="H661" s="208">
        <f t="shared" si="22"/>
        <v>0.25403225806451601</v>
      </c>
    </row>
    <row r="662" spans="1:8" ht="18" thickBot="1" x14ac:dyDescent="0.45">
      <c r="A662" s="234"/>
      <c r="B662" s="234"/>
      <c r="C662" s="237"/>
      <c r="D662" s="236"/>
      <c r="E662" s="199">
        <v>3186.7999999999997</v>
      </c>
      <c r="F662" s="244">
        <f t="shared" si="21"/>
        <v>4.2833333333333332</v>
      </c>
      <c r="G662" s="172" t="s">
        <v>1658</v>
      </c>
      <c r="H662" s="208" t="str">
        <f t="shared" si="22"/>
        <v/>
      </c>
    </row>
    <row r="663" spans="1:8" ht="18" thickBot="1" x14ac:dyDescent="0.45">
      <c r="A663" s="234"/>
      <c r="B663" s="234"/>
      <c r="C663" s="237"/>
      <c r="D663" s="236"/>
      <c r="E663" s="199">
        <v>0</v>
      </c>
      <c r="F663" s="244">
        <f t="shared" si="21"/>
        <v>0</v>
      </c>
      <c r="G663" s="172" t="s">
        <v>1658</v>
      </c>
      <c r="H663" s="208" t="str">
        <f t="shared" si="22"/>
        <v/>
      </c>
    </row>
    <row r="664" spans="1:8" ht="18" thickBot="1" x14ac:dyDescent="0.45">
      <c r="A664" s="234"/>
      <c r="B664" s="234" t="s">
        <v>945</v>
      </c>
      <c r="C664" s="157" t="s">
        <v>1070</v>
      </c>
      <c r="D664" s="176" t="s">
        <v>1183</v>
      </c>
      <c r="E664" s="199">
        <v>0</v>
      </c>
      <c r="F664" s="244">
        <f t="shared" si="21"/>
        <v>0</v>
      </c>
      <c r="G664" s="172">
        <v>2.2000000000000002</v>
      </c>
      <c r="H664" s="208">
        <f t="shared" si="22"/>
        <v>2.2000000000000002</v>
      </c>
    </row>
    <row r="665" spans="1:8" ht="18" thickBot="1" x14ac:dyDescent="0.45">
      <c r="A665" s="234"/>
      <c r="B665" s="234" t="s">
        <v>946</v>
      </c>
      <c r="C665" s="237" t="s">
        <v>1071</v>
      </c>
      <c r="D665" s="236" t="s">
        <v>1179</v>
      </c>
      <c r="E665" s="199">
        <v>1437.2</v>
      </c>
      <c r="F665" s="244">
        <f t="shared" si="21"/>
        <v>1.931720430107527</v>
      </c>
      <c r="G665" s="172">
        <v>2.2000000000000002</v>
      </c>
      <c r="H665" s="208">
        <f t="shared" si="22"/>
        <v>0.26827956989247315</v>
      </c>
    </row>
    <row r="666" spans="1:8" ht="18" thickBot="1" x14ac:dyDescent="0.45">
      <c r="A666" s="234"/>
      <c r="B666" s="234"/>
      <c r="C666" s="237"/>
      <c r="D666" s="236"/>
      <c r="E666" s="199">
        <v>2635.3000000000006</v>
      </c>
      <c r="F666" s="244">
        <f t="shared" si="21"/>
        <v>3.5420698924731191</v>
      </c>
      <c r="G666" s="172" t="s">
        <v>1658</v>
      </c>
      <c r="H666" s="208" t="str">
        <f t="shared" si="22"/>
        <v/>
      </c>
    </row>
    <row r="667" spans="1:8" ht="18" thickBot="1" x14ac:dyDescent="0.45">
      <c r="A667" s="234"/>
      <c r="B667" s="234"/>
      <c r="C667" s="237"/>
      <c r="D667" s="236"/>
      <c r="E667" s="199">
        <v>0</v>
      </c>
      <c r="F667" s="244">
        <f t="shared" si="21"/>
        <v>0</v>
      </c>
      <c r="G667" s="172" t="s">
        <v>1658</v>
      </c>
      <c r="H667" s="208" t="str">
        <f t="shared" si="22"/>
        <v/>
      </c>
    </row>
    <row r="668" spans="1:8" ht="18" thickBot="1" x14ac:dyDescent="0.45">
      <c r="A668" s="234"/>
      <c r="B668" s="234" t="s">
        <v>947</v>
      </c>
      <c r="C668" s="237" t="s">
        <v>1072</v>
      </c>
      <c r="D668" s="236" t="s">
        <v>1179</v>
      </c>
      <c r="E668" s="199">
        <v>0</v>
      </c>
      <c r="F668" s="244">
        <f t="shared" si="21"/>
        <v>0</v>
      </c>
      <c r="G668" s="172">
        <v>2.2000000000000002</v>
      </c>
      <c r="H668" s="208">
        <f t="shared" si="22"/>
        <v>2.2000000000000002</v>
      </c>
    </row>
    <row r="669" spans="1:8" ht="18" thickBot="1" x14ac:dyDescent="0.45">
      <c r="A669" s="234"/>
      <c r="B669" s="234"/>
      <c r="C669" s="237"/>
      <c r="D669" s="236"/>
      <c r="E669" s="199">
        <v>2495</v>
      </c>
      <c r="F669" s="244">
        <f t="shared" si="21"/>
        <v>3.353494623655914</v>
      </c>
      <c r="G669" s="172" t="s">
        <v>1658</v>
      </c>
      <c r="H669" s="208" t="str">
        <f t="shared" si="22"/>
        <v/>
      </c>
    </row>
    <row r="670" spans="1:8" ht="18" thickBot="1" x14ac:dyDescent="0.45">
      <c r="A670" s="234"/>
      <c r="B670" s="234" t="s">
        <v>948</v>
      </c>
      <c r="C670" s="237"/>
      <c r="D670" s="236" t="s">
        <v>1179</v>
      </c>
      <c r="E670" s="199">
        <v>0</v>
      </c>
      <c r="F670" s="244">
        <f t="shared" si="21"/>
        <v>0</v>
      </c>
      <c r="G670" s="172">
        <v>2.2000000000000002</v>
      </c>
      <c r="H670" s="208">
        <f t="shared" si="22"/>
        <v>2.2000000000000002</v>
      </c>
    </row>
    <row r="671" spans="1:8" ht="18" thickBot="1" x14ac:dyDescent="0.45">
      <c r="A671" s="234"/>
      <c r="B671" s="234"/>
      <c r="C671" s="237"/>
      <c r="D671" s="236"/>
      <c r="E671" s="199">
        <v>2374.1999999999998</v>
      </c>
      <c r="F671" s="244">
        <f t="shared" si="21"/>
        <v>3.1911290322580643</v>
      </c>
      <c r="G671" s="172" t="s">
        <v>1658</v>
      </c>
      <c r="H671" s="208" t="str">
        <f t="shared" si="22"/>
        <v/>
      </c>
    </row>
    <row r="672" spans="1:8" ht="18" thickBot="1" x14ac:dyDescent="0.45">
      <c r="A672" s="234"/>
      <c r="B672" s="234" t="s">
        <v>949</v>
      </c>
      <c r="C672" s="237"/>
      <c r="D672" s="236" t="s">
        <v>1179</v>
      </c>
      <c r="E672" s="199">
        <v>0</v>
      </c>
      <c r="F672" s="244">
        <f t="shared" si="21"/>
        <v>0</v>
      </c>
      <c r="G672" s="172">
        <v>2.2000000000000002</v>
      </c>
      <c r="H672" s="208">
        <f t="shared" si="22"/>
        <v>2.2000000000000002</v>
      </c>
    </row>
    <row r="673" spans="1:8" ht="18" thickBot="1" x14ac:dyDescent="0.45">
      <c r="A673" s="234"/>
      <c r="B673" s="234"/>
      <c r="C673" s="237"/>
      <c r="D673" s="236"/>
      <c r="E673" s="199">
        <v>1724.8000000000002</v>
      </c>
      <c r="F673" s="244">
        <f t="shared" si="21"/>
        <v>2.3182795698924732</v>
      </c>
      <c r="G673" s="172" t="s">
        <v>1658</v>
      </c>
      <c r="H673" s="208" t="str">
        <f t="shared" si="22"/>
        <v/>
      </c>
    </row>
    <row r="674" spans="1:8" ht="18" thickBot="1" x14ac:dyDescent="0.45">
      <c r="A674" s="234"/>
      <c r="B674" s="234" t="s">
        <v>466</v>
      </c>
      <c r="C674" s="153"/>
      <c r="D674" s="153"/>
      <c r="E674" s="199">
        <v>0</v>
      </c>
      <c r="F674" s="244">
        <f t="shared" si="21"/>
        <v>0</v>
      </c>
      <c r="G674" s="172">
        <v>0</v>
      </c>
      <c r="H674" s="208">
        <f t="shared" si="22"/>
        <v>0</v>
      </c>
    </row>
    <row r="675" spans="1:8" ht="18" thickBot="1" x14ac:dyDescent="0.45">
      <c r="A675" s="234"/>
      <c r="B675" s="234" t="s">
        <v>467</v>
      </c>
      <c r="C675" s="218" t="s">
        <v>1073</v>
      </c>
      <c r="D675" s="241"/>
      <c r="E675" s="199">
        <v>0</v>
      </c>
      <c r="F675" s="244">
        <f t="shared" si="21"/>
        <v>0</v>
      </c>
      <c r="G675" s="172">
        <v>0</v>
      </c>
      <c r="H675" s="208">
        <f t="shared" si="22"/>
        <v>0</v>
      </c>
    </row>
    <row r="676" spans="1:8" ht="18" thickBot="1" x14ac:dyDescent="0.45">
      <c r="A676" s="234"/>
      <c r="B676" s="234" t="s">
        <v>468</v>
      </c>
      <c r="C676" s="218" t="s">
        <v>1074</v>
      </c>
      <c r="D676" s="241"/>
      <c r="E676" s="199">
        <v>0</v>
      </c>
      <c r="F676" s="244">
        <f t="shared" si="21"/>
        <v>0</v>
      </c>
      <c r="G676" s="172">
        <v>0</v>
      </c>
      <c r="H676" s="208">
        <f t="shared" si="22"/>
        <v>0</v>
      </c>
    </row>
    <row r="677" spans="1:8" ht="18" thickBot="1" x14ac:dyDescent="0.45">
      <c r="A677" s="234"/>
      <c r="B677" s="234" t="s">
        <v>469</v>
      </c>
      <c r="C677" s="218" t="s">
        <v>1075</v>
      </c>
      <c r="D677" s="241"/>
      <c r="E677" s="199">
        <v>0</v>
      </c>
      <c r="F677" s="244">
        <f t="shared" si="21"/>
        <v>0</v>
      </c>
      <c r="G677" s="172">
        <v>0</v>
      </c>
      <c r="H677" s="208">
        <f t="shared" si="22"/>
        <v>0</v>
      </c>
    </row>
    <row r="678" spans="1:8" ht="18" thickBot="1" x14ac:dyDescent="0.45">
      <c r="A678" s="234"/>
      <c r="B678" s="234" t="s">
        <v>470</v>
      </c>
      <c r="C678" s="241" t="s">
        <v>1076</v>
      </c>
      <c r="D678" s="241"/>
      <c r="E678" s="199">
        <v>0</v>
      </c>
      <c r="F678" s="244">
        <f t="shared" si="21"/>
        <v>0</v>
      </c>
      <c r="G678" s="172">
        <v>0</v>
      </c>
      <c r="H678" s="208">
        <f t="shared" si="22"/>
        <v>0</v>
      </c>
    </row>
    <row r="679" spans="1:8" ht="18" thickBot="1" x14ac:dyDescent="0.45">
      <c r="A679" s="234"/>
      <c r="B679" s="234" t="s">
        <v>471</v>
      </c>
      <c r="C679" s="241" t="s">
        <v>1077</v>
      </c>
      <c r="D679" s="241"/>
      <c r="E679" s="199">
        <v>0</v>
      </c>
      <c r="F679" s="244">
        <f t="shared" si="21"/>
        <v>0</v>
      </c>
      <c r="G679" s="172">
        <v>0</v>
      </c>
      <c r="H679" s="208">
        <f t="shared" si="22"/>
        <v>0</v>
      </c>
    </row>
    <row r="680" spans="1:8" ht="18" thickBot="1" x14ac:dyDescent="0.45">
      <c r="A680" s="234"/>
      <c r="B680" s="234" t="s">
        <v>472</v>
      </c>
      <c r="C680" s="218" t="s">
        <v>1078</v>
      </c>
      <c r="D680" s="241"/>
      <c r="E680" s="199">
        <v>0</v>
      </c>
      <c r="F680" s="244">
        <f t="shared" si="21"/>
        <v>0</v>
      </c>
      <c r="G680" s="172">
        <v>0</v>
      </c>
      <c r="H680" s="208">
        <f t="shared" si="22"/>
        <v>0</v>
      </c>
    </row>
    <row r="681" spans="1:8" ht="18" thickBot="1" x14ac:dyDescent="0.45">
      <c r="A681" s="234"/>
      <c r="B681" s="234" t="s">
        <v>473</v>
      </c>
      <c r="C681" s="218" t="s">
        <v>1079</v>
      </c>
      <c r="D681" s="241"/>
      <c r="E681" s="199">
        <v>0</v>
      </c>
      <c r="F681" s="244">
        <f t="shared" si="21"/>
        <v>0</v>
      </c>
      <c r="G681" s="172">
        <v>0</v>
      </c>
      <c r="H681" s="208">
        <f t="shared" si="22"/>
        <v>0</v>
      </c>
    </row>
    <row r="682" spans="1:8" ht="18" thickBot="1" x14ac:dyDescent="0.45">
      <c r="A682" s="234"/>
      <c r="B682" s="234" t="s">
        <v>474</v>
      </c>
      <c r="C682" s="218" t="s">
        <v>1080</v>
      </c>
      <c r="D682" s="241"/>
      <c r="E682" s="199">
        <v>0</v>
      </c>
      <c r="F682" s="244">
        <f t="shared" si="21"/>
        <v>0</v>
      </c>
      <c r="G682" s="172">
        <v>0</v>
      </c>
      <c r="H682" s="208">
        <f t="shared" si="22"/>
        <v>0</v>
      </c>
    </row>
    <row r="683" spans="1:8" ht="18" thickBot="1" x14ac:dyDescent="0.45">
      <c r="A683" s="234"/>
      <c r="B683" s="234" t="s">
        <v>475</v>
      </c>
      <c r="C683" s="218" t="s">
        <v>1081</v>
      </c>
      <c r="D683" s="241"/>
      <c r="E683" s="199">
        <v>0</v>
      </c>
      <c r="F683" s="244">
        <f t="shared" si="21"/>
        <v>0</v>
      </c>
      <c r="G683" s="172">
        <v>0</v>
      </c>
      <c r="H683" s="208">
        <f t="shared" si="22"/>
        <v>0</v>
      </c>
    </row>
    <row r="684" spans="1:8" ht="18" thickBot="1" x14ac:dyDescent="0.45">
      <c r="A684" s="234"/>
      <c r="B684" s="234" t="s">
        <v>950</v>
      </c>
      <c r="C684" s="153"/>
      <c r="D684" s="153"/>
      <c r="E684" s="199">
        <v>0</v>
      </c>
      <c r="F684" s="244">
        <f t="shared" si="21"/>
        <v>0</v>
      </c>
      <c r="G684" s="172">
        <v>0</v>
      </c>
      <c r="H684" s="208">
        <f t="shared" si="22"/>
        <v>0</v>
      </c>
    </row>
    <row r="685" spans="1:8" ht="18" thickBot="1" x14ac:dyDescent="0.45">
      <c r="A685" s="234"/>
      <c r="B685" s="234" t="s">
        <v>951</v>
      </c>
      <c r="C685" s="218"/>
      <c r="D685" s="235" t="s">
        <v>1184</v>
      </c>
      <c r="E685" s="199">
        <v>0</v>
      </c>
      <c r="F685" s="244">
        <f t="shared" si="21"/>
        <v>0</v>
      </c>
      <c r="G685" s="172">
        <v>2.2000000000000002</v>
      </c>
      <c r="H685" s="208">
        <f t="shared" si="22"/>
        <v>2.2000000000000002</v>
      </c>
    </row>
    <row r="686" spans="1:8" ht="18" thickBot="1" x14ac:dyDescent="0.45">
      <c r="A686" s="234"/>
      <c r="B686" s="234" t="s">
        <v>952</v>
      </c>
      <c r="C686" s="218" t="s">
        <v>1082</v>
      </c>
      <c r="D686" s="235" t="s">
        <v>1184</v>
      </c>
      <c r="E686" s="199">
        <v>969.2</v>
      </c>
      <c r="F686" s="244">
        <f t="shared" si="21"/>
        <v>1.3026881720430108</v>
      </c>
      <c r="G686" s="172">
        <v>2.2000000000000002</v>
      </c>
      <c r="H686" s="208">
        <f t="shared" si="22"/>
        <v>0.89731182795698938</v>
      </c>
    </row>
    <row r="687" spans="1:8" ht="18" thickBot="1" x14ac:dyDescent="0.45">
      <c r="A687" s="234"/>
      <c r="B687" s="234" t="s">
        <v>953</v>
      </c>
      <c r="C687" s="233" t="s">
        <v>1083</v>
      </c>
      <c r="D687" s="235" t="s">
        <v>1185</v>
      </c>
      <c r="E687" s="199">
        <v>3505</v>
      </c>
      <c r="F687" s="244">
        <f t="shared" si="21"/>
        <v>4.711021505376344</v>
      </c>
      <c r="G687" s="172">
        <v>2.2000000000000002</v>
      </c>
      <c r="H687" s="208">
        <f t="shared" si="22"/>
        <v>-2.5110215053763438</v>
      </c>
    </row>
    <row r="688" spans="1:8" ht="18" thickBot="1" x14ac:dyDescent="0.45">
      <c r="A688" s="234"/>
      <c r="B688" s="234" t="s">
        <v>954</v>
      </c>
      <c r="C688" s="233" t="s">
        <v>1084</v>
      </c>
      <c r="D688" s="235" t="s">
        <v>1186</v>
      </c>
      <c r="E688" s="199">
        <v>1409.2</v>
      </c>
      <c r="F688" s="244">
        <f t="shared" si="21"/>
        <v>1.8940860215053763</v>
      </c>
      <c r="G688" s="172">
        <v>2.2000000000000002</v>
      </c>
      <c r="H688" s="208">
        <f t="shared" si="22"/>
        <v>0.30591397849462387</v>
      </c>
    </row>
    <row r="689" spans="1:8" ht="18" thickBot="1" x14ac:dyDescent="0.45">
      <c r="A689" s="234"/>
      <c r="B689" s="234" t="s">
        <v>955</v>
      </c>
      <c r="C689" s="233" t="s">
        <v>1085</v>
      </c>
      <c r="D689" s="235" t="s">
        <v>1187</v>
      </c>
      <c r="E689" s="199">
        <v>189.1</v>
      </c>
      <c r="F689" s="244">
        <f t="shared" si="21"/>
        <v>0.25416666666666665</v>
      </c>
      <c r="G689" s="172">
        <v>1.1000000000000001</v>
      </c>
      <c r="H689" s="208">
        <f t="shared" si="22"/>
        <v>0.84583333333333344</v>
      </c>
    </row>
    <row r="690" spans="1:8" ht="18" thickBot="1" x14ac:dyDescent="0.45">
      <c r="A690" s="234"/>
      <c r="B690" s="234" t="s">
        <v>956</v>
      </c>
      <c r="C690" s="241" t="s">
        <v>1086</v>
      </c>
      <c r="D690" s="235"/>
      <c r="E690" s="199">
        <v>900.69999999999993</v>
      </c>
      <c r="F690" s="244">
        <f t="shared" si="21"/>
        <v>1.2106182795698923</v>
      </c>
      <c r="G690" s="172">
        <v>2.2000000000000002</v>
      </c>
      <c r="H690" s="208">
        <f t="shared" si="22"/>
        <v>0.98938172043010786</v>
      </c>
    </row>
    <row r="691" spans="1:8" ht="18" thickBot="1" x14ac:dyDescent="0.45">
      <c r="A691" s="234"/>
      <c r="B691" s="234" t="s">
        <v>957</v>
      </c>
      <c r="C691" s="233" t="s">
        <v>1087</v>
      </c>
      <c r="D691" s="235" t="s">
        <v>1188</v>
      </c>
      <c r="E691" s="199">
        <v>193.8</v>
      </c>
      <c r="F691" s="244">
        <f t="shared" si="21"/>
        <v>0.26048387096774195</v>
      </c>
      <c r="G691" s="172">
        <v>0.55000000000000004</v>
      </c>
      <c r="H691" s="208">
        <f t="shared" si="22"/>
        <v>0.2895161290322581</v>
      </c>
    </row>
    <row r="692" spans="1:8" ht="18" thickBot="1" x14ac:dyDescent="0.45">
      <c r="A692" s="234"/>
      <c r="B692" s="234" t="s">
        <v>958</v>
      </c>
      <c r="C692" s="233" t="s">
        <v>1088</v>
      </c>
      <c r="D692" s="235" t="s">
        <v>1189</v>
      </c>
      <c r="E692" s="199">
        <v>211.1</v>
      </c>
      <c r="F692" s="244">
        <f t="shared" si="21"/>
        <v>0.28373655913978496</v>
      </c>
      <c r="G692" s="172">
        <v>2.2000000000000002</v>
      </c>
      <c r="H692" s="208">
        <f t="shared" si="22"/>
        <v>1.9162634408602153</v>
      </c>
    </row>
    <row r="693" spans="1:8" ht="18" thickBot="1" x14ac:dyDescent="0.45">
      <c r="A693" s="234"/>
      <c r="B693" s="234" t="s">
        <v>959</v>
      </c>
      <c r="C693" s="233" t="s">
        <v>1089</v>
      </c>
      <c r="D693" s="235" t="s">
        <v>1189</v>
      </c>
      <c r="E693" s="199">
        <v>1226</v>
      </c>
      <c r="F693" s="244">
        <f t="shared" si="21"/>
        <v>1.6478494623655915</v>
      </c>
      <c r="G693" s="172">
        <v>2.2000000000000002</v>
      </c>
      <c r="H693" s="208">
        <f t="shared" si="22"/>
        <v>0.55215053763440869</v>
      </c>
    </row>
    <row r="694" spans="1:8" ht="18" thickBot="1" x14ac:dyDescent="0.45">
      <c r="A694" s="234"/>
      <c r="B694" s="234" t="s">
        <v>960</v>
      </c>
      <c r="C694" s="241" t="s">
        <v>1090</v>
      </c>
      <c r="D694" s="235" t="s">
        <v>1190</v>
      </c>
      <c r="E694" s="199">
        <v>1095.3</v>
      </c>
      <c r="F694" s="244">
        <f t="shared" si="21"/>
        <v>1.4721774193548387</v>
      </c>
      <c r="G694" s="172">
        <v>1.1000000000000001</v>
      </c>
      <c r="H694" s="208">
        <f t="shared" si="22"/>
        <v>-0.37217741935483861</v>
      </c>
    </row>
    <row r="695" spans="1:8" ht="18" thickBot="1" x14ac:dyDescent="0.45">
      <c r="A695" s="234"/>
      <c r="B695" s="234" t="s">
        <v>961</v>
      </c>
      <c r="C695" s="241"/>
      <c r="D695" s="235" t="s">
        <v>1190</v>
      </c>
      <c r="E695" s="199">
        <v>1428.6</v>
      </c>
      <c r="F695" s="244">
        <f t="shared" si="21"/>
        <v>1.9201612903225804</v>
      </c>
      <c r="G695" s="172">
        <v>2.2000000000000002</v>
      </c>
      <c r="H695" s="208">
        <f t="shared" si="22"/>
        <v>0.27983870967741975</v>
      </c>
    </row>
    <row r="696" spans="1:8" ht="18" thickBot="1" x14ac:dyDescent="0.45">
      <c r="A696" s="234"/>
      <c r="B696" s="234" t="s">
        <v>456</v>
      </c>
      <c r="C696" s="153"/>
      <c r="D696" s="153"/>
      <c r="E696" s="199">
        <v>1263.3</v>
      </c>
      <c r="F696" s="244">
        <f t="shared" si="21"/>
        <v>1.6979838709677419</v>
      </c>
      <c r="G696" s="172">
        <v>0</v>
      </c>
      <c r="H696" s="208">
        <f t="shared" si="22"/>
        <v>-1.6979838709677419</v>
      </c>
    </row>
    <row r="697" spans="1:8" ht="18" thickBot="1" x14ac:dyDescent="0.45">
      <c r="A697" s="234"/>
      <c r="B697" s="234" t="s">
        <v>457</v>
      </c>
      <c r="C697" s="241" t="s">
        <v>1091</v>
      </c>
      <c r="D697" s="241"/>
      <c r="E697" s="199">
        <v>0</v>
      </c>
      <c r="F697" s="244">
        <f t="shared" si="21"/>
        <v>0</v>
      </c>
      <c r="G697" s="172">
        <v>0</v>
      </c>
      <c r="H697" s="208">
        <f t="shared" si="22"/>
        <v>0</v>
      </c>
    </row>
    <row r="698" spans="1:8" ht="18" thickBot="1" x14ac:dyDescent="0.45">
      <c r="A698" s="234"/>
      <c r="B698" s="234" t="s">
        <v>458</v>
      </c>
      <c r="C698" s="241" t="s">
        <v>1092</v>
      </c>
      <c r="D698" s="241"/>
      <c r="E698" s="199">
        <v>0</v>
      </c>
      <c r="F698" s="244">
        <f t="shared" si="21"/>
        <v>0</v>
      </c>
      <c r="G698" s="172">
        <v>0</v>
      </c>
      <c r="H698" s="208">
        <f t="shared" si="22"/>
        <v>0</v>
      </c>
    </row>
    <row r="699" spans="1:8" ht="18" thickBot="1" x14ac:dyDescent="0.45">
      <c r="A699" s="234"/>
      <c r="B699" s="234" t="s">
        <v>459</v>
      </c>
      <c r="C699" s="241" t="s">
        <v>1093</v>
      </c>
      <c r="D699" s="241"/>
      <c r="E699" s="199">
        <v>0</v>
      </c>
      <c r="F699" s="244">
        <f t="shared" si="21"/>
        <v>0</v>
      </c>
      <c r="G699" s="172">
        <v>0</v>
      </c>
      <c r="H699" s="208">
        <f t="shared" si="22"/>
        <v>0</v>
      </c>
    </row>
    <row r="700" spans="1:8" ht="18" thickBot="1" x14ac:dyDescent="0.45">
      <c r="A700" s="234"/>
      <c r="B700" s="234" t="s">
        <v>460</v>
      </c>
      <c r="C700" s="241" t="s">
        <v>1094</v>
      </c>
      <c r="D700" s="241"/>
      <c r="E700" s="199">
        <v>0</v>
      </c>
      <c r="F700" s="244">
        <f t="shared" si="21"/>
        <v>0</v>
      </c>
      <c r="G700" s="172">
        <v>0</v>
      </c>
      <c r="H700" s="208">
        <f t="shared" si="22"/>
        <v>0</v>
      </c>
    </row>
    <row r="701" spans="1:8" ht="18" thickBot="1" x14ac:dyDescent="0.45">
      <c r="A701" s="234"/>
      <c r="B701" s="234" t="s">
        <v>461</v>
      </c>
      <c r="C701" s="241" t="s">
        <v>1095</v>
      </c>
      <c r="D701" s="241"/>
      <c r="E701" s="199">
        <v>0</v>
      </c>
      <c r="F701" s="244">
        <f t="shared" si="21"/>
        <v>0</v>
      </c>
      <c r="G701" s="172">
        <v>0</v>
      </c>
      <c r="H701" s="208">
        <f t="shared" si="22"/>
        <v>0</v>
      </c>
    </row>
    <row r="702" spans="1:8" ht="18" thickBot="1" x14ac:dyDescent="0.45">
      <c r="A702" s="234"/>
      <c r="B702" s="234" t="s">
        <v>462</v>
      </c>
      <c r="C702" s="241" t="s">
        <v>1096</v>
      </c>
      <c r="D702" s="241"/>
      <c r="E702" s="199">
        <v>0</v>
      </c>
      <c r="F702" s="244">
        <f t="shared" si="21"/>
        <v>0</v>
      </c>
      <c r="G702" s="172">
        <v>0</v>
      </c>
      <c r="H702" s="208">
        <f t="shared" si="22"/>
        <v>0</v>
      </c>
    </row>
    <row r="703" spans="1:8" ht="18" thickBot="1" x14ac:dyDescent="0.45">
      <c r="A703" s="234"/>
      <c r="B703" s="234" t="s">
        <v>463</v>
      </c>
      <c r="C703" s="241" t="s">
        <v>1097</v>
      </c>
      <c r="D703" s="241"/>
      <c r="E703" s="199">
        <v>0</v>
      </c>
      <c r="F703" s="244">
        <f t="shared" si="21"/>
        <v>0</v>
      </c>
      <c r="G703" s="172">
        <v>0</v>
      </c>
      <c r="H703" s="208">
        <f t="shared" si="22"/>
        <v>0</v>
      </c>
    </row>
    <row r="704" spans="1:8" ht="18" thickBot="1" x14ac:dyDescent="0.45">
      <c r="A704" s="234"/>
      <c r="B704" s="234" t="s">
        <v>464</v>
      </c>
      <c r="C704" s="241" t="s">
        <v>1098</v>
      </c>
      <c r="D704" s="241"/>
      <c r="E704" s="199">
        <v>0</v>
      </c>
      <c r="F704" s="244">
        <f t="shared" si="21"/>
        <v>0</v>
      </c>
      <c r="G704" s="172">
        <v>0</v>
      </c>
      <c r="H704" s="208">
        <f t="shared" si="22"/>
        <v>0</v>
      </c>
    </row>
    <row r="705" spans="1:8" ht="18" thickBot="1" x14ac:dyDescent="0.45">
      <c r="A705" s="234"/>
      <c r="B705" s="234" t="s">
        <v>465</v>
      </c>
      <c r="C705" s="241" t="s">
        <v>1099</v>
      </c>
      <c r="D705" s="241"/>
      <c r="E705" s="199">
        <v>0</v>
      </c>
      <c r="F705" s="244">
        <f t="shared" si="21"/>
        <v>0</v>
      </c>
      <c r="G705" s="172">
        <v>0</v>
      </c>
      <c r="H705" s="208">
        <f t="shared" si="22"/>
        <v>0</v>
      </c>
    </row>
    <row r="706" spans="1:8" ht="18" thickBot="1" x14ac:dyDescent="0.45">
      <c r="A706" s="234"/>
      <c r="B706" s="234" t="s">
        <v>962</v>
      </c>
      <c r="C706" s="153"/>
      <c r="D706" s="153"/>
      <c r="E706" s="199">
        <v>0</v>
      </c>
      <c r="F706" s="244">
        <f t="shared" si="21"/>
        <v>0</v>
      </c>
      <c r="G706" s="172">
        <v>0</v>
      </c>
      <c r="H706" s="208">
        <f t="shared" si="22"/>
        <v>0</v>
      </c>
    </row>
    <row r="707" spans="1:8" ht="18" thickBot="1" x14ac:dyDescent="0.45">
      <c r="A707" s="234"/>
      <c r="B707" s="234" t="s">
        <v>433</v>
      </c>
      <c r="C707" s="153"/>
      <c r="D707" s="153"/>
      <c r="E707" s="199">
        <v>0</v>
      </c>
      <c r="F707" s="244">
        <f t="shared" si="21"/>
        <v>0</v>
      </c>
      <c r="G707" s="172">
        <v>0</v>
      </c>
      <c r="H707" s="208">
        <f t="shared" si="22"/>
        <v>0</v>
      </c>
    </row>
    <row r="708" spans="1:8" ht="18" thickBot="1" x14ac:dyDescent="0.45">
      <c r="A708" s="234"/>
      <c r="B708" s="234" t="s">
        <v>434</v>
      </c>
      <c r="C708" s="241" t="s">
        <v>1100</v>
      </c>
      <c r="D708" s="241"/>
      <c r="E708" s="199">
        <v>0</v>
      </c>
      <c r="F708" s="244">
        <f t="shared" si="21"/>
        <v>0</v>
      </c>
      <c r="G708" s="172">
        <v>0</v>
      </c>
      <c r="H708" s="208">
        <f t="shared" si="22"/>
        <v>0</v>
      </c>
    </row>
    <row r="709" spans="1:8" ht="18" thickBot="1" x14ac:dyDescent="0.45">
      <c r="A709" s="234"/>
      <c r="B709" s="234" t="s">
        <v>435</v>
      </c>
      <c r="C709" s="241" t="s">
        <v>1101</v>
      </c>
      <c r="D709" s="241"/>
      <c r="E709" s="199">
        <v>0</v>
      </c>
      <c r="F709" s="244">
        <f t="shared" ref="F709:F772" si="23">E709/(24*31)</f>
        <v>0</v>
      </c>
      <c r="G709" s="172">
        <v>0</v>
      </c>
      <c r="H709" s="208">
        <f t="shared" ref="H709:H772" si="24">IFERROR(G709-F709, "")</f>
        <v>0</v>
      </c>
    </row>
    <row r="710" spans="1:8" ht="18" thickBot="1" x14ac:dyDescent="0.45">
      <c r="A710" s="234"/>
      <c r="B710" s="234" t="s">
        <v>436</v>
      </c>
      <c r="C710" s="241" t="s">
        <v>1102</v>
      </c>
      <c r="D710" s="241"/>
      <c r="E710" s="199">
        <v>0</v>
      </c>
      <c r="F710" s="244">
        <f t="shared" si="23"/>
        <v>0</v>
      </c>
      <c r="G710" s="172">
        <v>0</v>
      </c>
      <c r="H710" s="208">
        <f t="shared" si="24"/>
        <v>0</v>
      </c>
    </row>
    <row r="711" spans="1:8" ht="18" thickBot="1" x14ac:dyDescent="0.45">
      <c r="A711" s="234"/>
      <c r="B711" s="234" t="s">
        <v>437</v>
      </c>
      <c r="C711" s="241" t="s">
        <v>1103</v>
      </c>
      <c r="D711" s="241"/>
      <c r="E711" s="199">
        <v>0</v>
      </c>
      <c r="F711" s="244">
        <f t="shared" si="23"/>
        <v>0</v>
      </c>
      <c r="G711" s="172">
        <v>0</v>
      </c>
      <c r="H711" s="208">
        <f t="shared" si="24"/>
        <v>0</v>
      </c>
    </row>
    <row r="712" spans="1:8" ht="18" thickBot="1" x14ac:dyDescent="0.45">
      <c r="A712" s="234"/>
      <c r="B712" s="234" t="s">
        <v>438</v>
      </c>
      <c r="C712" s="241" t="s">
        <v>1104</v>
      </c>
      <c r="D712" s="241"/>
      <c r="E712" s="199">
        <v>0</v>
      </c>
      <c r="F712" s="244">
        <f t="shared" si="23"/>
        <v>0</v>
      </c>
      <c r="G712" s="172">
        <v>0</v>
      </c>
      <c r="H712" s="208">
        <f t="shared" si="24"/>
        <v>0</v>
      </c>
    </row>
    <row r="713" spans="1:8" ht="18" thickBot="1" x14ac:dyDescent="0.45">
      <c r="A713" s="234"/>
      <c r="B713" s="234" t="s">
        <v>439</v>
      </c>
      <c r="C713" s="241" t="s">
        <v>1105</v>
      </c>
      <c r="D713" s="241"/>
      <c r="E713" s="199">
        <v>0</v>
      </c>
      <c r="F713" s="244">
        <f t="shared" si="23"/>
        <v>0</v>
      </c>
      <c r="G713" s="172">
        <v>0</v>
      </c>
      <c r="H713" s="208">
        <f t="shared" si="24"/>
        <v>0</v>
      </c>
    </row>
    <row r="714" spans="1:8" ht="18" thickBot="1" x14ac:dyDescent="0.45">
      <c r="A714" s="234"/>
      <c r="B714" s="234" t="s">
        <v>440</v>
      </c>
      <c r="C714" s="218" t="s">
        <v>1106</v>
      </c>
      <c r="D714" s="241"/>
      <c r="E714" s="199">
        <v>0</v>
      </c>
      <c r="F714" s="244">
        <f t="shared" si="23"/>
        <v>0</v>
      </c>
      <c r="G714" s="172">
        <v>0</v>
      </c>
      <c r="H714" s="208">
        <f t="shared" si="24"/>
        <v>0</v>
      </c>
    </row>
    <row r="715" spans="1:8" ht="18" thickBot="1" x14ac:dyDescent="0.45">
      <c r="A715" s="234"/>
      <c r="B715" s="234" t="s">
        <v>441</v>
      </c>
      <c r="C715" s="218" t="s">
        <v>1107</v>
      </c>
      <c r="D715" s="241"/>
      <c r="E715" s="199">
        <v>0</v>
      </c>
      <c r="F715" s="244">
        <f t="shared" si="23"/>
        <v>0</v>
      </c>
      <c r="G715" s="172">
        <v>0</v>
      </c>
      <c r="H715" s="208">
        <f t="shared" si="24"/>
        <v>0</v>
      </c>
    </row>
    <row r="716" spans="1:8" ht="18" thickBot="1" x14ac:dyDescent="0.45">
      <c r="A716" s="234"/>
      <c r="B716" s="234" t="s">
        <v>442</v>
      </c>
      <c r="C716" s="218" t="s">
        <v>1108</v>
      </c>
      <c r="D716" s="241"/>
      <c r="E716" s="199">
        <v>0</v>
      </c>
      <c r="F716" s="244">
        <f t="shared" si="23"/>
        <v>0</v>
      </c>
      <c r="G716" s="172">
        <v>0</v>
      </c>
      <c r="H716" s="208">
        <f t="shared" si="24"/>
        <v>0</v>
      </c>
    </row>
    <row r="717" spans="1:8" ht="18" thickBot="1" x14ac:dyDescent="0.45">
      <c r="A717" s="234"/>
      <c r="B717" s="234" t="s">
        <v>422</v>
      </c>
      <c r="C717" s="153"/>
      <c r="D717" s="153"/>
      <c r="E717" s="199">
        <v>0</v>
      </c>
      <c r="F717" s="244">
        <f t="shared" si="23"/>
        <v>0</v>
      </c>
      <c r="G717" s="172">
        <v>0</v>
      </c>
      <c r="H717" s="208">
        <f t="shared" si="24"/>
        <v>0</v>
      </c>
    </row>
    <row r="718" spans="1:8" ht="18" thickBot="1" x14ac:dyDescent="0.45">
      <c r="A718" s="234"/>
      <c r="B718" s="234" t="s">
        <v>423</v>
      </c>
      <c r="C718" s="218" t="s">
        <v>1109</v>
      </c>
      <c r="D718" s="241"/>
      <c r="E718" s="199">
        <v>0</v>
      </c>
      <c r="F718" s="244">
        <f t="shared" si="23"/>
        <v>0</v>
      </c>
      <c r="G718" s="172">
        <v>0</v>
      </c>
      <c r="H718" s="208">
        <f t="shared" si="24"/>
        <v>0</v>
      </c>
    </row>
    <row r="719" spans="1:8" ht="18" thickBot="1" x14ac:dyDescent="0.45">
      <c r="A719" s="234"/>
      <c r="B719" s="234" t="s">
        <v>424</v>
      </c>
      <c r="C719" s="218" t="s">
        <v>1110</v>
      </c>
      <c r="D719" s="241"/>
      <c r="E719" s="199">
        <v>0</v>
      </c>
      <c r="F719" s="244">
        <f t="shared" si="23"/>
        <v>0</v>
      </c>
      <c r="G719" s="172">
        <v>0</v>
      </c>
      <c r="H719" s="208">
        <f t="shared" si="24"/>
        <v>0</v>
      </c>
    </row>
    <row r="720" spans="1:8" ht="18" thickBot="1" x14ac:dyDescent="0.45">
      <c r="A720" s="234"/>
      <c r="B720" s="234" t="s">
        <v>425</v>
      </c>
      <c r="C720" s="218" t="s">
        <v>1111</v>
      </c>
      <c r="D720" s="241"/>
      <c r="E720" s="199">
        <v>0</v>
      </c>
      <c r="F720" s="244">
        <f t="shared" si="23"/>
        <v>0</v>
      </c>
      <c r="G720" s="172">
        <v>0</v>
      </c>
      <c r="H720" s="208">
        <f t="shared" si="24"/>
        <v>0</v>
      </c>
    </row>
    <row r="721" spans="1:8" ht="18" thickBot="1" x14ac:dyDescent="0.45">
      <c r="A721" s="234"/>
      <c r="B721" s="234" t="s">
        <v>426</v>
      </c>
      <c r="C721" s="218" t="s">
        <v>1112</v>
      </c>
      <c r="D721" s="241"/>
      <c r="E721" s="199">
        <v>0</v>
      </c>
      <c r="F721" s="244">
        <f t="shared" si="23"/>
        <v>0</v>
      </c>
      <c r="G721" s="172">
        <v>0</v>
      </c>
      <c r="H721" s="208">
        <f t="shared" si="24"/>
        <v>0</v>
      </c>
    </row>
    <row r="722" spans="1:8" ht="18" thickBot="1" x14ac:dyDescent="0.45">
      <c r="A722" s="234"/>
      <c r="B722" s="234" t="s">
        <v>427</v>
      </c>
      <c r="C722" s="241" t="s">
        <v>1113</v>
      </c>
      <c r="D722" s="235"/>
      <c r="E722" s="199">
        <v>0</v>
      </c>
      <c r="F722" s="244">
        <f t="shared" si="23"/>
        <v>0</v>
      </c>
      <c r="G722" s="172">
        <v>0</v>
      </c>
      <c r="H722" s="208">
        <f t="shared" si="24"/>
        <v>0</v>
      </c>
    </row>
    <row r="723" spans="1:8" ht="18" thickBot="1" x14ac:dyDescent="0.45">
      <c r="A723" s="234"/>
      <c r="B723" s="234" t="s">
        <v>428</v>
      </c>
      <c r="C723" s="241" t="s">
        <v>1114</v>
      </c>
      <c r="D723" s="235"/>
      <c r="E723" s="199">
        <v>0</v>
      </c>
      <c r="F723" s="244">
        <f t="shared" si="23"/>
        <v>0</v>
      </c>
      <c r="G723" s="172">
        <v>0</v>
      </c>
      <c r="H723" s="208">
        <f t="shared" si="24"/>
        <v>0</v>
      </c>
    </row>
    <row r="724" spans="1:8" ht="18" thickBot="1" x14ac:dyDescent="0.45">
      <c r="A724" s="234"/>
      <c r="B724" s="234" t="s">
        <v>429</v>
      </c>
      <c r="C724" s="218" t="s">
        <v>1115</v>
      </c>
      <c r="D724" s="241"/>
      <c r="E724" s="199">
        <v>0</v>
      </c>
      <c r="F724" s="244">
        <f t="shared" si="23"/>
        <v>0</v>
      </c>
      <c r="G724" s="172">
        <v>0</v>
      </c>
      <c r="H724" s="208">
        <f t="shared" si="24"/>
        <v>0</v>
      </c>
    </row>
    <row r="725" spans="1:8" ht="18" thickBot="1" x14ac:dyDescent="0.45">
      <c r="A725" s="234"/>
      <c r="B725" s="234" t="s">
        <v>430</v>
      </c>
      <c r="C725" s="218" t="s">
        <v>1116</v>
      </c>
      <c r="D725" s="241"/>
      <c r="E725" s="199">
        <v>0</v>
      </c>
      <c r="F725" s="244">
        <f t="shared" si="23"/>
        <v>0</v>
      </c>
      <c r="G725" s="172">
        <v>0</v>
      </c>
      <c r="H725" s="208">
        <f t="shared" si="24"/>
        <v>0</v>
      </c>
    </row>
    <row r="726" spans="1:8" ht="18" thickBot="1" x14ac:dyDescent="0.45">
      <c r="A726" s="234"/>
      <c r="B726" s="234" t="s">
        <v>431</v>
      </c>
      <c r="C726" s="218" t="s">
        <v>1117</v>
      </c>
      <c r="D726" s="241"/>
      <c r="E726" s="199">
        <v>0</v>
      </c>
      <c r="F726" s="244">
        <f t="shared" si="23"/>
        <v>0</v>
      </c>
      <c r="G726" s="172">
        <v>0</v>
      </c>
      <c r="H726" s="208">
        <f t="shared" si="24"/>
        <v>0</v>
      </c>
    </row>
    <row r="727" spans="1:8" ht="18" thickBot="1" x14ac:dyDescent="0.45">
      <c r="A727" s="234"/>
      <c r="B727" s="234" t="s">
        <v>412</v>
      </c>
      <c r="C727" s="153"/>
      <c r="D727" s="153"/>
      <c r="E727" s="199">
        <v>0</v>
      </c>
      <c r="F727" s="244">
        <f t="shared" si="23"/>
        <v>0</v>
      </c>
      <c r="G727" s="172">
        <v>0</v>
      </c>
      <c r="H727" s="208">
        <f t="shared" si="24"/>
        <v>0</v>
      </c>
    </row>
    <row r="728" spans="1:8" ht="18" thickBot="1" x14ac:dyDescent="0.45">
      <c r="A728" s="234"/>
      <c r="B728" s="234" t="s">
        <v>413</v>
      </c>
      <c r="C728" s="218" t="s">
        <v>1118</v>
      </c>
      <c r="D728" s="241"/>
      <c r="E728" s="199">
        <v>0</v>
      </c>
      <c r="F728" s="244">
        <f t="shared" si="23"/>
        <v>0</v>
      </c>
      <c r="G728" s="172">
        <v>0</v>
      </c>
      <c r="H728" s="208">
        <f t="shared" si="24"/>
        <v>0</v>
      </c>
    </row>
    <row r="729" spans="1:8" ht="18" thickBot="1" x14ac:dyDescent="0.45">
      <c r="A729" s="234"/>
      <c r="B729" s="234" t="s">
        <v>414</v>
      </c>
      <c r="C729" s="218" t="s">
        <v>1119</v>
      </c>
      <c r="D729" s="241"/>
      <c r="E729" s="199">
        <v>0</v>
      </c>
      <c r="F729" s="244">
        <f t="shared" si="23"/>
        <v>0</v>
      </c>
      <c r="G729" s="172">
        <v>0</v>
      </c>
      <c r="H729" s="208">
        <f t="shared" si="24"/>
        <v>0</v>
      </c>
    </row>
    <row r="730" spans="1:8" ht="18" thickBot="1" x14ac:dyDescent="0.45">
      <c r="A730" s="234"/>
      <c r="B730" s="234" t="s">
        <v>415</v>
      </c>
      <c r="C730" s="218" t="s">
        <v>1120</v>
      </c>
      <c r="D730" s="241"/>
      <c r="E730" s="199">
        <v>0</v>
      </c>
      <c r="F730" s="244">
        <f t="shared" si="23"/>
        <v>0</v>
      </c>
      <c r="G730" s="172">
        <v>0</v>
      </c>
      <c r="H730" s="208">
        <f t="shared" si="24"/>
        <v>0</v>
      </c>
    </row>
    <row r="731" spans="1:8" ht="18" thickBot="1" x14ac:dyDescent="0.45">
      <c r="A731" s="234"/>
      <c r="B731" s="234"/>
      <c r="C731" s="218"/>
      <c r="D731" s="241"/>
      <c r="E731" s="199">
        <v>0</v>
      </c>
      <c r="F731" s="244">
        <f t="shared" si="23"/>
        <v>0</v>
      </c>
      <c r="G731" s="172" t="s">
        <v>1658</v>
      </c>
      <c r="H731" s="208" t="str">
        <f t="shared" si="24"/>
        <v/>
      </c>
    </row>
    <row r="732" spans="1:8" ht="18" thickBot="1" x14ac:dyDescent="0.45">
      <c r="A732" s="234"/>
      <c r="B732" s="234"/>
      <c r="C732" s="241"/>
      <c r="D732" s="241"/>
      <c r="E732" s="199">
        <v>0</v>
      </c>
      <c r="F732" s="244">
        <f t="shared" si="23"/>
        <v>0</v>
      </c>
      <c r="G732" s="172" t="s">
        <v>1658</v>
      </c>
      <c r="H732" s="208" t="str">
        <f t="shared" si="24"/>
        <v/>
      </c>
    </row>
    <row r="733" spans="1:8" ht="18" thickBot="1" x14ac:dyDescent="0.45">
      <c r="A733" s="234"/>
      <c r="B733" s="234" t="s">
        <v>963</v>
      </c>
      <c r="C733" s="241" t="s">
        <v>1121</v>
      </c>
      <c r="D733" s="241"/>
      <c r="E733" s="199">
        <v>0</v>
      </c>
      <c r="F733" s="244">
        <f t="shared" si="23"/>
        <v>0</v>
      </c>
      <c r="G733" s="172">
        <v>0</v>
      </c>
      <c r="H733" s="208">
        <f t="shared" si="24"/>
        <v>0</v>
      </c>
    </row>
    <row r="734" spans="1:8" ht="18" thickBot="1" x14ac:dyDescent="0.45">
      <c r="A734" s="234"/>
      <c r="B734" s="234"/>
      <c r="C734" s="218"/>
      <c r="D734" s="241"/>
      <c r="E734" s="199">
        <v>0</v>
      </c>
      <c r="F734" s="244">
        <f t="shared" si="23"/>
        <v>0</v>
      </c>
      <c r="G734" s="172" t="s">
        <v>1658</v>
      </c>
      <c r="H734" s="208" t="str">
        <f t="shared" si="24"/>
        <v/>
      </c>
    </row>
    <row r="735" spans="1:8" ht="18" thickBot="1" x14ac:dyDescent="0.45">
      <c r="A735" s="234"/>
      <c r="B735" s="234"/>
      <c r="C735" s="218"/>
      <c r="D735" s="241"/>
      <c r="E735" s="199">
        <v>0</v>
      </c>
      <c r="F735" s="244">
        <f t="shared" si="23"/>
        <v>0</v>
      </c>
      <c r="G735" s="172" t="s">
        <v>1658</v>
      </c>
      <c r="H735" s="208" t="str">
        <f t="shared" si="24"/>
        <v/>
      </c>
    </row>
    <row r="736" spans="1:8" ht="18" thickBot="1" x14ac:dyDescent="0.45">
      <c r="A736" s="234"/>
      <c r="B736" s="234" t="s">
        <v>964</v>
      </c>
      <c r="C736" s="218" t="s">
        <v>1122</v>
      </c>
      <c r="D736" s="241"/>
      <c r="E736" s="199">
        <v>0</v>
      </c>
      <c r="F736" s="244">
        <f t="shared" si="23"/>
        <v>0</v>
      </c>
      <c r="G736" s="172">
        <v>0</v>
      </c>
      <c r="H736" s="208">
        <f t="shared" si="24"/>
        <v>0</v>
      </c>
    </row>
    <row r="737" spans="1:8" ht="18" thickBot="1" x14ac:dyDescent="0.45">
      <c r="A737" s="234"/>
      <c r="B737" s="234" t="s">
        <v>418</v>
      </c>
      <c r="C737" s="218" t="s">
        <v>1123</v>
      </c>
      <c r="D737" s="241"/>
      <c r="E737" s="199">
        <v>0</v>
      </c>
      <c r="F737" s="244">
        <f t="shared" si="23"/>
        <v>0</v>
      </c>
      <c r="G737" s="172">
        <v>0</v>
      </c>
      <c r="H737" s="208">
        <f t="shared" si="24"/>
        <v>0</v>
      </c>
    </row>
    <row r="738" spans="1:8" ht="18" thickBot="1" x14ac:dyDescent="0.45">
      <c r="A738" s="234"/>
      <c r="B738" s="234" t="s">
        <v>419</v>
      </c>
      <c r="C738" s="218" t="s">
        <v>1124</v>
      </c>
      <c r="D738" s="241"/>
      <c r="E738" s="199">
        <v>0</v>
      </c>
      <c r="F738" s="244">
        <f t="shared" si="23"/>
        <v>0</v>
      </c>
      <c r="G738" s="172">
        <v>0</v>
      </c>
      <c r="H738" s="208">
        <f t="shared" si="24"/>
        <v>0</v>
      </c>
    </row>
    <row r="739" spans="1:8" ht="18" thickBot="1" x14ac:dyDescent="0.45">
      <c r="A739" s="234"/>
      <c r="B739" s="234" t="s">
        <v>420</v>
      </c>
      <c r="C739" s="218" t="s">
        <v>1125</v>
      </c>
      <c r="D739" s="241"/>
      <c r="E739" s="199">
        <v>0</v>
      </c>
      <c r="F739" s="244">
        <f t="shared" si="23"/>
        <v>0</v>
      </c>
      <c r="G739" s="172">
        <v>0</v>
      </c>
      <c r="H739" s="208">
        <f t="shared" si="24"/>
        <v>0</v>
      </c>
    </row>
    <row r="740" spans="1:8" ht="18" thickBot="1" x14ac:dyDescent="0.45">
      <c r="A740" s="234"/>
      <c r="B740" s="234" t="s">
        <v>421</v>
      </c>
      <c r="C740" s="218" t="s">
        <v>1126</v>
      </c>
      <c r="D740" s="241"/>
      <c r="E740" s="199">
        <v>0</v>
      </c>
      <c r="F740" s="244">
        <f t="shared" si="23"/>
        <v>0</v>
      </c>
      <c r="G740" s="172">
        <v>0</v>
      </c>
      <c r="H740" s="208">
        <f t="shared" si="24"/>
        <v>0</v>
      </c>
    </row>
    <row r="741" spans="1:8" ht="18" thickBot="1" x14ac:dyDescent="0.45">
      <c r="A741" s="234"/>
      <c r="B741" s="234" t="s">
        <v>402</v>
      </c>
      <c r="C741" s="153"/>
      <c r="D741" s="153"/>
      <c r="E741" s="199">
        <v>0</v>
      </c>
      <c r="F741" s="244">
        <f t="shared" si="23"/>
        <v>0</v>
      </c>
      <c r="G741" s="172">
        <v>0</v>
      </c>
      <c r="H741" s="208">
        <f t="shared" si="24"/>
        <v>0</v>
      </c>
    </row>
    <row r="742" spans="1:8" ht="18" thickBot="1" x14ac:dyDescent="0.45">
      <c r="A742" s="234"/>
      <c r="B742" s="234" t="s">
        <v>403</v>
      </c>
      <c r="C742" s="241" t="s">
        <v>1127</v>
      </c>
      <c r="D742" s="241"/>
      <c r="E742" s="199">
        <v>0</v>
      </c>
      <c r="F742" s="244">
        <f t="shared" si="23"/>
        <v>0</v>
      </c>
      <c r="G742" s="172">
        <v>0</v>
      </c>
      <c r="H742" s="208">
        <f t="shared" si="24"/>
        <v>0</v>
      </c>
    </row>
    <row r="743" spans="1:8" ht="18" thickBot="1" x14ac:dyDescent="0.45">
      <c r="A743" s="234"/>
      <c r="B743" s="234" t="s">
        <v>404</v>
      </c>
      <c r="C743" s="218" t="s">
        <v>1128</v>
      </c>
      <c r="D743" s="241"/>
      <c r="E743" s="199">
        <v>0</v>
      </c>
      <c r="F743" s="244">
        <f t="shared" si="23"/>
        <v>0</v>
      </c>
      <c r="G743" s="172">
        <v>0</v>
      </c>
      <c r="H743" s="208">
        <f t="shared" si="24"/>
        <v>0</v>
      </c>
    </row>
    <row r="744" spans="1:8" ht="18" thickBot="1" x14ac:dyDescent="0.45">
      <c r="A744" s="234"/>
      <c r="B744" s="234" t="s">
        <v>405</v>
      </c>
      <c r="C744" s="241" t="s">
        <v>1129</v>
      </c>
      <c r="D744" s="241"/>
      <c r="E744" s="199">
        <v>0</v>
      </c>
      <c r="F744" s="244">
        <f t="shared" si="23"/>
        <v>0</v>
      </c>
      <c r="G744" s="172">
        <v>0</v>
      </c>
      <c r="H744" s="208">
        <f t="shared" si="24"/>
        <v>0</v>
      </c>
    </row>
    <row r="745" spans="1:8" ht="18" thickBot="1" x14ac:dyDescent="0.45">
      <c r="A745" s="234"/>
      <c r="B745" s="234" t="s">
        <v>406</v>
      </c>
      <c r="C745" s="233" t="s">
        <v>1130</v>
      </c>
      <c r="D745" s="241"/>
      <c r="E745" s="199">
        <v>0</v>
      </c>
      <c r="F745" s="244">
        <f t="shared" si="23"/>
        <v>0</v>
      </c>
      <c r="G745" s="172">
        <v>0</v>
      </c>
      <c r="H745" s="208">
        <f t="shared" si="24"/>
        <v>0</v>
      </c>
    </row>
    <row r="746" spans="1:8" ht="18" thickBot="1" x14ac:dyDescent="0.45">
      <c r="A746" s="234"/>
      <c r="B746" s="234" t="s">
        <v>407</v>
      </c>
      <c r="C746" s="233" t="s">
        <v>1131</v>
      </c>
      <c r="D746" s="241"/>
      <c r="E746" s="199">
        <v>0</v>
      </c>
      <c r="F746" s="244">
        <f t="shared" si="23"/>
        <v>0</v>
      </c>
      <c r="G746" s="172">
        <v>0</v>
      </c>
      <c r="H746" s="208">
        <f t="shared" si="24"/>
        <v>0</v>
      </c>
    </row>
    <row r="747" spans="1:8" ht="18" thickBot="1" x14ac:dyDescent="0.45">
      <c r="A747" s="234"/>
      <c r="B747" s="234" t="s">
        <v>408</v>
      </c>
      <c r="C747" s="233" t="s">
        <v>1132</v>
      </c>
      <c r="D747" s="241"/>
      <c r="E747" s="199">
        <v>0</v>
      </c>
      <c r="F747" s="244">
        <f t="shared" si="23"/>
        <v>0</v>
      </c>
      <c r="G747" s="172">
        <v>0</v>
      </c>
      <c r="H747" s="208">
        <f t="shared" si="24"/>
        <v>0</v>
      </c>
    </row>
    <row r="748" spans="1:8" ht="18" thickBot="1" x14ac:dyDescent="0.45">
      <c r="A748" s="234"/>
      <c r="B748" s="234" t="s">
        <v>409</v>
      </c>
      <c r="C748" s="241" t="s">
        <v>1133</v>
      </c>
      <c r="D748" s="241"/>
      <c r="E748" s="199">
        <v>0</v>
      </c>
      <c r="F748" s="244">
        <f t="shared" si="23"/>
        <v>0</v>
      </c>
      <c r="G748" s="172">
        <v>0</v>
      </c>
      <c r="H748" s="208">
        <f t="shared" si="24"/>
        <v>0</v>
      </c>
    </row>
    <row r="749" spans="1:8" ht="18" thickBot="1" x14ac:dyDescent="0.45">
      <c r="A749" s="234"/>
      <c r="B749" s="234" t="s">
        <v>410</v>
      </c>
      <c r="C749" s="241" t="s">
        <v>1134</v>
      </c>
      <c r="D749" s="241"/>
      <c r="E749" s="199">
        <v>0</v>
      </c>
      <c r="F749" s="244">
        <f t="shared" si="23"/>
        <v>0</v>
      </c>
      <c r="G749" s="172">
        <v>0</v>
      </c>
      <c r="H749" s="208">
        <f t="shared" si="24"/>
        <v>0</v>
      </c>
    </row>
    <row r="750" spans="1:8" ht="18" thickBot="1" x14ac:dyDescent="0.45">
      <c r="A750" s="234"/>
      <c r="B750" s="234" t="s">
        <v>411</v>
      </c>
      <c r="C750" s="241" t="s">
        <v>1135</v>
      </c>
      <c r="D750" s="241"/>
      <c r="E750" s="199">
        <v>0</v>
      </c>
      <c r="F750" s="244">
        <f t="shared" si="23"/>
        <v>0</v>
      </c>
      <c r="G750" s="172">
        <v>0</v>
      </c>
      <c r="H750" s="208">
        <f t="shared" si="24"/>
        <v>0</v>
      </c>
    </row>
    <row r="751" spans="1:8" ht="18" thickBot="1" x14ac:dyDescent="0.45">
      <c r="A751" s="234"/>
      <c r="B751" s="234" t="s">
        <v>392</v>
      </c>
      <c r="C751" s="153"/>
      <c r="D751" s="153"/>
      <c r="E751" s="199">
        <v>0</v>
      </c>
      <c r="F751" s="244">
        <f t="shared" si="23"/>
        <v>0</v>
      </c>
      <c r="G751" s="172">
        <v>0</v>
      </c>
      <c r="H751" s="208">
        <f t="shared" si="24"/>
        <v>0</v>
      </c>
    </row>
    <row r="752" spans="1:8" ht="18" thickBot="1" x14ac:dyDescent="0.45">
      <c r="A752" s="234"/>
      <c r="B752" s="234" t="s">
        <v>393</v>
      </c>
      <c r="C752" s="241" t="s">
        <v>1136</v>
      </c>
      <c r="D752" s="241"/>
      <c r="E752" s="199">
        <v>0</v>
      </c>
      <c r="F752" s="244">
        <f t="shared" si="23"/>
        <v>0</v>
      </c>
      <c r="G752" s="172">
        <v>0</v>
      </c>
      <c r="H752" s="208">
        <f t="shared" si="24"/>
        <v>0</v>
      </c>
    </row>
    <row r="753" spans="1:8" ht="18" thickBot="1" x14ac:dyDescent="0.45">
      <c r="A753" s="234"/>
      <c r="B753" s="234" t="s">
        <v>394</v>
      </c>
      <c r="C753" s="241" t="s">
        <v>1137</v>
      </c>
      <c r="D753" s="241"/>
      <c r="E753" s="199">
        <v>0</v>
      </c>
      <c r="F753" s="244">
        <f t="shared" si="23"/>
        <v>0</v>
      </c>
      <c r="G753" s="172">
        <v>0</v>
      </c>
      <c r="H753" s="208">
        <f t="shared" si="24"/>
        <v>0</v>
      </c>
    </row>
    <row r="754" spans="1:8" ht="18" thickBot="1" x14ac:dyDescent="0.45">
      <c r="A754" s="234"/>
      <c r="B754" s="234" t="s">
        <v>395</v>
      </c>
      <c r="C754" s="241" t="s">
        <v>1138</v>
      </c>
      <c r="D754" s="241"/>
      <c r="E754" s="199">
        <v>0</v>
      </c>
      <c r="F754" s="244">
        <f t="shared" si="23"/>
        <v>0</v>
      </c>
      <c r="G754" s="172">
        <v>0</v>
      </c>
      <c r="H754" s="208">
        <f t="shared" si="24"/>
        <v>0</v>
      </c>
    </row>
    <row r="755" spans="1:8" ht="18" thickBot="1" x14ac:dyDescent="0.45">
      <c r="A755" s="234"/>
      <c r="B755" s="234" t="s">
        <v>396</v>
      </c>
      <c r="C755" s="241" t="s">
        <v>1139</v>
      </c>
      <c r="D755" s="241"/>
      <c r="E755" s="199">
        <v>0</v>
      </c>
      <c r="F755" s="244">
        <f t="shared" si="23"/>
        <v>0</v>
      </c>
      <c r="G755" s="172">
        <v>0</v>
      </c>
      <c r="H755" s="208">
        <f t="shared" si="24"/>
        <v>0</v>
      </c>
    </row>
    <row r="756" spans="1:8" ht="18" thickBot="1" x14ac:dyDescent="0.45">
      <c r="A756" s="234"/>
      <c r="B756" s="234" t="s">
        <v>397</v>
      </c>
      <c r="C756" s="241" t="s">
        <v>1140</v>
      </c>
      <c r="D756" s="241"/>
      <c r="E756" s="199">
        <v>0</v>
      </c>
      <c r="F756" s="244">
        <f t="shared" si="23"/>
        <v>0</v>
      </c>
      <c r="G756" s="172">
        <v>0</v>
      </c>
      <c r="H756" s="208">
        <f t="shared" si="24"/>
        <v>0</v>
      </c>
    </row>
    <row r="757" spans="1:8" ht="18" thickBot="1" x14ac:dyDescent="0.45">
      <c r="A757" s="234"/>
      <c r="B757" s="234" t="s">
        <v>398</v>
      </c>
      <c r="C757" s="241" t="s">
        <v>1141</v>
      </c>
      <c r="D757" s="241"/>
      <c r="E757" s="199">
        <v>0</v>
      </c>
      <c r="F757" s="244">
        <f t="shared" si="23"/>
        <v>0</v>
      </c>
      <c r="G757" s="172">
        <v>0</v>
      </c>
      <c r="H757" s="208">
        <f t="shared" si="24"/>
        <v>0</v>
      </c>
    </row>
    <row r="758" spans="1:8" ht="18" thickBot="1" x14ac:dyDescent="0.45">
      <c r="A758" s="234"/>
      <c r="B758" s="234" t="s">
        <v>399</v>
      </c>
      <c r="C758" s="241" t="s">
        <v>1142</v>
      </c>
      <c r="D758" s="241"/>
      <c r="E758" s="199">
        <v>0</v>
      </c>
      <c r="F758" s="244">
        <f t="shared" si="23"/>
        <v>0</v>
      </c>
      <c r="G758" s="172">
        <v>0</v>
      </c>
      <c r="H758" s="208">
        <f t="shared" si="24"/>
        <v>0</v>
      </c>
    </row>
    <row r="759" spans="1:8" ht="18" thickBot="1" x14ac:dyDescent="0.45">
      <c r="A759" s="234"/>
      <c r="B759" s="234" t="s">
        <v>400</v>
      </c>
      <c r="C759" s="241" t="s">
        <v>1143</v>
      </c>
      <c r="D759" s="241"/>
      <c r="E759" s="199">
        <v>0</v>
      </c>
      <c r="F759" s="244">
        <f t="shared" si="23"/>
        <v>0</v>
      </c>
      <c r="G759" s="172">
        <v>0</v>
      </c>
      <c r="H759" s="208">
        <f t="shared" si="24"/>
        <v>0</v>
      </c>
    </row>
    <row r="760" spans="1:8" ht="18" thickBot="1" x14ac:dyDescent="0.45">
      <c r="A760" s="234"/>
      <c r="B760" s="234" t="s">
        <v>401</v>
      </c>
      <c r="C760" s="241" t="s">
        <v>1144</v>
      </c>
      <c r="D760" s="241"/>
      <c r="E760" s="199">
        <v>0</v>
      </c>
      <c r="F760" s="244">
        <f t="shared" si="23"/>
        <v>0</v>
      </c>
      <c r="G760" s="172">
        <v>0</v>
      </c>
      <c r="H760" s="208">
        <f t="shared" si="24"/>
        <v>0</v>
      </c>
    </row>
    <row r="761" spans="1:8" ht="18" thickBot="1" x14ac:dyDescent="0.45">
      <c r="A761" s="184"/>
      <c r="B761" s="184"/>
      <c r="C761" s="241" t="s">
        <v>1145</v>
      </c>
      <c r="D761" s="241"/>
      <c r="E761" s="199">
        <v>0</v>
      </c>
      <c r="F761" s="244">
        <f t="shared" si="23"/>
        <v>0</v>
      </c>
      <c r="G761" s="172" t="s">
        <v>1658</v>
      </c>
      <c r="H761" s="208" t="str">
        <f t="shared" si="24"/>
        <v/>
      </c>
    </row>
    <row r="762" spans="1:8" ht="18" thickBot="1" x14ac:dyDescent="0.45">
      <c r="A762" s="184"/>
      <c r="B762" s="184"/>
      <c r="C762" s="241" t="s">
        <v>1146</v>
      </c>
      <c r="D762" s="241"/>
      <c r="E762" s="199">
        <v>0</v>
      </c>
      <c r="F762" s="244">
        <f t="shared" si="23"/>
        <v>0</v>
      </c>
      <c r="G762" s="172" t="s">
        <v>1658</v>
      </c>
      <c r="H762" s="208" t="str">
        <f t="shared" si="24"/>
        <v/>
      </c>
    </row>
    <row r="763" spans="1:8" ht="18" thickBot="1" x14ac:dyDescent="0.45">
      <c r="A763" s="184"/>
      <c r="B763" s="184"/>
      <c r="C763" s="241" t="s">
        <v>1147</v>
      </c>
      <c r="D763" s="241"/>
      <c r="E763" s="199">
        <v>0</v>
      </c>
      <c r="F763" s="244">
        <f t="shared" si="23"/>
        <v>0</v>
      </c>
      <c r="G763" s="172" t="s">
        <v>1658</v>
      </c>
      <c r="H763" s="208" t="str">
        <f t="shared" si="24"/>
        <v/>
      </c>
    </row>
    <row r="764" spans="1:8" ht="18" thickBot="1" x14ac:dyDescent="0.45">
      <c r="A764" s="184"/>
      <c r="B764" s="184"/>
      <c r="C764" s="241" t="s">
        <v>1148</v>
      </c>
      <c r="D764" s="241"/>
      <c r="E764" s="199">
        <v>0</v>
      </c>
      <c r="F764" s="244">
        <f t="shared" si="23"/>
        <v>0</v>
      </c>
      <c r="G764" s="172" t="s">
        <v>1658</v>
      </c>
      <c r="H764" s="208" t="str">
        <f t="shared" si="24"/>
        <v/>
      </c>
    </row>
    <row r="765" spans="1:8" ht="18" thickBot="1" x14ac:dyDescent="0.45">
      <c r="A765" s="184"/>
      <c r="B765" s="184"/>
      <c r="C765" s="241" t="s">
        <v>1149</v>
      </c>
      <c r="D765" s="241"/>
      <c r="E765" s="199">
        <v>0</v>
      </c>
      <c r="F765" s="244">
        <f t="shared" si="23"/>
        <v>0</v>
      </c>
      <c r="G765" s="172" t="s">
        <v>1658</v>
      </c>
      <c r="H765" s="208" t="str">
        <f t="shared" si="24"/>
        <v/>
      </c>
    </row>
    <row r="766" spans="1:8" ht="18" thickBot="1" x14ac:dyDescent="0.45">
      <c r="A766" s="184"/>
      <c r="B766" s="184"/>
      <c r="C766" s="241" t="s">
        <v>1150</v>
      </c>
      <c r="D766" s="241"/>
      <c r="E766" s="199">
        <v>0</v>
      </c>
      <c r="F766" s="244">
        <f t="shared" si="23"/>
        <v>0</v>
      </c>
      <c r="G766" s="172" t="s">
        <v>1658</v>
      </c>
      <c r="H766" s="208" t="str">
        <f t="shared" si="24"/>
        <v/>
      </c>
    </row>
    <row r="767" spans="1:8" ht="18" thickBot="1" x14ac:dyDescent="0.45">
      <c r="A767" s="184"/>
      <c r="B767" s="184"/>
      <c r="C767" s="153" t="s">
        <v>1151</v>
      </c>
      <c r="D767" s="153"/>
      <c r="E767" s="199">
        <v>0</v>
      </c>
      <c r="F767" s="244">
        <f t="shared" si="23"/>
        <v>0</v>
      </c>
      <c r="G767" s="172" t="s">
        <v>1658</v>
      </c>
      <c r="H767" s="208" t="str">
        <f t="shared" si="24"/>
        <v/>
      </c>
    </row>
    <row r="768" spans="1:8" ht="18" thickBot="1" x14ac:dyDescent="0.45">
      <c r="A768" s="184"/>
      <c r="B768" s="184"/>
      <c r="C768" s="153" t="s">
        <v>1152</v>
      </c>
      <c r="D768" s="153"/>
      <c r="E768" s="199">
        <v>0</v>
      </c>
      <c r="F768" s="244">
        <f t="shared" si="23"/>
        <v>0</v>
      </c>
      <c r="G768" s="172" t="s">
        <v>1658</v>
      </c>
      <c r="H768" s="208" t="str">
        <f t="shared" si="24"/>
        <v/>
      </c>
    </row>
    <row r="769" spans="1:8" ht="18" thickBot="1" x14ac:dyDescent="0.45">
      <c r="A769" s="184"/>
      <c r="B769" s="184"/>
      <c r="C769" s="153" t="s">
        <v>1153</v>
      </c>
      <c r="D769" s="153"/>
      <c r="E769" s="199">
        <v>0</v>
      </c>
      <c r="F769" s="244">
        <f t="shared" si="23"/>
        <v>0</v>
      </c>
      <c r="G769" s="172" t="s">
        <v>1658</v>
      </c>
      <c r="H769" s="208" t="str">
        <f t="shared" si="24"/>
        <v/>
      </c>
    </row>
    <row r="770" spans="1:8" ht="18" thickBot="1" x14ac:dyDescent="0.45">
      <c r="A770" s="234"/>
      <c r="B770" s="234" t="s">
        <v>487</v>
      </c>
      <c r="C770" s="233" t="s">
        <v>1154</v>
      </c>
      <c r="D770" s="235" t="s">
        <v>1191</v>
      </c>
      <c r="E770" s="199">
        <v>0</v>
      </c>
      <c r="F770" s="244">
        <f t="shared" si="23"/>
        <v>0</v>
      </c>
      <c r="G770" s="172">
        <v>2.2000000000000002</v>
      </c>
      <c r="H770" s="208">
        <f t="shared" si="24"/>
        <v>2.2000000000000002</v>
      </c>
    </row>
    <row r="771" spans="1:8" ht="18" thickBot="1" x14ac:dyDescent="0.45">
      <c r="A771" s="234"/>
      <c r="B771" s="234" t="s">
        <v>567</v>
      </c>
      <c r="C771" s="233" t="s">
        <v>1155</v>
      </c>
      <c r="D771" s="235" t="s">
        <v>1191</v>
      </c>
      <c r="E771" s="199">
        <v>420.20000000000005</v>
      </c>
      <c r="F771" s="244">
        <f t="shared" si="23"/>
        <v>0.56478494623655917</v>
      </c>
      <c r="G771" s="172">
        <v>2.2000000000000002</v>
      </c>
      <c r="H771" s="208">
        <f t="shared" si="24"/>
        <v>1.6352150537634409</v>
      </c>
    </row>
    <row r="772" spans="1:8" ht="18" thickBot="1" x14ac:dyDescent="0.45">
      <c r="A772" s="234"/>
      <c r="B772" s="234"/>
      <c r="C772" s="233"/>
      <c r="D772" s="235"/>
      <c r="E772" s="199">
        <v>324</v>
      </c>
      <c r="F772" s="244">
        <f t="shared" si="23"/>
        <v>0.43548387096774194</v>
      </c>
      <c r="G772" s="172" t="s">
        <v>1658</v>
      </c>
      <c r="H772" s="208" t="str">
        <f t="shared" si="24"/>
        <v/>
      </c>
    </row>
    <row r="773" spans="1:8" ht="18" thickBot="1" x14ac:dyDescent="0.45">
      <c r="A773" s="234"/>
      <c r="B773" s="234" t="s">
        <v>568</v>
      </c>
      <c r="C773" s="241" t="s">
        <v>1156</v>
      </c>
      <c r="D773" s="235" t="s">
        <v>1191</v>
      </c>
      <c r="E773" s="199">
        <v>0</v>
      </c>
      <c r="F773" s="244">
        <f t="shared" ref="F773:F836" si="25">E773/(24*31)</f>
        <v>0</v>
      </c>
      <c r="G773" s="172">
        <v>2.2000000000000002</v>
      </c>
      <c r="H773" s="208">
        <f t="shared" ref="H773:H836" si="26">IFERROR(G773-F773, "")</f>
        <v>2.2000000000000002</v>
      </c>
    </row>
    <row r="774" spans="1:8" ht="18" thickBot="1" x14ac:dyDescent="0.45">
      <c r="A774" s="234"/>
      <c r="B774" s="234" t="s">
        <v>572</v>
      </c>
      <c r="C774" s="233" t="s">
        <v>1157</v>
      </c>
      <c r="D774" s="235" t="s">
        <v>1192</v>
      </c>
      <c r="E774" s="199">
        <v>818.09999999999991</v>
      </c>
      <c r="F774" s="244">
        <f t="shared" si="25"/>
        <v>1.0995967741935482</v>
      </c>
      <c r="G774" s="172">
        <v>2.2000000000000002</v>
      </c>
      <c r="H774" s="208">
        <f t="shared" si="26"/>
        <v>1.100403225806452</v>
      </c>
    </row>
    <row r="775" spans="1:8" ht="18" thickBot="1" x14ac:dyDescent="0.45">
      <c r="A775" s="234"/>
      <c r="B775" s="234" t="s">
        <v>573</v>
      </c>
      <c r="C775" s="233" t="s">
        <v>1158</v>
      </c>
      <c r="D775" s="235" t="s">
        <v>1192</v>
      </c>
      <c r="E775" s="199">
        <v>1169.3</v>
      </c>
      <c r="F775" s="244">
        <f t="shared" si="25"/>
        <v>1.5716397849462365</v>
      </c>
      <c r="G775" s="172">
        <v>2.2000000000000002</v>
      </c>
      <c r="H775" s="208">
        <f t="shared" si="26"/>
        <v>0.62836021505376372</v>
      </c>
    </row>
    <row r="776" spans="1:8" ht="18" thickBot="1" x14ac:dyDescent="0.45">
      <c r="A776" s="234"/>
      <c r="B776" s="234" t="s">
        <v>574</v>
      </c>
      <c r="C776" s="233" t="s">
        <v>1159</v>
      </c>
      <c r="D776" s="235" t="s">
        <v>1192</v>
      </c>
      <c r="E776" s="199">
        <v>1194.9000000000001</v>
      </c>
      <c r="F776" s="244">
        <f t="shared" si="25"/>
        <v>1.6060483870967743</v>
      </c>
      <c r="G776" s="172">
        <v>2.2000000000000002</v>
      </c>
      <c r="H776" s="208">
        <f t="shared" si="26"/>
        <v>0.59395161290322585</v>
      </c>
    </row>
    <row r="777" spans="1:8" ht="18" thickBot="1" x14ac:dyDescent="0.45">
      <c r="A777" s="234"/>
      <c r="B777" s="234" t="s">
        <v>575</v>
      </c>
      <c r="C777" s="233" t="s">
        <v>1160</v>
      </c>
      <c r="D777" s="235" t="s">
        <v>1192</v>
      </c>
      <c r="E777" s="199">
        <v>2500.8000000000002</v>
      </c>
      <c r="F777" s="244">
        <f t="shared" si="25"/>
        <v>3.3612903225806452</v>
      </c>
      <c r="G777" s="172">
        <v>2.2000000000000002</v>
      </c>
      <c r="H777" s="208">
        <f t="shared" si="26"/>
        <v>-1.161290322580645</v>
      </c>
    </row>
    <row r="778" spans="1:8" ht="18" thickBot="1" x14ac:dyDescent="0.45">
      <c r="A778" s="234"/>
      <c r="B778" s="234" t="s">
        <v>965</v>
      </c>
      <c r="C778" s="233" t="s">
        <v>1161</v>
      </c>
      <c r="D778" s="235" t="s">
        <v>1192</v>
      </c>
      <c r="E778" s="199">
        <v>2760.4</v>
      </c>
      <c r="F778" s="244">
        <f t="shared" si="25"/>
        <v>3.7102150537634411</v>
      </c>
      <c r="G778" s="172">
        <v>2.2000000000000002</v>
      </c>
      <c r="H778" s="208">
        <f t="shared" si="26"/>
        <v>-1.5102150537634409</v>
      </c>
    </row>
    <row r="779" spans="1:8" ht="18" thickBot="1" x14ac:dyDescent="0.45">
      <c r="A779" s="234"/>
      <c r="B779" s="234" t="s">
        <v>966</v>
      </c>
      <c r="C779" s="233" t="s">
        <v>1162</v>
      </c>
      <c r="D779" s="235" t="s">
        <v>1192</v>
      </c>
      <c r="E779" s="199">
        <v>2016.4</v>
      </c>
      <c r="F779" s="244">
        <f t="shared" si="25"/>
        <v>2.7102150537634411</v>
      </c>
      <c r="G779" s="172">
        <v>2.2000000000000002</v>
      </c>
      <c r="H779" s="208">
        <f t="shared" si="26"/>
        <v>-0.5102150537634409</v>
      </c>
    </row>
    <row r="780" spans="1:8" ht="18" thickBot="1" x14ac:dyDescent="0.45">
      <c r="A780" s="234"/>
      <c r="B780" s="234" t="s">
        <v>967</v>
      </c>
      <c r="C780" s="233" t="s">
        <v>1163</v>
      </c>
      <c r="D780" s="235" t="s">
        <v>1192</v>
      </c>
      <c r="E780" s="199">
        <v>1541.5</v>
      </c>
      <c r="F780" s="244">
        <f t="shared" si="25"/>
        <v>2.0719086021505375</v>
      </c>
      <c r="G780" s="172">
        <v>2.2000000000000002</v>
      </c>
      <c r="H780" s="208">
        <f t="shared" si="26"/>
        <v>0.12809139784946266</v>
      </c>
    </row>
    <row r="781" spans="1:8" ht="18" thickBot="1" x14ac:dyDescent="0.45">
      <c r="A781" s="234"/>
      <c r="B781" s="234" t="s">
        <v>968</v>
      </c>
      <c r="C781" s="218" t="s">
        <v>1164</v>
      </c>
      <c r="D781" s="241"/>
      <c r="E781" s="199">
        <v>1635.7</v>
      </c>
      <c r="F781" s="244">
        <f t="shared" si="25"/>
        <v>2.1985215053763443</v>
      </c>
      <c r="G781" s="172">
        <v>2.2000000000000002</v>
      </c>
      <c r="H781" s="208">
        <f t="shared" si="26"/>
        <v>1.4784946236559016E-3</v>
      </c>
    </row>
    <row r="782" spans="1:8" ht="18" thickBot="1" x14ac:dyDescent="0.45">
      <c r="A782" s="191"/>
      <c r="B782" s="191"/>
      <c r="C782" s="218" t="s">
        <v>1165</v>
      </c>
      <c r="D782" s="232" t="s">
        <v>1193</v>
      </c>
      <c r="E782" s="199">
        <v>0</v>
      </c>
      <c r="F782" s="244">
        <f t="shared" si="25"/>
        <v>0</v>
      </c>
      <c r="G782" s="172" t="s">
        <v>1658</v>
      </c>
      <c r="H782" s="208" t="str">
        <f t="shared" si="26"/>
        <v/>
      </c>
    </row>
    <row r="783" spans="1:8" ht="18" thickBot="1" x14ac:dyDescent="0.45">
      <c r="A783" s="191"/>
      <c r="B783" s="191"/>
      <c r="C783" s="218" t="s">
        <v>1166</v>
      </c>
      <c r="D783" s="232"/>
      <c r="E783" s="199">
        <v>0</v>
      </c>
      <c r="F783" s="244">
        <f t="shared" si="25"/>
        <v>0</v>
      </c>
      <c r="G783" s="172" t="s">
        <v>1658</v>
      </c>
      <c r="H783" s="208" t="str">
        <f t="shared" si="26"/>
        <v/>
      </c>
    </row>
    <row r="784" spans="1:8" ht="18" thickBot="1" x14ac:dyDescent="0.45">
      <c r="A784" s="191"/>
      <c r="B784" s="191"/>
      <c r="C784" s="218" t="s">
        <v>1167</v>
      </c>
      <c r="D784" s="232"/>
      <c r="E784" s="199">
        <v>0</v>
      </c>
      <c r="F784" s="244">
        <f t="shared" si="25"/>
        <v>0</v>
      </c>
      <c r="G784" s="172" t="s">
        <v>1658</v>
      </c>
      <c r="H784" s="208" t="str">
        <f t="shared" si="26"/>
        <v/>
      </c>
    </row>
    <row r="785" spans="1:9" ht="18" thickBot="1" x14ac:dyDescent="0.45">
      <c r="A785" s="191"/>
      <c r="B785" s="191"/>
      <c r="C785" s="218" t="s">
        <v>1168</v>
      </c>
      <c r="D785" s="232"/>
      <c r="E785" s="199">
        <v>0</v>
      </c>
      <c r="F785" s="244">
        <f t="shared" si="25"/>
        <v>0</v>
      </c>
      <c r="G785" s="172" t="s">
        <v>1658</v>
      </c>
      <c r="H785" s="208" t="str">
        <f t="shared" si="26"/>
        <v/>
      </c>
    </row>
    <row r="786" spans="1:9" ht="18" thickBot="1" x14ac:dyDescent="0.45">
      <c r="A786" s="234"/>
      <c r="B786" s="234"/>
      <c r="C786" s="233" t="s">
        <v>1169</v>
      </c>
      <c r="D786" s="192" t="s">
        <v>768</v>
      </c>
      <c r="E786" s="199">
        <v>0</v>
      </c>
      <c r="F786" s="244">
        <f t="shared" si="25"/>
        <v>0</v>
      </c>
      <c r="G786" s="172" t="s">
        <v>1658</v>
      </c>
      <c r="H786" s="208" t="str">
        <f t="shared" si="26"/>
        <v/>
      </c>
    </row>
    <row r="787" spans="1:9" ht="18" thickBot="1" x14ac:dyDescent="0.45">
      <c r="A787" s="193"/>
      <c r="B787" s="193"/>
      <c r="C787" s="140" t="s">
        <v>1170</v>
      </c>
      <c r="D787" s="192" t="s">
        <v>768</v>
      </c>
      <c r="E787" s="199">
        <v>0</v>
      </c>
      <c r="F787" s="244">
        <f t="shared" si="25"/>
        <v>0</v>
      </c>
      <c r="G787" s="172" t="s">
        <v>1658</v>
      </c>
      <c r="H787" s="208" t="str">
        <f t="shared" si="26"/>
        <v/>
      </c>
    </row>
    <row r="788" spans="1:9" ht="18" thickBot="1" x14ac:dyDescent="0.45">
      <c r="A788" s="234"/>
      <c r="B788" s="234"/>
      <c r="C788" s="140" t="s">
        <v>1171</v>
      </c>
      <c r="D788" s="192" t="s">
        <v>768</v>
      </c>
      <c r="E788" s="199">
        <v>0</v>
      </c>
      <c r="F788" s="244">
        <f t="shared" si="25"/>
        <v>0</v>
      </c>
      <c r="G788" s="172" t="s">
        <v>1658</v>
      </c>
      <c r="H788" s="208" t="str">
        <f t="shared" si="26"/>
        <v/>
      </c>
    </row>
    <row r="789" spans="1:9" ht="18" thickBot="1" x14ac:dyDescent="0.45">
      <c r="A789" s="234"/>
      <c r="B789" s="234" t="s">
        <v>578</v>
      </c>
      <c r="C789" s="140" t="s">
        <v>1172</v>
      </c>
      <c r="D789" s="192" t="s">
        <v>768</v>
      </c>
      <c r="E789" s="199">
        <v>0</v>
      </c>
      <c r="F789" s="244">
        <f t="shared" si="25"/>
        <v>0</v>
      </c>
      <c r="G789" s="172">
        <v>2.2000000000000002</v>
      </c>
      <c r="H789" s="208">
        <f t="shared" si="26"/>
        <v>2.2000000000000002</v>
      </c>
      <c r="I789" s="148"/>
    </row>
    <row r="790" spans="1:9" ht="18" thickBot="1" x14ac:dyDescent="0.45">
      <c r="A790" s="180"/>
      <c r="B790" s="226" t="s">
        <v>1194</v>
      </c>
      <c r="C790" s="194"/>
      <c r="D790" s="194" t="s">
        <v>1338</v>
      </c>
      <c r="E790" s="199">
        <v>77.599999999999994</v>
      </c>
      <c r="F790" s="244">
        <f t="shared" si="25"/>
        <v>0.1043010752688172</v>
      </c>
      <c r="G790" s="181">
        <v>50</v>
      </c>
      <c r="H790" s="208">
        <f t="shared" si="26"/>
        <v>49.895698924731185</v>
      </c>
      <c r="I790" s="138" t="s">
        <v>1662</v>
      </c>
    </row>
    <row r="791" spans="1:9" ht="18" thickBot="1" x14ac:dyDescent="0.45">
      <c r="A791" s="182"/>
      <c r="B791" s="226"/>
      <c r="C791" s="226"/>
      <c r="D791" s="226" t="s">
        <v>1339</v>
      </c>
      <c r="E791" s="199">
        <v>0</v>
      </c>
      <c r="F791" s="244">
        <f t="shared" si="25"/>
        <v>0</v>
      </c>
      <c r="G791" s="172" t="s">
        <v>1658</v>
      </c>
      <c r="H791" s="208" t="str">
        <f t="shared" si="26"/>
        <v/>
      </c>
    </row>
    <row r="792" spans="1:9" ht="18" thickBot="1" x14ac:dyDescent="0.45">
      <c r="A792" s="182"/>
      <c r="B792" s="220"/>
      <c r="C792" s="220"/>
      <c r="D792" s="222" t="s">
        <v>1340</v>
      </c>
      <c r="E792" s="199">
        <v>0</v>
      </c>
      <c r="F792" s="244">
        <f t="shared" si="25"/>
        <v>0</v>
      </c>
      <c r="G792" s="172" t="s">
        <v>1658</v>
      </c>
      <c r="H792" s="208" t="str">
        <f t="shared" si="26"/>
        <v/>
      </c>
    </row>
    <row r="793" spans="1:9" ht="18" thickBot="1" x14ac:dyDescent="0.45">
      <c r="A793" s="182"/>
      <c r="B793" s="220" t="s">
        <v>1195</v>
      </c>
      <c r="C793" s="220"/>
      <c r="D793" s="222"/>
      <c r="E793" s="199">
        <v>0</v>
      </c>
      <c r="F793" s="244">
        <f t="shared" si="25"/>
        <v>0</v>
      </c>
      <c r="G793" s="172">
        <v>2.2000000000000002</v>
      </c>
      <c r="H793" s="208">
        <f t="shared" si="26"/>
        <v>2.2000000000000002</v>
      </c>
    </row>
    <row r="794" spans="1:9" ht="18" thickBot="1" x14ac:dyDescent="0.45">
      <c r="A794" s="182"/>
      <c r="B794" s="220" t="s">
        <v>888</v>
      </c>
      <c r="C794" s="221" t="s">
        <v>1456</v>
      </c>
      <c r="D794" s="220" t="s">
        <v>1341</v>
      </c>
      <c r="E794" s="199">
        <v>0</v>
      </c>
      <c r="F794" s="244">
        <f t="shared" si="25"/>
        <v>0</v>
      </c>
      <c r="G794" s="172">
        <v>0</v>
      </c>
      <c r="H794" s="208">
        <f t="shared" si="26"/>
        <v>0</v>
      </c>
    </row>
    <row r="795" spans="1:9" ht="18" thickBot="1" x14ac:dyDescent="0.45">
      <c r="A795" s="182"/>
      <c r="B795" s="220" t="s">
        <v>889</v>
      </c>
      <c r="C795" s="221" t="s">
        <v>1457</v>
      </c>
      <c r="D795" s="220" t="s">
        <v>1342</v>
      </c>
      <c r="E795" s="199">
        <v>0</v>
      </c>
      <c r="F795" s="244">
        <f t="shared" si="25"/>
        <v>0</v>
      </c>
      <c r="G795" s="172">
        <v>0</v>
      </c>
      <c r="H795" s="208">
        <f t="shared" si="26"/>
        <v>0</v>
      </c>
    </row>
    <row r="796" spans="1:9" ht="18" thickBot="1" x14ac:dyDescent="0.45">
      <c r="A796" s="182"/>
      <c r="B796" s="220" t="s">
        <v>890</v>
      </c>
      <c r="C796" s="221" t="s">
        <v>1458</v>
      </c>
      <c r="D796" s="220" t="s">
        <v>1343</v>
      </c>
      <c r="E796" s="199">
        <v>0</v>
      </c>
      <c r="F796" s="244">
        <f t="shared" si="25"/>
        <v>0</v>
      </c>
      <c r="G796" s="172">
        <v>0</v>
      </c>
      <c r="H796" s="208">
        <f t="shared" si="26"/>
        <v>0</v>
      </c>
    </row>
    <row r="797" spans="1:9" ht="18" thickBot="1" x14ac:dyDescent="0.45">
      <c r="A797" s="182"/>
      <c r="B797" s="220" t="s">
        <v>891</v>
      </c>
      <c r="C797" s="221" t="s">
        <v>1459</v>
      </c>
      <c r="D797" s="220" t="s">
        <v>1344</v>
      </c>
      <c r="E797" s="199">
        <v>0</v>
      </c>
      <c r="F797" s="244">
        <f t="shared" si="25"/>
        <v>0</v>
      </c>
      <c r="G797" s="172">
        <v>0</v>
      </c>
      <c r="H797" s="208">
        <f t="shared" si="26"/>
        <v>0</v>
      </c>
    </row>
    <row r="798" spans="1:9" ht="18" thickBot="1" x14ac:dyDescent="0.45">
      <c r="A798" s="182"/>
      <c r="B798" s="220"/>
      <c r="C798" s="158" t="s">
        <v>1460</v>
      </c>
      <c r="D798" s="158"/>
      <c r="E798" s="199">
        <v>0</v>
      </c>
      <c r="F798" s="244">
        <f t="shared" si="25"/>
        <v>0</v>
      </c>
      <c r="G798" s="172" t="s">
        <v>1658</v>
      </c>
      <c r="H798" s="208" t="str">
        <f t="shared" si="26"/>
        <v/>
      </c>
    </row>
    <row r="799" spans="1:9" ht="18" thickBot="1" x14ac:dyDescent="0.45">
      <c r="A799" s="182"/>
      <c r="B799" s="220"/>
      <c r="C799" s="159" t="s">
        <v>1461</v>
      </c>
      <c r="D799" s="159"/>
      <c r="E799" s="199">
        <v>0</v>
      </c>
      <c r="F799" s="244">
        <f t="shared" si="25"/>
        <v>0</v>
      </c>
      <c r="G799" s="172" t="s">
        <v>1658</v>
      </c>
      <c r="H799" s="208" t="str">
        <f t="shared" si="26"/>
        <v/>
      </c>
    </row>
    <row r="800" spans="1:9" ht="18" thickBot="1" x14ac:dyDescent="0.45">
      <c r="A800" s="182"/>
      <c r="B800" s="220"/>
      <c r="C800" s="159" t="s">
        <v>1462</v>
      </c>
      <c r="D800" s="159"/>
      <c r="E800" s="199">
        <v>0</v>
      </c>
      <c r="F800" s="244">
        <f t="shared" si="25"/>
        <v>0</v>
      </c>
      <c r="G800" s="172" t="s">
        <v>1658</v>
      </c>
      <c r="H800" s="208" t="str">
        <f t="shared" si="26"/>
        <v/>
      </c>
    </row>
    <row r="801" spans="1:8" ht="18" thickBot="1" x14ac:dyDescent="0.45">
      <c r="A801" s="182"/>
      <c r="B801" s="220" t="s">
        <v>896</v>
      </c>
      <c r="C801" s="221" t="s">
        <v>1463</v>
      </c>
      <c r="D801" s="220" t="s">
        <v>1345</v>
      </c>
      <c r="E801" s="199">
        <v>0</v>
      </c>
      <c r="F801" s="244">
        <f t="shared" si="25"/>
        <v>0</v>
      </c>
      <c r="G801" s="172">
        <v>0</v>
      </c>
      <c r="H801" s="208">
        <f t="shared" si="26"/>
        <v>0</v>
      </c>
    </row>
    <row r="802" spans="1:8" ht="18" thickBot="1" x14ac:dyDescent="0.45">
      <c r="A802" s="182"/>
      <c r="B802" s="220" t="s">
        <v>897</v>
      </c>
      <c r="C802" s="221" t="s">
        <v>1464</v>
      </c>
      <c r="D802" s="220" t="s">
        <v>1346</v>
      </c>
      <c r="E802" s="199">
        <v>0</v>
      </c>
      <c r="F802" s="244">
        <f t="shared" si="25"/>
        <v>0</v>
      </c>
      <c r="G802" s="172">
        <v>0</v>
      </c>
      <c r="H802" s="208">
        <f t="shared" si="26"/>
        <v>0</v>
      </c>
    </row>
    <row r="803" spans="1:8" ht="18" thickBot="1" x14ac:dyDescent="0.45">
      <c r="A803" s="182"/>
      <c r="B803" s="220" t="s">
        <v>898</v>
      </c>
      <c r="C803" s="221" t="s">
        <v>1465</v>
      </c>
      <c r="D803" s="220" t="s">
        <v>1347</v>
      </c>
      <c r="E803" s="199">
        <v>0</v>
      </c>
      <c r="F803" s="244">
        <f t="shared" si="25"/>
        <v>0</v>
      </c>
      <c r="G803" s="172">
        <v>0</v>
      </c>
      <c r="H803" s="208">
        <f t="shared" si="26"/>
        <v>0</v>
      </c>
    </row>
    <row r="804" spans="1:8" ht="18" thickBot="1" x14ac:dyDescent="0.45">
      <c r="A804" s="182"/>
      <c r="B804" s="220"/>
      <c r="C804" s="221"/>
      <c r="D804" s="160" t="s">
        <v>1348</v>
      </c>
      <c r="E804" s="199">
        <v>0</v>
      </c>
      <c r="F804" s="244">
        <f t="shared" si="25"/>
        <v>0</v>
      </c>
      <c r="G804" s="172" t="s">
        <v>1658</v>
      </c>
      <c r="H804" s="208" t="str">
        <f t="shared" si="26"/>
        <v/>
      </c>
    </row>
    <row r="805" spans="1:8" ht="18" thickBot="1" x14ac:dyDescent="0.45">
      <c r="A805" s="182"/>
      <c r="B805" s="220" t="s">
        <v>899</v>
      </c>
      <c r="C805" s="221" t="s">
        <v>1466</v>
      </c>
      <c r="D805" s="220" t="s">
        <v>1349</v>
      </c>
      <c r="E805" s="199">
        <v>0</v>
      </c>
      <c r="F805" s="244">
        <f t="shared" si="25"/>
        <v>0</v>
      </c>
      <c r="G805" s="172">
        <v>0</v>
      </c>
      <c r="H805" s="208">
        <f t="shared" si="26"/>
        <v>0</v>
      </c>
    </row>
    <row r="806" spans="1:8" ht="18" thickBot="1" x14ac:dyDescent="0.45">
      <c r="A806" s="182"/>
      <c r="B806" s="220" t="s">
        <v>1196</v>
      </c>
      <c r="C806" s="228" t="s">
        <v>1467</v>
      </c>
      <c r="D806" s="222" t="s">
        <v>1350</v>
      </c>
      <c r="E806" s="199">
        <v>0</v>
      </c>
      <c r="F806" s="244">
        <f t="shared" si="25"/>
        <v>0</v>
      </c>
      <c r="G806" s="172">
        <v>0</v>
      </c>
      <c r="H806" s="208">
        <f t="shared" si="26"/>
        <v>0</v>
      </c>
    </row>
    <row r="807" spans="1:8" ht="18" thickBot="1" x14ac:dyDescent="0.45">
      <c r="A807" s="182"/>
      <c r="B807" s="220"/>
      <c r="C807" s="228"/>
      <c r="D807" s="222"/>
      <c r="E807" s="199">
        <v>0</v>
      </c>
      <c r="F807" s="244">
        <f t="shared" si="25"/>
        <v>0</v>
      </c>
      <c r="G807" s="172" t="s">
        <v>1658</v>
      </c>
      <c r="H807" s="208" t="str">
        <f t="shared" si="26"/>
        <v/>
      </c>
    </row>
    <row r="808" spans="1:8" ht="18" thickBot="1" x14ac:dyDescent="0.45">
      <c r="A808" s="182"/>
      <c r="B808" s="220" t="s">
        <v>900</v>
      </c>
      <c r="C808" s="229" t="s">
        <v>1468</v>
      </c>
      <c r="D808" s="220" t="s">
        <v>1350</v>
      </c>
      <c r="E808" s="199">
        <v>0</v>
      </c>
      <c r="F808" s="244">
        <f t="shared" si="25"/>
        <v>0</v>
      </c>
      <c r="G808" s="172">
        <v>1.6</v>
      </c>
      <c r="H808" s="208">
        <f t="shared" si="26"/>
        <v>1.6</v>
      </c>
    </row>
    <row r="809" spans="1:8" ht="18" thickBot="1" x14ac:dyDescent="0.45">
      <c r="A809" s="182"/>
      <c r="B809" s="220" t="s">
        <v>901</v>
      </c>
      <c r="C809" s="229" t="s">
        <v>1469</v>
      </c>
      <c r="D809" s="220" t="s">
        <v>1350</v>
      </c>
      <c r="E809" s="199">
        <v>1506.2</v>
      </c>
      <c r="F809" s="244">
        <f t="shared" si="25"/>
        <v>2.0244623655913978</v>
      </c>
      <c r="G809" s="172">
        <v>1.6</v>
      </c>
      <c r="H809" s="208">
        <f t="shared" si="26"/>
        <v>-0.42446236559139772</v>
      </c>
    </row>
    <row r="810" spans="1:8" ht="18" thickBot="1" x14ac:dyDescent="0.45">
      <c r="A810" s="182"/>
      <c r="B810" s="220" t="s">
        <v>902</v>
      </c>
      <c r="C810" s="229" t="s">
        <v>1470</v>
      </c>
      <c r="D810" s="220" t="s">
        <v>1350</v>
      </c>
      <c r="E810" s="199">
        <v>1562.1</v>
      </c>
      <c r="F810" s="244">
        <f t="shared" si="25"/>
        <v>2.0995967741935484</v>
      </c>
      <c r="G810" s="172">
        <v>1.6</v>
      </c>
      <c r="H810" s="208">
        <f t="shared" si="26"/>
        <v>-0.49959677419354831</v>
      </c>
    </row>
    <row r="811" spans="1:8" ht="18" thickBot="1" x14ac:dyDescent="0.45">
      <c r="A811" s="182"/>
      <c r="B811" s="220" t="s">
        <v>903</v>
      </c>
      <c r="C811" s="221" t="s">
        <v>1471</v>
      </c>
      <c r="D811" s="220" t="s">
        <v>1351</v>
      </c>
      <c r="E811" s="199">
        <v>0</v>
      </c>
      <c r="F811" s="244">
        <f t="shared" si="25"/>
        <v>0</v>
      </c>
      <c r="G811" s="172">
        <v>0</v>
      </c>
      <c r="H811" s="208">
        <f t="shared" si="26"/>
        <v>0</v>
      </c>
    </row>
    <row r="812" spans="1:8" ht="18" thickBot="1" x14ac:dyDescent="0.45">
      <c r="A812" s="182"/>
      <c r="B812" s="220" t="s">
        <v>904</v>
      </c>
      <c r="C812" s="229" t="s">
        <v>1472</v>
      </c>
      <c r="D812" s="220" t="s">
        <v>1350</v>
      </c>
      <c r="E812" s="199">
        <v>0</v>
      </c>
      <c r="F812" s="244">
        <f t="shared" si="25"/>
        <v>0</v>
      </c>
      <c r="G812" s="172">
        <v>0</v>
      </c>
      <c r="H812" s="208">
        <f t="shared" si="26"/>
        <v>0</v>
      </c>
    </row>
    <row r="813" spans="1:8" ht="18" thickBot="1" x14ac:dyDescent="0.45">
      <c r="A813" s="182"/>
      <c r="B813" s="220"/>
      <c r="C813" s="229"/>
      <c r="D813" s="220"/>
      <c r="E813" s="199">
        <v>0</v>
      </c>
      <c r="F813" s="244">
        <f t="shared" si="25"/>
        <v>0</v>
      </c>
      <c r="G813" s="172" t="s">
        <v>1658</v>
      </c>
      <c r="H813" s="208" t="str">
        <f t="shared" si="26"/>
        <v/>
      </c>
    </row>
    <row r="814" spans="1:8" ht="18" thickBot="1" x14ac:dyDescent="0.45">
      <c r="A814" s="182"/>
      <c r="B814" s="220" t="s">
        <v>905</v>
      </c>
      <c r="C814" s="229" t="s">
        <v>1473</v>
      </c>
      <c r="D814" s="220" t="s">
        <v>1350</v>
      </c>
      <c r="E814" s="199">
        <v>0</v>
      </c>
      <c r="F814" s="244">
        <f t="shared" si="25"/>
        <v>0</v>
      </c>
      <c r="G814" s="172">
        <v>0</v>
      </c>
      <c r="H814" s="208">
        <f t="shared" si="26"/>
        <v>0</v>
      </c>
    </row>
    <row r="815" spans="1:8" ht="18" thickBot="1" x14ac:dyDescent="0.45">
      <c r="A815" s="182"/>
      <c r="B815" s="220"/>
      <c r="C815" s="229"/>
      <c r="D815" s="220"/>
      <c r="E815" s="199">
        <v>0</v>
      </c>
      <c r="F815" s="244">
        <f t="shared" si="25"/>
        <v>0</v>
      </c>
      <c r="G815" s="172" t="s">
        <v>1658</v>
      </c>
      <c r="H815" s="208" t="str">
        <f t="shared" si="26"/>
        <v/>
      </c>
    </row>
    <row r="816" spans="1:8" ht="18" thickBot="1" x14ac:dyDescent="0.45">
      <c r="A816" s="182"/>
      <c r="B816" s="220" t="s">
        <v>906</v>
      </c>
      <c r="C816" s="221" t="s">
        <v>1474</v>
      </c>
      <c r="D816" s="220" t="s">
        <v>1352</v>
      </c>
      <c r="E816" s="199">
        <v>0</v>
      </c>
      <c r="F816" s="244">
        <f t="shared" si="25"/>
        <v>0</v>
      </c>
      <c r="G816" s="172">
        <v>0</v>
      </c>
      <c r="H816" s="208">
        <f t="shared" si="26"/>
        <v>0</v>
      </c>
    </row>
    <row r="817" spans="1:8" ht="18" thickBot="1" x14ac:dyDescent="0.45">
      <c r="A817" s="182"/>
      <c r="B817" s="220" t="s">
        <v>907</v>
      </c>
      <c r="C817" s="221" t="s">
        <v>1475</v>
      </c>
      <c r="D817" s="220" t="s">
        <v>1353</v>
      </c>
      <c r="E817" s="199">
        <v>0</v>
      </c>
      <c r="F817" s="244">
        <f t="shared" si="25"/>
        <v>0</v>
      </c>
      <c r="G817" s="172">
        <v>0</v>
      </c>
      <c r="H817" s="208">
        <f t="shared" si="26"/>
        <v>0</v>
      </c>
    </row>
    <row r="818" spans="1:8" ht="18" thickBot="1" x14ac:dyDescent="0.45">
      <c r="A818" s="182"/>
      <c r="B818" s="220" t="s">
        <v>1197</v>
      </c>
      <c r="C818" s="221" t="s">
        <v>1476</v>
      </c>
      <c r="D818" s="220" t="s">
        <v>1354</v>
      </c>
      <c r="E818" s="199">
        <v>0</v>
      </c>
      <c r="F818" s="244">
        <f t="shared" si="25"/>
        <v>0</v>
      </c>
      <c r="G818" s="172">
        <v>0</v>
      </c>
      <c r="H818" s="208">
        <f t="shared" si="26"/>
        <v>0</v>
      </c>
    </row>
    <row r="819" spans="1:8" ht="18" thickBot="1" x14ac:dyDescent="0.45">
      <c r="A819" s="182"/>
      <c r="B819" s="220" t="s">
        <v>1198</v>
      </c>
      <c r="C819" s="221" t="s">
        <v>1477</v>
      </c>
      <c r="D819" s="220" t="s">
        <v>1355</v>
      </c>
      <c r="E819" s="199">
        <v>0</v>
      </c>
      <c r="F819" s="244">
        <f t="shared" si="25"/>
        <v>0</v>
      </c>
      <c r="G819" s="172">
        <v>0</v>
      </c>
      <c r="H819" s="208">
        <f t="shared" si="26"/>
        <v>0</v>
      </c>
    </row>
    <row r="820" spans="1:8" ht="18" thickBot="1" x14ac:dyDescent="0.45">
      <c r="A820" s="182"/>
      <c r="B820" s="220" t="s">
        <v>908</v>
      </c>
      <c r="C820" s="221" t="s">
        <v>1478</v>
      </c>
      <c r="D820" s="220" t="s">
        <v>1356</v>
      </c>
      <c r="E820" s="199">
        <v>0</v>
      </c>
      <c r="F820" s="244">
        <f t="shared" si="25"/>
        <v>0</v>
      </c>
      <c r="G820" s="172">
        <v>0</v>
      </c>
      <c r="H820" s="208">
        <f t="shared" si="26"/>
        <v>0</v>
      </c>
    </row>
    <row r="821" spans="1:8" ht="18" thickBot="1" x14ac:dyDescent="0.45">
      <c r="A821" s="182"/>
      <c r="B821" s="220" t="s">
        <v>508</v>
      </c>
      <c r="C821" s="229" t="s">
        <v>1479</v>
      </c>
      <c r="D821" s="220" t="s">
        <v>1350</v>
      </c>
      <c r="E821" s="199">
        <v>0</v>
      </c>
      <c r="F821" s="244">
        <f t="shared" si="25"/>
        <v>0</v>
      </c>
      <c r="G821" s="172">
        <v>1.6</v>
      </c>
      <c r="H821" s="208">
        <f t="shared" si="26"/>
        <v>1.6</v>
      </c>
    </row>
    <row r="822" spans="1:8" ht="18" thickBot="1" x14ac:dyDescent="0.45">
      <c r="A822" s="182"/>
      <c r="B822" s="220" t="s">
        <v>509</v>
      </c>
      <c r="C822" s="229" t="s">
        <v>1480</v>
      </c>
      <c r="D822" s="220" t="s">
        <v>1350</v>
      </c>
      <c r="E822" s="199">
        <v>1895.6999999999998</v>
      </c>
      <c r="F822" s="244">
        <f t="shared" si="25"/>
        <v>2.5479838709677418</v>
      </c>
      <c r="G822" s="172">
        <v>1.6</v>
      </c>
      <c r="H822" s="208">
        <f t="shared" si="26"/>
        <v>-0.94798387096774173</v>
      </c>
    </row>
    <row r="823" spans="1:8" ht="18" thickBot="1" x14ac:dyDescent="0.45">
      <c r="A823" s="182"/>
      <c r="B823" s="220" t="s">
        <v>909</v>
      </c>
      <c r="C823" s="221" t="s">
        <v>1481</v>
      </c>
      <c r="D823" s="220" t="s">
        <v>1357</v>
      </c>
      <c r="E823" s="199">
        <v>1860.7</v>
      </c>
      <c r="F823" s="244">
        <f t="shared" si="25"/>
        <v>2.5009408602150538</v>
      </c>
      <c r="G823" s="172">
        <v>0</v>
      </c>
      <c r="H823" s="208">
        <f t="shared" si="26"/>
        <v>-2.5009408602150538</v>
      </c>
    </row>
    <row r="824" spans="1:8" ht="18" thickBot="1" x14ac:dyDescent="0.45">
      <c r="A824" s="182"/>
      <c r="B824" s="220"/>
      <c r="C824" s="221"/>
      <c r="D824" s="220"/>
      <c r="E824" s="199">
        <v>0</v>
      </c>
      <c r="F824" s="244">
        <f t="shared" si="25"/>
        <v>0</v>
      </c>
      <c r="G824" s="172" t="s">
        <v>1658</v>
      </c>
      <c r="H824" s="208" t="str">
        <f t="shared" si="26"/>
        <v/>
      </c>
    </row>
    <row r="825" spans="1:8" ht="18" thickBot="1" x14ac:dyDescent="0.45">
      <c r="A825" s="182"/>
      <c r="B825" s="220" t="s">
        <v>910</v>
      </c>
      <c r="C825" s="221" t="s">
        <v>1482</v>
      </c>
      <c r="D825" s="220" t="s">
        <v>1358</v>
      </c>
      <c r="E825" s="199">
        <v>0</v>
      </c>
      <c r="F825" s="244">
        <f t="shared" si="25"/>
        <v>0</v>
      </c>
      <c r="G825" s="172">
        <v>0</v>
      </c>
      <c r="H825" s="208">
        <f t="shared" si="26"/>
        <v>0</v>
      </c>
    </row>
    <row r="826" spans="1:8" ht="18" thickBot="1" x14ac:dyDescent="0.45">
      <c r="A826" s="182"/>
      <c r="B826" s="220"/>
      <c r="C826" s="221"/>
      <c r="D826" s="220"/>
      <c r="E826" s="199">
        <v>0</v>
      </c>
      <c r="F826" s="244">
        <f t="shared" si="25"/>
        <v>0</v>
      </c>
      <c r="G826" s="172" t="s">
        <v>1658</v>
      </c>
      <c r="H826" s="208" t="str">
        <f t="shared" si="26"/>
        <v/>
      </c>
    </row>
    <row r="827" spans="1:8" ht="18" thickBot="1" x14ac:dyDescent="0.45">
      <c r="A827" s="182"/>
      <c r="B827" s="220"/>
      <c r="C827" s="221"/>
      <c r="D827" s="220"/>
      <c r="E827" s="199">
        <v>0</v>
      </c>
      <c r="F827" s="244">
        <f t="shared" si="25"/>
        <v>0</v>
      </c>
      <c r="G827" s="172" t="s">
        <v>1658</v>
      </c>
      <c r="H827" s="208" t="str">
        <f t="shared" si="26"/>
        <v/>
      </c>
    </row>
    <row r="828" spans="1:8" ht="18" thickBot="1" x14ac:dyDescent="0.45">
      <c r="A828" s="182"/>
      <c r="B828" s="220" t="s">
        <v>911</v>
      </c>
      <c r="C828" s="221" t="s">
        <v>1483</v>
      </c>
      <c r="D828" s="220" t="s">
        <v>1359</v>
      </c>
      <c r="E828" s="199">
        <v>0</v>
      </c>
      <c r="F828" s="244">
        <f t="shared" si="25"/>
        <v>0</v>
      </c>
      <c r="G828" s="172">
        <v>0</v>
      </c>
      <c r="H828" s="208">
        <f t="shared" si="26"/>
        <v>0</v>
      </c>
    </row>
    <row r="829" spans="1:8" ht="18" thickBot="1" x14ac:dyDescent="0.45">
      <c r="A829" s="182"/>
      <c r="B829" s="220" t="s">
        <v>513</v>
      </c>
      <c r="C829" s="221" t="s">
        <v>1484</v>
      </c>
      <c r="D829" s="220" t="s">
        <v>1360</v>
      </c>
      <c r="E829" s="199">
        <v>0</v>
      </c>
      <c r="F829" s="244">
        <f t="shared" si="25"/>
        <v>0</v>
      </c>
      <c r="G829" s="172">
        <v>0</v>
      </c>
      <c r="H829" s="208">
        <f t="shared" si="26"/>
        <v>0</v>
      </c>
    </row>
    <row r="830" spans="1:8" ht="18" thickBot="1" x14ac:dyDescent="0.45">
      <c r="A830" s="182"/>
      <c r="B830" s="220" t="s">
        <v>912</v>
      </c>
      <c r="C830" s="221" t="s">
        <v>1485</v>
      </c>
      <c r="D830" s="220" t="s">
        <v>1361</v>
      </c>
      <c r="E830" s="199">
        <v>0</v>
      </c>
      <c r="F830" s="244">
        <f t="shared" si="25"/>
        <v>0</v>
      </c>
      <c r="G830" s="172">
        <v>0</v>
      </c>
      <c r="H830" s="208">
        <f t="shared" si="26"/>
        <v>0</v>
      </c>
    </row>
    <row r="831" spans="1:8" ht="18" thickBot="1" x14ac:dyDescent="0.45">
      <c r="A831" s="182"/>
      <c r="B831" s="220" t="s">
        <v>924</v>
      </c>
      <c r="C831" s="221" t="s">
        <v>1486</v>
      </c>
      <c r="D831" s="220" t="s">
        <v>1362</v>
      </c>
      <c r="E831" s="199">
        <v>0</v>
      </c>
      <c r="F831" s="244">
        <f t="shared" si="25"/>
        <v>0</v>
      </c>
      <c r="G831" s="172">
        <v>0</v>
      </c>
      <c r="H831" s="208">
        <f t="shared" si="26"/>
        <v>0</v>
      </c>
    </row>
    <row r="832" spans="1:8" ht="18" thickBot="1" x14ac:dyDescent="0.45">
      <c r="A832" s="182"/>
      <c r="B832" s="220" t="s">
        <v>925</v>
      </c>
      <c r="C832" s="221" t="s">
        <v>1487</v>
      </c>
      <c r="D832" s="220" t="s">
        <v>1363</v>
      </c>
      <c r="E832" s="199">
        <v>0</v>
      </c>
      <c r="F832" s="244">
        <f t="shared" si="25"/>
        <v>0</v>
      </c>
      <c r="G832" s="172">
        <v>0</v>
      </c>
      <c r="H832" s="208">
        <f t="shared" si="26"/>
        <v>0</v>
      </c>
    </row>
    <row r="833" spans="1:8" ht="18" thickBot="1" x14ac:dyDescent="0.45">
      <c r="A833" s="182"/>
      <c r="B833" s="220" t="s">
        <v>1199</v>
      </c>
      <c r="C833" s="221" t="s">
        <v>1488</v>
      </c>
      <c r="D833" s="220" t="s">
        <v>1364</v>
      </c>
      <c r="E833" s="199">
        <v>0</v>
      </c>
      <c r="F833" s="244">
        <f t="shared" si="25"/>
        <v>0</v>
      </c>
      <c r="G833" s="172">
        <v>0</v>
      </c>
      <c r="H833" s="208">
        <f t="shared" si="26"/>
        <v>0</v>
      </c>
    </row>
    <row r="834" spans="1:8" ht="31.8" thickBot="1" x14ac:dyDescent="0.45">
      <c r="A834" s="182"/>
      <c r="B834" s="231" t="s">
        <v>928</v>
      </c>
      <c r="C834" s="231"/>
      <c r="D834" s="161" t="s">
        <v>1365</v>
      </c>
      <c r="E834" s="199">
        <v>0</v>
      </c>
      <c r="F834" s="244">
        <f t="shared" si="25"/>
        <v>0</v>
      </c>
      <c r="G834" s="172">
        <v>1.6</v>
      </c>
      <c r="H834" s="208">
        <f t="shared" si="26"/>
        <v>1.6</v>
      </c>
    </row>
    <row r="835" spans="1:8" ht="18" thickBot="1" x14ac:dyDescent="0.45">
      <c r="A835" s="182"/>
      <c r="B835" s="220" t="s">
        <v>1200</v>
      </c>
      <c r="C835" s="221" t="s">
        <v>1489</v>
      </c>
      <c r="D835" s="220" t="s">
        <v>1366</v>
      </c>
      <c r="E835" s="199">
        <v>0</v>
      </c>
      <c r="F835" s="244">
        <f t="shared" si="25"/>
        <v>0</v>
      </c>
      <c r="G835" s="172">
        <v>0</v>
      </c>
      <c r="H835" s="208">
        <f t="shared" si="26"/>
        <v>0</v>
      </c>
    </row>
    <row r="836" spans="1:8" ht="18" thickBot="1" x14ac:dyDescent="0.45">
      <c r="A836" s="182"/>
      <c r="B836" s="220" t="s">
        <v>1201</v>
      </c>
      <c r="C836" s="221" t="s">
        <v>1490</v>
      </c>
      <c r="D836" s="220" t="s">
        <v>1367</v>
      </c>
      <c r="E836" s="199">
        <v>0</v>
      </c>
      <c r="F836" s="244">
        <f t="shared" si="25"/>
        <v>0</v>
      </c>
      <c r="G836" s="172">
        <v>0</v>
      </c>
      <c r="H836" s="208">
        <f t="shared" si="26"/>
        <v>0</v>
      </c>
    </row>
    <row r="837" spans="1:8" ht="18" thickBot="1" x14ac:dyDescent="0.45">
      <c r="A837" s="182"/>
      <c r="B837" s="220" t="s">
        <v>1202</v>
      </c>
      <c r="C837" s="221" t="s">
        <v>1491</v>
      </c>
      <c r="D837" s="220" t="s">
        <v>1368</v>
      </c>
      <c r="E837" s="199">
        <v>0</v>
      </c>
      <c r="F837" s="244">
        <f t="shared" ref="F837:F900" si="27">E837/(24*31)</f>
        <v>0</v>
      </c>
      <c r="G837" s="172">
        <v>0</v>
      </c>
      <c r="H837" s="208">
        <f t="shared" ref="H837:H900" si="28">IFERROR(G837-F837, "")</f>
        <v>0</v>
      </c>
    </row>
    <row r="838" spans="1:8" ht="18" thickBot="1" x14ac:dyDescent="0.45">
      <c r="A838" s="182"/>
      <c r="B838" s="220" t="s">
        <v>932</v>
      </c>
      <c r="C838" s="221" t="s">
        <v>1492</v>
      </c>
      <c r="D838" s="220" t="s">
        <v>1369</v>
      </c>
      <c r="E838" s="199">
        <v>0</v>
      </c>
      <c r="F838" s="244">
        <f t="shared" si="27"/>
        <v>0</v>
      </c>
      <c r="G838" s="172">
        <v>0</v>
      </c>
      <c r="H838" s="208">
        <f t="shared" si="28"/>
        <v>0</v>
      </c>
    </row>
    <row r="839" spans="1:8" ht="18" thickBot="1" x14ac:dyDescent="0.45">
      <c r="A839" s="182"/>
      <c r="B839" s="220" t="s">
        <v>1203</v>
      </c>
      <c r="C839" s="221" t="s">
        <v>1493</v>
      </c>
      <c r="D839" s="220" t="s">
        <v>1370</v>
      </c>
      <c r="E839" s="199">
        <v>0</v>
      </c>
      <c r="F839" s="244">
        <f t="shared" si="27"/>
        <v>0</v>
      </c>
      <c r="G839" s="172">
        <v>0</v>
      </c>
      <c r="H839" s="208">
        <f t="shared" si="28"/>
        <v>0</v>
      </c>
    </row>
    <row r="840" spans="1:8" ht="18" thickBot="1" x14ac:dyDescent="0.45">
      <c r="A840" s="182"/>
      <c r="B840" s="220" t="s">
        <v>553</v>
      </c>
      <c r="C840" s="220"/>
      <c r="D840" s="220"/>
      <c r="E840" s="199">
        <v>0</v>
      </c>
      <c r="F840" s="244">
        <f t="shared" si="27"/>
        <v>0</v>
      </c>
      <c r="G840" s="172">
        <v>0</v>
      </c>
      <c r="H840" s="208">
        <f t="shared" si="28"/>
        <v>0</v>
      </c>
    </row>
    <row r="841" spans="1:8" ht="18" thickBot="1" x14ac:dyDescent="0.45">
      <c r="A841" s="182"/>
      <c r="B841" s="220" t="s">
        <v>1204</v>
      </c>
      <c r="C841" s="222"/>
      <c r="D841" s="222" t="s">
        <v>1350</v>
      </c>
      <c r="E841" s="199">
        <v>0</v>
      </c>
      <c r="F841" s="244">
        <f t="shared" si="27"/>
        <v>0</v>
      </c>
      <c r="G841" s="172">
        <v>0</v>
      </c>
      <c r="H841" s="208">
        <f t="shared" si="28"/>
        <v>0</v>
      </c>
    </row>
    <row r="842" spans="1:8" ht="18" thickBot="1" x14ac:dyDescent="0.45">
      <c r="A842" s="182"/>
      <c r="B842" s="220"/>
      <c r="C842" s="222"/>
      <c r="D842" s="222"/>
      <c r="E842" s="199">
        <v>0</v>
      </c>
      <c r="F842" s="244">
        <f t="shared" si="27"/>
        <v>0</v>
      </c>
      <c r="G842" s="172" t="s">
        <v>1658</v>
      </c>
      <c r="H842" s="208" t="str">
        <f t="shared" si="28"/>
        <v/>
      </c>
    </row>
    <row r="843" spans="1:8" ht="18" thickBot="1" x14ac:dyDescent="0.45">
      <c r="A843" s="182"/>
      <c r="B843" s="220"/>
      <c r="C843" s="222"/>
      <c r="D843" s="222"/>
      <c r="E843" s="199">
        <v>0</v>
      </c>
      <c r="F843" s="244">
        <f t="shared" si="27"/>
        <v>0</v>
      </c>
      <c r="G843" s="172" t="s">
        <v>1658</v>
      </c>
      <c r="H843" s="208" t="str">
        <f t="shared" si="28"/>
        <v/>
      </c>
    </row>
    <row r="844" spans="1:8" ht="18" thickBot="1" x14ac:dyDescent="0.45">
      <c r="A844" s="182"/>
      <c r="B844" s="220" t="s">
        <v>1205</v>
      </c>
      <c r="C844" s="220"/>
      <c r="D844" s="220" t="s">
        <v>1350</v>
      </c>
      <c r="E844" s="199">
        <v>0</v>
      </c>
      <c r="F844" s="244">
        <f t="shared" si="27"/>
        <v>0</v>
      </c>
      <c r="G844" s="172">
        <v>0</v>
      </c>
      <c r="H844" s="208">
        <f t="shared" si="28"/>
        <v>0</v>
      </c>
    </row>
    <row r="845" spans="1:8" ht="18" thickBot="1" x14ac:dyDescent="0.45">
      <c r="A845" s="182"/>
      <c r="B845" s="220"/>
      <c r="C845" s="220"/>
      <c r="D845" s="220"/>
      <c r="E845" s="199">
        <v>0</v>
      </c>
      <c r="F845" s="244">
        <f t="shared" si="27"/>
        <v>0</v>
      </c>
      <c r="G845" s="172" t="s">
        <v>1658</v>
      </c>
      <c r="H845" s="208" t="str">
        <f t="shared" si="28"/>
        <v/>
      </c>
    </row>
    <row r="846" spans="1:8" ht="18" thickBot="1" x14ac:dyDescent="0.45">
      <c r="A846" s="182"/>
      <c r="B846" s="220" t="s">
        <v>1206</v>
      </c>
      <c r="C846" s="220"/>
      <c r="D846" s="226" t="s">
        <v>1350</v>
      </c>
      <c r="E846" s="199">
        <v>0</v>
      </c>
      <c r="F846" s="244">
        <f t="shared" si="27"/>
        <v>0</v>
      </c>
      <c r="G846" s="172">
        <v>0</v>
      </c>
      <c r="H846" s="208">
        <f t="shared" si="28"/>
        <v>0</v>
      </c>
    </row>
    <row r="847" spans="1:8" ht="18" thickBot="1" x14ac:dyDescent="0.45">
      <c r="A847" s="182"/>
      <c r="B847" s="220"/>
      <c r="C847" s="220"/>
      <c r="D847" s="220"/>
      <c r="E847" s="199">
        <v>0</v>
      </c>
      <c r="F847" s="244">
        <f t="shared" si="27"/>
        <v>0</v>
      </c>
      <c r="G847" s="172" t="s">
        <v>1658</v>
      </c>
      <c r="H847" s="208" t="str">
        <f t="shared" si="28"/>
        <v/>
      </c>
    </row>
    <row r="848" spans="1:8" ht="18" thickBot="1" x14ac:dyDescent="0.45">
      <c r="A848" s="182"/>
      <c r="B848" s="220" t="s">
        <v>1207</v>
      </c>
      <c r="C848" s="221" t="s">
        <v>1494</v>
      </c>
      <c r="D848" s="220" t="s">
        <v>1371</v>
      </c>
      <c r="E848" s="199">
        <v>0</v>
      </c>
      <c r="F848" s="244">
        <f t="shared" si="27"/>
        <v>0</v>
      </c>
      <c r="G848" s="172">
        <v>0</v>
      </c>
      <c r="H848" s="208">
        <f t="shared" si="28"/>
        <v>0</v>
      </c>
    </row>
    <row r="849" spans="1:8" ht="18" thickBot="1" x14ac:dyDescent="0.45">
      <c r="A849" s="182"/>
      <c r="B849" s="220" t="s">
        <v>1208</v>
      </c>
      <c r="C849" s="221" t="s">
        <v>1495</v>
      </c>
      <c r="D849" s="220" t="s">
        <v>1372</v>
      </c>
      <c r="E849" s="199">
        <v>0</v>
      </c>
      <c r="F849" s="244">
        <f t="shared" si="27"/>
        <v>0</v>
      </c>
      <c r="G849" s="172">
        <v>0</v>
      </c>
      <c r="H849" s="208">
        <f t="shared" si="28"/>
        <v>0</v>
      </c>
    </row>
    <row r="850" spans="1:8" ht="18" thickBot="1" x14ac:dyDescent="0.45">
      <c r="A850" s="182"/>
      <c r="B850" s="220" t="s">
        <v>1209</v>
      </c>
      <c r="C850" s="221" t="s">
        <v>1496</v>
      </c>
      <c r="D850" s="225" t="s">
        <v>1373</v>
      </c>
      <c r="E850" s="199">
        <v>0</v>
      </c>
      <c r="F850" s="244">
        <f t="shared" si="27"/>
        <v>0</v>
      </c>
      <c r="G850" s="172">
        <v>2.2000000000000002</v>
      </c>
      <c r="H850" s="208">
        <f t="shared" si="28"/>
        <v>2.2000000000000002</v>
      </c>
    </row>
    <row r="851" spans="1:8" ht="18" thickBot="1" x14ac:dyDescent="0.45">
      <c r="A851" s="182"/>
      <c r="B851" s="220" t="s">
        <v>1210</v>
      </c>
      <c r="C851" s="221" t="s">
        <v>1497</v>
      </c>
      <c r="D851" s="220" t="s">
        <v>1374</v>
      </c>
      <c r="E851" s="199">
        <v>0</v>
      </c>
      <c r="F851" s="244">
        <f t="shared" si="27"/>
        <v>0</v>
      </c>
      <c r="G851" s="172">
        <v>0</v>
      </c>
      <c r="H851" s="208">
        <f t="shared" si="28"/>
        <v>0</v>
      </c>
    </row>
    <row r="852" spans="1:8" ht="18" thickBot="1" x14ac:dyDescent="0.45">
      <c r="A852" s="182"/>
      <c r="B852" s="220"/>
      <c r="C852" s="221"/>
      <c r="D852" s="220"/>
      <c r="E852" s="199">
        <v>0</v>
      </c>
      <c r="F852" s="244">
        <f t="shared" si="27"/>
        <v>0</v>
      </c>
      <c r="G852" s="172" t="s">
        <v>1658</v>
      </c>
      <c r="H852" s="208" t="str">
        <f t="shared" si="28"/>
        <v/>
      </c>
    </row>
    <row r="853" spans="1:8" ht="18" thickBot="1" x14ac:dyDescent="0.45">
      <c r="A853" s="182"/>
      <c r="B853" s="220" t="s">
        <v>1211</v>
      </c>
      <c r="C853" s="221" t="s">
        <v>1498</v>
      </c>
      <c r="D853" s="220" t="s">
        <v>1375</v>
      </c>
      <c r="E853" s="199">
        <v>0</v>
      </c>
      <c r="F853" s="244">
        <f t="shared" si="27"/>
        <v>0</v>
      </c>
      <c r="G853" s="172">
        <v>0</v>
      </c>
      <c r="H853" s="208">
        <f t="shared" si="28"/>
        <v>0</v>
      </c>
    </row>
    <row r="854" spans="1:8" ht="18" thickBot="1" x14ac:dyDescent="0.45">
      <c r="A854" s="182"/>
      <c r="B854" s="220"/>
      <c r="C854" s="221"/>
      <c r="D854" s="220"/>
      <c r="E854" s="199">
        <v>0</v>
      </c>
      <c r="F854" s="244">
        <f t="shared" si="27"/>
        <v>0</v>
      </c>
      <c r="G854" s="172" t="s">
        <v>1658</v>
      </c>
      <c r="H854" s="208" t="str">
        <f t="shared" si="28"/>
        <v/>
      </c>
    </row>
    <row r="855" spans="1:8" ht="18" thickBot="1" x14ac:dyDescent="0.45">
      <c r="A855" s="182"/>
      <c r="B855" s="220" t="s">
        <v>1212</v>
      </c>
      <c r="C855" s="221" t="s">
        <v>1499</v>
      </c>
      <c r="D855" s="220" t="s">
        <v>1376</v>
      </c>
      <c r="E855" s="199">
        <v>0</v>
      </c>
      <c r="F855" s="244">
        <f t="shared" si="27"/>
        <v>0</v>
      </c>
      <c r="G855" s="172">
        <v>0</v>
      </c>
      <c r="H855" s="208">
        <f t="shared" si="28"/>
        <v>0</v>
      </c>
    </row>
    <row r="856" spans="1:8" ht="18" thickBot="1" x14ac:dyDescent="0.45">
      <c r="A856" s="182"/>
      <c r="B856" s="220"/>
      <c r="C856" s="221"/>
      <c r="D856" s="220"/>
      <c r="E856" s="199">
        <v>0</v>
      </c>
      <c r="F856" s="244">
        <f t="shared" si="27"/>
        <v>0</v>
      </c>
      <c r="G856" s="172" t="s">
        <v>1658</v>
      </c>
      <c r="H856" s="208" t="str">
        <f t="shared" si="28"/>
        <v/>
      </c>
    </row>
    <row r="857" spans="1:8" ht="18" thickBot="1" x14ac:dyDescent="0.45">
      <c r="A857" s="182"/>
      <c r="B857" s="220"/>
      <c r="C857" s="221"/>
      <c r="D857" s="220"/>
      <c r="E857" s="199">
        <v>0</v>
      </c>
      <c r="F857" s="244">
        <f t="shared" si="27"/>
        <v>0</v>
      </c>
      <c r="G857" s="172" t="s">
        <v>1658</v>
      </c>
      <c r="H857" s="208" t="str">
        <f t="shared" si="28"/>
        <v/>
      </c>
    </row>
    <row r="858" spans="1:8" ht="18" thickBot="1" x14ac:dyDescent="0.45">
      <c r="A858" s="182"/>
      <c r="B858" s="220" t="s">
        <v>1213</v>
      </c>
      <c r="C858" s="221" t="s">
        <v>1500</v>
      </c>
      <c r="D858" s="220" t="s">
        <v>1377</v>
      </c>
      <c r="E858" s="199">
        <v>0</v>
      </c>
      <c r="F858" s="244">
        <f t="shared" si="27"/>
        <v>0</v>
      </c>
      <c r="G858" s="172">
        <v>0</v>
      </c>
      <c r="H858" s="208">
        <f t="shared" si="28"/>
        <v>0</v>
      </c>
    </row>
    <row r="859" spans="1:8" ht="18" thickBot="1" x14ac:dyDescent="0.45">
      <c r="A859" s="182"/>
      <c r="B859" s="220"/>
      <c r="C859" s="221"/>
      <c r="D859" s="220"/>
      <c r="E859" s="199">
        <v>0</v>
      </c>
      <c r="F859" s="244">
        <f t="shared" si="27"/>
        <v>0</v>
      </c>
      <c r="G859" s="172" t="s">
        <v>1658</v>
      </c>
      <c r="H859" s="208" t="str">
        <f t="shared" si="28"/>
        <v/>
      </c>
    </row>
    <row r="860" spans="1:8" ht="18" thickBot="1" x14ac:dyDescent="0.45">
      <c r="A860" s="182"/>
      <c r="B860" s="220" t="s">
        <v>1214</v>
      </c>
      <c r="C860" s="221" t="s">
        <v>1501</v>
      </c>
      <c r="D860" s="220" t="s">
        <v>1378</v>
      </c>
      <c r="E860" s="199">
        <v>0</v>
      </c>
      <c r="F860" s="244">
        <f t="shared" si="27"/>
        <v>0</v>
      </c>
      <c r="G860" s="172">
        <v>0</v>
      </c>
      <c r="H860" s="208">
        <f t="shared" si="28"/>
        <v>0</v>
      </c>
    </row>
    <row r="861" spans="1:8" ht="18" thickBot="1" x14ac:dyDescent="0.45">
      <c r="A861" s="182"/>
      <c r="B861" s="220" t="s">
        <v>1215</v>
      </c>
      <c r="C861" s="221" t="s">
        <v>1502</v>
      </c>
      <c r="D861" s="220" t="s">
        <v>1379</v>
      </c>
      <c r="E861" s="199">
        <v>0</v>
      </c>
      <c r="F861" s="244">
        <f t="shared" si="27"/>
        <v>0</v>
      </c>
      <c r="G861" s="172">
        <v>0</v>
      </c>
      <c r="H861" s="208">
        <f t="shared" si="28"/>
        <v>0</v>
      </c>
    </row>
    <row r="862" spans="1:8" ht="18" thickBot="1" x14ac:dyDescent="0.45">
      <c r="A862" s="182"/>
      <c r="B862" s="220" t="s">
        <v>466</v>
      </c>
      <c r="C862" s="221" t="s">
        <v>1503</v>
      </c>
      <c r="D862" s="220" t="s">
        <v>1380</v>
      </c>
      <c r="E862" s="199">
        <v>0</v>
      </c>
      <c r="F862" s="244">
        <f t="shared" si="27"/>
        <v>0</v>
      </c>
      <c r="G862" s="172">
        <v>0</v>
      </c>
      <c r="H862" s="208">
        <f t="shared" si="28"/>
        <v>0</v>
      </c>
    </row>
    <row r="863" spans="1:8" ht="18" thickBot="1" x14ac:dyDescent="0.45">
      <c r="A863" s="182"/>
      <c r="B863" s="220" t="s">
        <v>560</v>
      </c>
      <c r="C863" s="230" t="s">
        <v>1504</v>
      </c>
      <c r="D863" s="224" t="s">
        <v>1350</v>
      </c>
      <c r="E863" s="199">
        <v>0</v>
      </c>
      <c r="F863" s="244">
        <f t="shared" si="27"/>
        <v>0</v>
      </c>
      <c r="G863" s="172">
        <v>0</v>
      </c>
      <c r="H863" s="208">
        <f t="shared" si="28"/>
        <v>0</v>
      </c>
    </row>
    <row r="864" spans="1:8" ht="18" thickBot="1" x14ac:dyDescent="0.45">
      <c r="A864" s="182"/>
      <c r="B864" s="220"/>
      <c r="C864" s="230"/>
      <c r="D864" s="224"/>
      <c r="E864" s="199">
        <v>0</v>
      </c>
      <c r="F864" s="244">
        <f t="shared" si="27"/>
        <v>0</v>
      </c>
      <c r="G864" s="172" t="s">
        <v>1658</v>
      </c>
      <c r="H864" s="208" t="str">
        <f t="shared" si="28"/>
        <v/>
      </c>
    </row>
    <row r="865" spans="1:8" ht="18" thickBot="1" x14ac:dyDescent="0.45">
      <c r="A865" s="182"/>
      <c r="B865" s="220" t="s">
        <v>561</v>
      </c>
      <c r="C865" s="221" t="s">
        <v>1505</v>
      </c>
      <c r="D865" s="220" t="s">
        <v>1381</v>
      </c>
      <c r="E865" s="199">
        <v>0</v>
      </c>
      <c r="F865" s="244">
        <f t="shared" si="27"/>
        <v>0</v>
      </c>
      <c r="G865" s="172">
        <v>0</v>
      </c>
      <c r="H865" s="208">
        <f t="shared" si="28"/>
        <v>0</v>
      </c>
    </row>
    <row r="866" spans="1:8" ht="18" thickBot="1" x14ac:dyDescent="0.45">
      <c r="A866" s="182"/>
      <c r="B866" s="220" t="s">
        <v>1216</v>
      </c>
      <c r="C866" s="163" t="s">
        <v>1506</v>
      </c>
      <c r="D866" s="220" t="s">
        <v>1382</v>
      </c>
      <c r="E866" s="199">
        <v>0</v>
      </c>
      <c r="F866" s="244">
        <f t="shared" si="27"/>
        <v>0</v>
      </c>
      <c r="G866" s="172">
        <v>0</v>
      </c>
      <c r="H866" s="208">
        <f t="shared" si="28"/>
        <v>0</v>
      </c>
    </row>
    <row r="867" spans="1:8" ht="18" thickBot="1" x14ac:dyDescent="0.45">
      <c r="A867" s="182"/>
      <c r="B867" s="220" t="s">
        <v>1217</v>
      </c>
      <c r="C867" s="163" t="s">
        <v>1507</v>
      </c>
      <c r="D867" s="220" t="s">
        <v>1383</v>
      </c>
      <c r="E867" s="199">
        <v>0</v>
      </c>
      <c r="F867" s="244">
        <f t="shared" si="27"/>
        <v>0</v>
      </c>
      <c r="G867" s="172">
        <v>0</v>
      </c>
      <c r="H867" s="208">
        <f t="shared" si="28"/>
        <v>0</v>
      </c>
    </row>
    <row r="868" spans="1:8" ht="18" thickBot="1" x14ac:dyDescent="0.45">
      <c r="A868" s="182"/>
      <c r="B868" s="220" t="s">
        <v>1218</v>
      </c>
      <c r="C868" s="221" t="s">
        <v>1508</v>
      </c>
      <c r="D868" s="220" t="s">
        <v>1384</v>
      </c>
      <c r="E868" s="199">
        <v>0</v>
      </c>
      <c r="F868" s="244">
        <f t="shared" si="27"/>
        <v>0</v>
      </c>
      <c r="G868" s="172">
        <v>0</v>
      </c>
      <c r="H868" s="208">
        <f t="shared" si="28"/>
        <v>0</v>
      </c>
    </row>
    <row r="869" spans="1:8" ht="18" thickBot="1" x14ac:dyDescent="0.45">
      <c r="A869" s="182"/>
      <c r="B869" s="220" t="s">
        <v>1219</v>
      </c>
      <c r="C869" s="229" t="s">
        <v>1509</v>
      </c>
      <c r="D869" s="220" t="s">
        <v>1350</v>
      </c>
      <c r="E869" s="199">
        <v>0</v>
      </c>
      <c r="F869" s="244">
        <f t="shared" si="27"/>
        <v>0</v>
      </c>
      <c r="G869" s="172">
        <v>0</v>
      </c>
      <c r="H869" s="208">
        <f t="shared" si="28"/>
        <v>0</v>
      </c>
    </row>
    <row r="870" spans="1:8" ht="18" thickBot="1" x14ac:dyDescent="0.45">
      <c r="A870" s="182"/>
      <c r="B870" s="220" t="s">
        <v>1220</v>
      </c>
      <c r="C870" s="221" t="s">
        <v>1510</v>
      </c>
      <c r="D870" s="220" t="s">
        <v>1385</v>
      </c>
      <c r="E870" s="199">
        <v>0</v>
      </c>
      <c r="F870" s="244">
        <f t="shared" si="27"/>
        <v>0</v>
      </c>
      <c r="G870" s="172">
        <v>0</v>
      </c>
      <c r="H870" s="208">
        <f t="shared" si="28"/>
        <v>0</v>
      </c>
    </row>
    <row r="871" spans="1:8" ht="18" thickBot="1" x14ac:dyDescent="0.45">
      <c r="A871" s="182"/>
      <c r="B871" s="220" t="s">
        <v>1221</v>
      </c>
      <c r="C871" s="221" t="s">
        <v>1511</v>
      </c>
      <c r="D871" s="220" t="s">
        <v>1385</v>
      </c>
      <c r="E871" s="199">
        <v>0</v>
      </c>
      <c r="F871" s="244">
        <f t="shared" si="27"/>
        <v>0</v>
      </c>
      <c r="G871" s="172">
        <v>0</v>
      </c>
      <c r="H871" s="208">
        <f t="shared" si="28"/>
        <v>0</v>
      </c>
    </row>
    <row r="872" spans="1:8" ht="18" thickBot="1" x14ac:dyDescent="0.45">
      <c r="A872" s="182"/>
      <c r="B872" s="220" t="s">
        <v>1222</v>
      </c>
      <c r="C872" s="221" t="s">
        <v>1512</v>
      </c>
      <c r="D872" s="220" t="s">
        <v>1386</v>
      </c>
      <c r="E872" s="199">
        <v>0</v>
      </c>
      <c r="F872" s="244">
        <f t="shared" si="27"/>
        <v>0</v>
      </c>
      <c r="G872" s="172">
        <v>0</v>
      </c>
      <c r="H872" s="208">
        <f t="shared" si="28"/>
        <v>0</v>
      </c>
    </row>
    <row r="873" spans="1:8" ht="18" thickBot="1" x14ac:dyDescent="0.45">
      <c r="A873" s="182"/>
      <c r="B873" s="220" t="s">
        <v>1223</v>
      </c>
      <c r="C873" s="221" t="s">
        <v>1513</v>
      </c>
      <c r="D873" s="220" t="s">
        <v>1387</v>
      </c>
      <c r="E873" s="199">
        <v>0</v>
      </c>
      <c r="F873" s="244">
        <f t="shared" si="27"/>
        <v>0</v>
      </c>
      <c r="G873" s="172">
        <v>0</v>
      </c>
      <c r="H873" s="208">
        <f t="shared" si="28"/>
        <v>0</v>
      </c>
    </row>
    <row r="874" spans="1:8" ht="18" thickBot="1" x14ac:dyDescent="0.45">
      <c r="A874" s="182"/>
      <c r="B874" s="220" t="s">
        <v>1224</v>
      </c>
      <c r="C874" s="221" t="s">
        <v>1514</v>
      </c>
      <c r="D874" s="220" t="s">
        <v>1388</v>
      </c>
      <c r="E874" s="199">
        <v>0</v>
      </c>
      <c r="F874" s="244">
        <f t="shared" si="27"/>
        <v>0</v>
      </c>
      <c r="G874" s="172">
        <v>0</v>
      </c>
      <c r="H874" s="208">
        <f t="shared" si="28"/>
        <v>0</v>
      </c>
    </row>
    <row r="875" spans="1:8" ht="18" thickBot="1" x14ac:dyDescent="0.45">
      <c r="A875" s="182"/>
      <c r="B875" s="220" t="s">
        <v>957</v>
      </c>
      <c r="C875" s="221" t="s">
        <v>1515</v>
      </c>
      <c r="D875" s="220" t="s">
        <v>1389</v>
      </c>
      <c r="E875" s="199">
        <v>0</v>
      </c>
      <c r="F875" s="244">
        <f t="shared" si="27"/>
        <v>0</v>
      </c>
      <c r="G875" s="172">
        <v>0</v>
      </c>
      <c r="H875" s="208">
        <f t="shared" si="28"/>
        <v>0</v>
      </c>
    </row>
    <row r="876" spans="1:8" ht="18" thickBot="1" x14ac:dyDescent="0.45">
      <c r="A876" s="182"/>
      <c r="B876" s="220" t="s">
        <v>1225</v>
      </c>
      <c r="C876" s="221" t="s">
        <v>1516</v>
      </c>
      <c r="D876" s="220" t="s">
        <v>1390</v>
      </c>
      <c r="E876" s="199">
        <v>0</v>
      </c>
      <c r="F876" s="244">
        <f t="shared" si="27"/>
        <v>0</v>
      </c>
      <c r="G876" s="172">
        <v>0</v>
      </c>
      <c r="H876" s="208">
        <f t="shared" si="28"/>
        <v>0</v>
      </c>
    </row>
    <row r="877" spans="1:8" ht="18" thickBot="1" x14ac:dyDescent="0.45">
      <c r="A877" s="182"/>
      <c r="B877" s="220" t="s">
        <v>1226</v>
      </c>
      <c r="C877" s="220" t="s">
        <v>1517</v>
      </c>
      <c r="D877" s="220"/>
      <c r="E877" s="199">
        <v>0</v>
      </c>
      <c r="F877" s="244">
        <f t="shared" si="27"/>
        <v>0</v>
      </c>
      <c r="G877" s="172">
        <v>0</v>
      </c>
      <c r="H877" s="208">
        <f t="shared" si="28"/>
        <v>0</v>
      </c>
    </row>
    <row r="878" spans="1:8" ht="18" thickBot="1" x14ac:dyDescent="0.45">
      <c r="A878" s="182"/>
      <c r="B878" s="220" t="s">
        <v>1227</v>
      </c>
      <c r="C878" s="221" t="s">
        <v>1518</v>
      </c>
      <c r="D878" s="220"/>
      <c r="E878" s="199">
        <v>0</v>
      </c>
      <c r="F878" s="244">
        <f t="shared" si="27"/>
        <v>0</v>
      </c>
      <c r="G878" s="172">
        <v>0</v>
      </c>
      <c r="H878" s="208">
        <f t="shared" si="28"/>
        <v>0</v>
      </c>
    </row>
    <row r="879" spans="1:8" ht="18" thickBot="1" x14ac:dyDescent="0.45">
      <c r="A879" s="182"/>
      <c r="B879" s="220" t="s">
        <v>1228</v>
      </c>
      <c r="C879" s="229" t="s">
        <v>1519</v>
      </c>
      <c r="D879" s="220" t="s">
        <v>1350</v>
      </c>
      <c r="E879" s="199">
        <v>0</v>
      </c>
      <c r="F879" s="244">
        <f t="shared" si="27"/>
        <v>0</v>
      </c>
      <c r="G879" s="172">
        <v>0</v>
      </c>
      <c r="H879" s="208">
        <f t="shared" si="28"/>
        <v>0</v>
      </c>
    </row>
    <row r="880" spans="1:8" ht="18" thickBot="1" x14ac:dyDescent="0.45">
      <c r="A880" s="182"/>
      <c r="B880" s="220" t="s">
        <v>456</v>
      </c>
      <c r="C880" s="220"/>
      <c r="D880" s="220"/>
      <c r="E880" s="199">
        <v>0</v>
      </c>
      <c r="F880" s="244">
        <f t="shared" si="27"/>
        <v>0</v>
      </c>
      <c r="G880" s="172">
        <v>0</v>
      </c>
      <c r="H880" s="208">
        <f t="shared" si="28"/>
        <v>0</v>
      </c>
    </row>
    <row r="881" spans="1:8" ht="18" thickBot="1" x14ac:dyDescent="0.45">
      <c r="A881" s="182"/>
      <c r="B881" s="220" t="s">
        <v>562</v>
      </c>
      <c r="C881" s="231" t="s">
        <v>1520</v>
      </c>
      <c r="D881" s="220" t="s">
        <v>1373</v>
      </c>
      <c r="E881" s="199">
        <v>0</v>
      </c>
      <c r="F881" s="244">
        <f t="shared" si="27"/>
        <v>0</v>
      </c>
      <c r="G881" s="172">
        <v>2.2000000000000002</v>
      </c>
      <c r="H881" s="208">
        <f t="shared" si="28"/>
        <v>2.2000000000000002</v>
      </c>
    </row>
    <row r="882" spans="1:8" ht="18" thickBot="1" x14ac:dyDescent="0.45">
      <c r="A882" s="182"/>
      <c r="B882" s="220" t="s">
        <v>563</v>
      </c>
      <c r="C882" s="231" t="s">
        <v>1521</v>
      </c>
      <c r="D882" s="220" t="s">
        <v>1373</v>
      </c>
      <c r="E882" s="199">
        <v>0</v>
      </c>
      <c r="F882" s="244">
        <f t="shared" si="27"/>
        <v>0</v>
      </c>
      <c r="G882" s="172">
        <v>2.2000000000000002</v>
      </c>
      <c r="H882" s="208">
        <f t="shared" si="28"/>
        <v>2.2000000000000002</v>
      </c>
    </row>
    <row r="883" spans="1:8" ht="18" thickBot="1" x14ac:dyDescent="0.45">
      <c r="A883" s="182"/>
      <c r="B883" s="220" t="s">
        <v>564</v>
      </c>
      <c r="C883" s="231" t="s">
        <v>1522</v>
      </c>
      <c r="D883" s="220" t="s">
        <v>1373</v>
      </c>
      <c r="E883" s="199">
        <v>0</v>
      </c>
      <c r="F883" s="244">
        <f t="shared" si="27"/>
        <v>0</v>
      </c>
      <c r="G883" s="172">
        <v>2.2000000000000002</v>
      </c>
      <c r="H883" s="208">
        <f t="shared" si="28"/>
        <v>2.2000000000000002</v>
      </c>
    </row>
    <row r="884" spans="1:8" ht="18" thickBot="1" x14ac:dyDescent="0.45">
      <c r="A884" s="182"/>
      <c r="B884" s="220" t="s">
        <v>1229</v>
      </c>
      <c r="C884" s="231" t="s">
        <v>1523</v>
      </c>
      <c r="D884" s="220" t="s">
        <v>1373</v>
      </c>
      <c r="E884" s="199">
        <v>0</v>
      </c>
      <c r="F884" s="244">
        <f t="shared" si="27"/>
        <v>0</v>
      </c>
      <c r="G884" s="172">
        <v>2.2000000000000002</v>
      </c>
      <c r="H884" s="208">
        <f t="shared" si="28"/>
        <v>2.2000000000000002</v>
      </c>
    </row>
    <row r="885" spans="1:8" ht="18" thickBot="1" x14ac:dyDescent="0.45">
      <c r="A885" s="182"/>
      <c r="B885" s="220" t="s">
        <v>1230</v>
      </c>
      <c r="C885" s="231" t="s">
        <v>1524</v>
      </c>
      <c r="D885" s="220" t="s">
        <v>1373</v>
      </c>
      <c r="E885" s="199">
        <v>0</v>
      </c>
      <c r="F885" s="244">
        <f t="shared" si="27"/>
        <v>0</v>
      </c>
      <c r="G885" s="172">
        <v>2.2000000000000002</v>
      </c>
      <c r="H885" s="208">
        <f t="shared" si="28"/>
        <v>2.2000000000000002</v>
      </c>
    </row>
    <row r="886" spans="1:8" ht="18" thickBot="1" x14ac:dyDescent="0.45">
      <c r="A886" s="182"/>
      <c r="B886" s="220" t="s">
        <v>1231</v>
      </c>
      <c r="C886" s="231" t="s">
        <v>1525</v>
      </c>
      <c r="D886" s="220" t="s">
        <v>1373</v>
      </c>
      <c r="E886" s="199">
        <v>0</v>
      </c>
      <c r="F886" s="244">
        <f t="shared" si="27"/>
        <v>0</v>
      </c>
      <c r="G886" s="172">
        <v>2.2000000000000002</v>
      </c>
      <c r="H886" s="208">
        <f t="shared" si="28"/>
        <v>2.2000000000000002</v>
      </c>
    </row>
    <row r="887" spans="1:8" ht="18" thickBot="1" x14ac:dyDescent="0.45">
      <c r="A887" s="182"/>
      <c r="B887" s="220" t="s">
        <v>463</v>
      </c>
      <c r="C887" s="231" t="s">
        <v>1526</v>
      </c>
      <c r="D887" s="220" t="s">
        <v>1373</v>
      </c>
      <c r="E887" s="199">
        <v>1731</v>
      </c>
      <c r="F887" s="244">
        <f t="shared" si="27"/>
        <v>2.3266129032258065</v>
      </c>
      <c r="G887" s="172">
        <v>2.2000000000000002</v>
      </c>
      <c r="H887" s="208">
        <f t="shared" si="28"/>
        <v>-0.12661290322580632</v>
      </c>
    </row>
    <row r="888" spans="1:8" ht="18" thickBot="1" x14ac:dyDescent="0.45">
      <c r="A888" s="182"/>
      <c r="B888" s="220" t="s">
        <v>464</v>
      </c>
      <c r="C888" s="231" t="s">
        <v>1527</v>
      </c>
      <c r="D888" s="220" t="s">
        <v>1373</v>
      </c>
      <c r="E888" s="199">
        <v>0</v>
      </c>
      <c r="F888" s="244">
        <f t="shared" si="27"/>
        <v>0</v>
      </c>
      <c r="G888" s="172">
        <v>2.2000000000000002</v>
      </c>
      <c r="H888" s="208">
        <f t="shared" si="28"/>
        <v>2.2000000000000002</v>
      </c>
    </row>
    <row r="889" spans="1:8" ht="18" thickBot="1" x14ac:dyDescent="0.45">
      <c r="A889" s="182"/>
      <c r="B889" s="220" t="s">
        <v>465</v>
      </c>
      <c r="C889" s="220" t="s">
        <v>1391</v>
      </c>
      <c r="D889" s="220" t="s">
        <v>1391</v>
      </c>
      <c r="E889" s="199">
        <v>0</v>
      </c>
      <c r="F889" s="244">
        <f t="shared" si="27"/>
        <v>0</v>
      </c>
      <c r="G889" s="172">
        <v>2.2000000000000002</v>
      </c>
      <c r="H889" s="208">
        <f t="shared" si="28"/>
        <v>2.2000000000000002</v>
      </c>
    </row>
    <row r="890" spans="1:8" ht="18" thickBot="1" x14ac:dyDescent="0.45">
      <c r="A890" s="182"/>
      <c r="B890" s="220" t="s">
        <v>1232</v>
      </c>
      <c r="C890" s="221" t="s">
        <v>1528</v>
      </c>
      <c r="D890" s="220" t="s">
        <v>1392</v>
      </c>
      <c r="E890" s="199">
        <v>0</v>
      </c>
      <c r="F890" s="244">
        <f t="shared" si="27"/>
        <v>0</v>
      </c>
      <c r="G890" s="172">
        <v>0</v>
      </c>
      <c r="H890" s="208">
        <f t="shared" si="28"/>
        <v>0</v>
      </c>
    </row>
    <row r="891" spans="1:8" ht="18" thickBot="1" x14ac:dyDescent="0.45">
      <c r="A891" s="182"/>
      <c r="B891" s="220" t="s">
        <v>1233</v>
      </c>
      <c r="C891" s="221" t="s">
        <v>1529</v>
      </c>
      <c r="D891" s="220" t="s">
        <v>1393</v>
      </c>
      <c r="E891" s="199">
        <v>0</v>
      </c>
      <c r="F891" s="244">
        <f t="shared" si="27"/>
        <v>0</v>
      </c>
      <c r="G891" s="172">
        <v>0</v>
      </c>
      <c r="H891" s="208">
        <f t="shared" si="28"/>
        <v>0</v>
      </c>
    </row>
    <row r="892" spans="1:8" ht="18" thickBot="1" x14ac:dyDescent="0.45">
      <c r="A892" s="182"/>
      <c r="B892" s="220" t="s">
        <v>1234</v>
      </c>
      <c r="C892" s="221" t="s">
        <v>1530</v>
      </c>
      <c r="D892" s="220" t="s">
        <v>1394</v>
      </c>
      <c r="E892" s="199">
        <v>0</v>
      </c>
      <c r="F892" s="244">
        <f t="shared" si="27"/>
        <v>0</v>
      </c>
      <c r="G892" s="172">
        <v>0</v>
      </c>
      <c r="H892" s="208">
        <f t="shared" si="28"/>
        <v>0</v>
      </c>
    </row>
    <row r="893" spans="1:8" ht="18" thickBot="1" x14ac:dyDescent="0.45">
      <c r="A893" s="182"/>
      <c r="B893" s="220" t="s">
        <v>1235</v>
      </c>
      <c r="C893" s="221" t="s">
        <v>1531</v>
      </c>
      <c r="D893" s="220" t="s">
        <v>1395</v>
      </c>
      <c r="E893" s="199">
        <v>0</v>
      </c>
      <c r="F893" s="244">
        <f t="shared" si="27"/>
        <v>0</v>
      </c>
      <c r="G893" s="172">
        <v>0</v>
      </c>
      <c r="H893" s="208">
        <f t="shared" si="28"/>
        <v>0</v>
      </c>
    </row>
    <row r="894" spans="1:8" ht="18" thickBot="1" x14ac:dyDescent="0.45">
      <c r="A894" s="182"/>
      <c r="B894" s="220" t="s">
        <v>1236</v>
      </c>
      <c r="C894" s="221" t="s">
        <v>1532</v>
      </c>
      <c r="D894" s="220" t="s">
        <v>1396</v>
      </c>
      <c r="E894" s="199">
        <v>0</v>
      </c>
      <c r="F894" s="244">
        <f t="shared" si="27"/>
        <v>0</v>
      </c>
      <c r="G894" s="172">
        <v>0</v>
      </c>
      <c r="H894" s="208">
        <f t="shared" si="28"/>
        <v>0</v>
      </c>
    </row>
    <row r="895" spans="1:8" ht="18" thickBot="1" x14ac:dyDescent="0.45">
      <c r="A895" s="182"/>
      <c r="B895" s="220" t="s">
        <v>1237</v>
      </c>
      <c r="C895" s="221" t="s">
        <v>1533</v>
      </c>
      <c r="D895" s="220" t="s">
        <v>1397</v>
      </c>
      <c r="E895" s="199">
        <v>0</v>
      </c>
      <c r="F895" s="244">
        <f t="shared" si="27"/>
        <v>0</v>
      </c>
      <c r="G895" s="172">
        <v>0</v>
      </c>
      <c r="H895" s="208">
        <f t="shared" si="28"/>
        <v>0</v>
      </c>
    </row>
    <row r="896" spans="1:8" ht="18" thickBot="1" x14ac:dyDescent="0.45">
      <c r="A896" s="182"/>
      <c r="B896" s="220" t="s">
        <v>1238</v>
      </c>
      <c r="C896" s="221" t="s">
        <v>1534</v>
      </c>
      <c r="D896" s="220" t="s">
        <v>1398</v>
      </c>
      <c r="E896" s="199">
        <v>0</v>
      </c>
      <c r="F896" s="244">
        <f t="shared" si="27"/>
        <v>0</v>
      </c>
      <c r="G896" s="172">
        <v>0</v>
      </c>
      <c r="H896" s="208">
        <f t="shared" si="28"/>
        <v>0</v>
      </c>
    </row>
    <row r="897" spans="1:8" ht="18" thickBot="1" x14ac:dyDescent="0.45">
      <c r="A897" s="182"/>
      <c r="B897" s="220"/>
      <c r="C897" s="221"/>
      <c r="D897" s="220"/>
      <c r="E897" s="199">
        <v>0</v>
      </c>
      <c r="F897" s="244">
        <f t="shared" si="27"/>
        <v>0</v>
      </c>
      <c r="G897" s="172" t="s">
        <v>1658</v>
      </c>
      <c r="H897" s="208" t="str">
        <f t="shared" si="28"/>
        <v/>
      </c>
    </row>
    <row r="898" spans="1:8" ht="18" thickBot="1" x14ac:dyDescent="0.45">
      <c r="A898" s="182"/>
      <c r="B898" s="220" t="s">
        <v>1239</v>
      </c>
      <c r="C898" s="221" t="s">
        <v>1535</v>
      </c>
      <c r="D898" s="220" t="s">
        <v>1399</v>
      </c>
      <c r="E898" s="199">
        <v>0</v>
      </c>
      <c r="F898" s="244">
        <f t="shared" si="27"/>
        <v>0</v>
      </c>
      <c r="G898" s="172">
        <v>0</v>
      </c>
      <c r="H898" s="208">
        <f t="shared" si="28"/>
        <v>0</v>
      </c>
    </row>
    <row r="899" spans="1:8" ht="18" thickBot="1" x14ac:dyDescent="0.45">
      <c r="A899" s="182"/>
      <c r="B899" s="220" t="s">
        <v>1240</v>
      </c>
      <c r="C899" s="221" t="s">
        <v>1536</v>
      </c>
      <c r="D899" s="220" t="s">
        <v>1400</v>
      </c>
      <c r="E899" s="199">
        <v>0</v>
      </c>
      <c r="F899" s="244">
        <f t="shared" si="27"/>
        <v>0</v>
      </c>
      <c r="G899" s="172">
        <v>0</v>
      </c>
      <c r="H899" s="208">
        <f t="shared" si="28"/>
        <v>0</v>
      </c>
    </row>
    <row r="900" spans="1:8" ht="18" thickBot="1" x14ac:dyDescent="0.45">
      <c r="A900" s="182"/>
      <c r="B900" s="220" t="s">
        <v>446</v>
      </c>
      <c r="C900" s="221" t="s">
        <v>1537</v>
      </c>
      <c r="D900" s="220" t="s">
        <v>1401</v>
      </c>
      <c r="E900" s="199">
        <v>0</v>
      </c>
      <c r="F900" s="244">
        <f t="shared" si="27"/>
        <v>0</v>
      </c>
      <c r="G900" s="172">
        <v>0</v>
      </c>
      <c r="H900" s="208">
        <f t="shared" si="28"/>
        <v>0</v>
      </c>
    </row>
    <row r="901" spans="1:8" ht="18" thickBot="1" x14ac:dyDescent="0.45">
      <c r="A901" s="182"/>
      <c r="B901" s="220" t="s">
        <v>1241</v>
      </c>
      <c r="C901" s="229" t="s">
        <v>1538</v>
      </c>
      <c r="D901" s="220" t="s">
        <v>1402</v>
      </c>
      <c r="E901" s="199">
        <v>0</v>
      </c>
      <c r="F901" s="244">
        <f t="shared" ref="F901:F964" si="29">E901/(24*31)</f>
        <v>0</v>
      </c>
      <c r="G901" s="172">
        <v>2.2000000000000002</v>
      </c>
      <c r="H901" s="208">
        <f t="shared" ref="H901:H964" si="30">IFERROR(G901-F901, "")</f>
        <v>2.2000000000000002</v>
      </c>
    </row>
    <row r="902" spans="1:8" ht="18" thickBot="1" x14ac:dyDescent="0.45">
      <c r="A902" s="182"/>
      <c r="B902" s="220" t="s">
        <v>1242</v>
      </c>
      <c r="C902" s="229" t="s">
        <v>1539</v>
      </c>
      <c r="D902" s="220" t="s">
        <v>1403</v>
      </c>
      <c r="E902" s="199">
        <v>0</v>
      </c>
      <c r="F902" s="244">
        <f t="shared" si="29"/>
        <v>0</v>
      </c>
      <c r="G902" s="172">
        <v>2.2000000000000002</v>
      </c>
      <c r="H902" s="208">
        <f t="shared" si="30"/>
        <v>2.2000000000000002</v>
      </c>
    </row>
    <row r="903" spans="1:8" ht="18" thickBot="1" x14ac:dyDescent="0.45">
      <c r="A903" s="182"/>
      <c r="B903" s="220"/>
      <c r="C903" s="162" t="s">
        <v>1540</v>
      </c>
      <c r="D903" s="162"/>
      <c r="E903" s="199">
        <v>0</v>
      </c>
      <c r="F903" s="244">
        <f t="shared" si="29"/>
        <v>0</v>
      </c>
      <c r="G903" s="172" t="s">
        <v>1658</v>
      </c>
      <c r="H903" s="208" t="str">
        <f t="shared" si="30"/>
        <v/>
      </c>
    </row>
    <row r="904" spans="1:8" ht="18" thickBot="1" x14ac:dyDescent="0.45">
      <c r="A904" s="182"/>
      <c r="B904" s="220"/>
      <c r="C904" s="162" t="s">
        <v>1541</v>
      </c>
      <c r="D904" s="162"/>
      <c r="E904" s="199">
        <v>0</v>
      </c>
      <c r="F904" s="244">
        <f t="shared" si="29"/>
        <v>0</v>
      </c>
      <c r="G904" s="172" t="s">
        <v>1658</v>
      </c>
      <c r="H904" s="208" t="str">
        <f t="shared" si="30"/>
        <v/>
      </c>
    </row>
    <row r="905" spans="1:8" ht="18" thickBot="1" x14ac:dyDescent="0.45">
      <c r="A905" s="182"/>
      <c r="B905" s="220"/>
      <c r="C905" s="162" t="s">
        <v>1542</v>
      </c>
      <c r="D905" s="162"/>
      <c r="E905" s="199">
        <v>0</v>
      </c>
      <c r="F905" s="244">
        <f t="shared" si="29"/>
        <v>0</v>
      </c>
      <c r="G905" s="172" t="s">
        <v>1658</v>
      </c>
      <c r="H905" s="208" t="str">
        <f t="shared" si="30"/>
        <v/>
      </c>
    </row>
    <row r="906" spans="1:8" ht="18" thickBot="1" x14ac:dyDescent="0.45">
      <c r="A906" s="182"/>
      <c r="B906" s="220"/>
      <c r="C906" s="163" t="s">
        <v>1543</v>
      </c>
      <c r="D906" s="163"/>
      <c r="E906" s="199">
        <v>0</v>
      </c>
      <c r="F906" s="244">
        <f t="shared" si="29"/>
        <v>0</v>
      </c>
      <c r="G906" s="172" t="s">
        <v>1658</v>
      </c>
      <c r="H906" s="208" t="str">
        <f t="shared" si="30"/>
        <v/>
      </c>
    </row>
    <row r="907" spans="1:8" ht="18" thickBot="1" x14ac:dyDescent="0.45">
      <c r="A907" s="182"/>
      <c r="B907" s="220" t="s">
        <v>1243</v>
      </c>
      <c r="C907" s="220" t="s">
        <v>1544</v>
      </c>
      <c r="D907" s="220" t="s">
        <v>1404</v>
      </c>
      <c r="E907" s="199">
        <v>0</v>
      </c>
      <c r="F907" s="244">
        <f t="shared" si="29"/>
        <v>0</v>
      </c>
      <c r="G907" s="172">
        <v>0</v>
      </c>
      <c r="H907" s="208">
        <f t="shared" si="30"/>
        <v>0</v>
      </c>
    </row>
    <row r="908" spans="1:8" ht="18" thickBot="1" x14ac:dyDescent="0.45">
      <c r="A908" s="182"/>
      <c r="B908" s="220" t="s">
        <v>1244</v>
      </c>
      <c r="C908" s="221" t="s">
        <v>1545</v>
      </c>
      <c r="D908" s="220" t="s">
        <v>1405</v>
      </c>
      <c r="E908" s="199">
        <v>0</v>
      </c>
      <c r="F908" s="244">
        <f t="shared" si="29"/>
        <v>0</v>
      </c>
      <c r="G908" s="172">
        <v>0</v>
      </c>
      <c r="H908" s="208">
        <f t="shared" si="30"/>
        <v>0</v>
      </c>
    </row>
    <row r="909" spans="1:8" ht="18" thickBot="1" x14ac:dyDescent="0.45">
      <c r="A909" s="182"/>
      <c r="B909" s="220" t="s">
        <v>1245</v>
      </c>
      <c r="C909" s="221" t="s">
        <v>1546</v>
      </c>
      <c r="D909" s="220" t="s">
        <v>1406</v>
      </c>
      <c r="E909" s="199">
        <v>0</v>
      </c>
      <c r="F909" s="244">
        <f t="shared" si="29"/>
        <v>0</v>
      </c>
      <c r="G909" s="172">
        <v>0</v>
      </c>
      <c r="H909" s="208">
        <f t="shared" si="30"/>
        <v>0</v>
      </c>
    </row>
    <row r="910" spans="1:8" ht="18" thickBot="1" x14ac:dyDescent="0.45">
      <c r="A910" s="182"/>
      <c r="B910" s="220" t="s">
        <v>1246</v>
      </c>
      <c r="C910" s="221" t="s">
        <v>1547</v>
      </c>
      <c r="D910" s="220" t="s">
        <v>1407</v>
      </c>
      <c r="E910" s="199">
        <v>0</v>
      </c>
      <c r="F910" s="244">
        <f t="shared" si="29"/>
        <v>0</v>
      </c>
      <c r="G910" s="172">
        <v>0</v>
      </c>
      <c r="H910" s="208">
        <f t="shared" si="30"/>
        <v>0</v>
      </c>
    </row>
    <row r="911" spans="1:8" ht="18" thickBot="1" x14ac:dyDescent="0.45">
      <c r="A911" s="182"/>
      <c r="B911" s="220" t="s">
        <v>1247</v>
      </c>
      <c r="C911" s="221" t="s">
        <v>1548</v>
      </c>
      <c r="D911" s="220" t="s">
        <v>1408</v>
      </c>
      <c r="E911" s="199">
        <v>0</v>
      </c>
      <c r="F911" s="244">
        <f t="shared" si="29"/>
        <v>0</v>
      </c>
      <c r="G911" s="172">
        <v>0</v>
      </c>
      <c r="H911" s="208">
        <f t="shared" si="30"/>
        <v>0</v>
      </c>
    </row>
    <row r="912" spans="1:8" ht="18" thickBot="1" x14ac:dyDescent="0.45">
      <c r="A912" s="182"/>
      <c r="B912" s="220" t="s">
        <v>1248</v>
      </c>
      <c r="C912" s="221" t="s">
        <v>1549</v>
      </c>
      <c r="D912" s="220" t="s">
        <v>1409</v>
      </c>
      <c r="E912" s="199">
        <v>0</v>
      </c>
      <c r="F912" s="244">
        <f t="shared" si="29"/>
        <v>0</v>
      </c>
      <c r="G912" s="172">
        <v>0</v>
      </c>
      <c r="H912" s="208">
        <f t="shared" si="30"/>
        <v>0</v>
      </c>
    </row>
    <row r="913" spans="1:8" ht="18" thickBot="1" x14ac:dyDescent="0.45">
      <c r="A913" s="182"/>
      <c r="B913" s="220" t="s">
        <v>1249</v>
      </c>
      <c r="C913" s="221" t="s">
        <v>1550</v>
      </c>
      <c r="D913" s="220" t="s">
        <v>1410</v>
      </c>
      <c r="E913" s="199">
        <v>0</v>
      </c>
      <c r="F913" s="244">
        <f t="shared" si="29"/>
        <v>0</v>
      </c>
      <c r="G913" s="172">
        <v>0</v>
      </c>
      <c r="H913" s="208">
        <f t="shared" si="30"/>
        <v>0</v>
      </c>
    </row>
    <row r="914" spans="1:8" ht="18" thickBot="1" x14ac:dyDescent="0.45">
      <c r="A914" s="182"/>
      <c r="B914" s="220" t="s">
        <v>1250</v>
      </c>
      <c r="C914" s="221" t="s">
        <v>1551</v>
      </c>
      <c r="D914" s="220" t="s">
        <v>1411</v>
      </c>
      <c r="E914" s="199">
        <v>0</v>
      </c>
      <c r="F914" s="244">
        <f t="shared" si="29"/>
        <v>0</v>
      </c>
      <c r="G914" s="172">
        <v>0</v>
      </c>
      <c r="H914" s="208">
        <f t="shared" si="30"/>
        <v>0</v>
      </c>
    </row>
    <row r="915" spans="1:8" ht="18" thickBot="1" x14ac:dyDescent="0.45">
      <c r="A915" s="182"/>
      <c r="B915" s="220" t="s">
        <v>1251</v>
      </c>
      <c r="C915" s="221" t="s">
        <v>1552</v>
      </c>
      <c r="D915" s="220" t="s">
        <v>1412</v>
      </c>
      <c r="E915" s="199">
        <v>0</v>
      </c>
      <c r="F915" s="244">
        <f t="shared" si="29"/>
        <v>0</v>
      </c>
      <c r="G915" s="172">
        <v>0</v>
      </c>
      <c r="H915" s="208">
        <f t="shared" si="30"/>
        <v>0</v>
      </c>
    </row>
    <row r="916" spans="1:8" ht="18" thickBot="1" x14ac:dyDescent="0.45">
      <c r="A916" s="182"/>
      <c r="B916" s="220" t="s">
        <v>1252</v>
      </c>
      <c r="C916" s="221" t="s">
        <v>1553</v>
      </c>
      <c r="D916" s="220" t="s">
        <v>1413</v>
      </c>
      <c r="E916" s="199">
        <v>0</v>
      </c>
      <c r="F916" s="244">
        <f t="shared" si="29"/>
        <v>0</v>
      </c>
      <c r="G916" s="172">
        <v>0</v>
      </c>
      <c r="H916" s="208">
        <f t="shared" si="30"/>
        <v>0</v>
      </c>
    </row>
    <row r="917" spans="1:8" ht="18" thickBot="1" x14ac:dyDescent="0.45">
      <c r="A917" s="182"/>
      <c r="B917" s="220" t="s">
        <v>1253</v>
      </c>
      <c r="C917" s="221" t="s">
        <v>1554</v>
      </c>
      <c r="D917" s="220" t="s">
        <v>1414</v>
      </c>
      <c r="E917" s="199">
        <v>0</v>
      </c>
      <c r="F917" s="244">
        <f t="shared" si="29"/>
        <v>0</v>
      </c>
      <c r="G917" s="172">
        <v>0</v>
      </c>
      <c r="H917" s="208">
        <f t="shared" si="30"/>
        <v>0</v>
      </c>
    </row>
    <row r="918" spans="1:8" ht="18" thickBot="1" x14ac:dyDescent="0.45">
      <c r="A918" s="182"/>
      <c r="B918" s="220" t="s">
        <v>1254</v>
      </c>
      <c r="C918" s="221" t="s">
        <v>1555</v>
      </c>
      <c r="D918" s="220" t="s">
        <v>1415</v>
      </c>
      <c r="E918" s="199">
        <v>0</v>
      </c>
      <c r="F918" s="244">
        <f t="shared" si="29"/>
        <v>0</v>
      </c>
      <c r="G918" s="172">
        <v>0</v>
      </c>
      <c r="H918" s="208">
        <f t="shared" si="30"/>
        <v>0</v>
      </c>
    </row>
    <row r="919" spans="1:8" ht="18" thickBot="1" x14ac:dyDescent="0.45">
      <c r="A919" s="182"/>
      <c r="B919" s="220"/>
      <c r="C919" s="158" t="s">
        <v>1556</v>
      </c>
      <c r="D919" s="158"/>
      <c r="E919" s="199">
        <v>0</v>
      </c>
      <c r="F919" s="244">
        <f t="shared" si="29"/>
        <v>0</v>
      </c>
      <c r="G919" s="172" t="s">
        <v>1658</v>
      </c>
      <c r="H919" s="208" t="str">
        <f t="shared" si="30"/>
        <v/>
      </c>
    </row>
    <row r="920" spans="1:8" ht="18" thickBot="1" x14ac:dyDescent="0.45">
      <c r="A920" s="182"/>
      <c r="B920" s="220" t="s">
        <v>1255</v>
      </c>
      <c r="C920" s="221" t="s">
        <v>1557</v>
      </c>
      <c r="D920" s="225" t="s">
        <v>1350</v>
      </c>
      <c r="E920" s="199">
        <v>0</v>
      </c>
      <c r="F920" s="244">
        <f t="shared" si="29"/>
        <v>0</v>
      </c>
      <c r="G920" s="172">
        <v>0</v>
      </c>
      <c r="H920" s="208">
        <f t="shared" si="30"/>
        <v>0</v>
      </c>
    </row>
    <row r="921" spans="1:8" ht="18" thickBot="1" x14ac:dyDescent="0.45">
      <c r="A921" s="182"/>
      <c r="B921" s="220"/>
      <c r="C921" s="221"/>
      <c r="D921" s="225"/>
      <c r="E921" s="199">
        <v>0</v>
      </c>
      <c r="F921" s="244">
        <f t="shared" si="29"/>
        <v>0</v>
      </c>
      <c r="G921" s="172" t="s">
        <v>1658</v>
      </c>
      <c r="H921" s="208" t="str">
        <f t="shared" si="30"/>
        <v/>
      </c>
    </row>
    <row r="922" spans="1:8" ht="18" thickBot="1" x14ac:dyDescent="0.45">
      <c r="A922" s="182"/>
      <c r="B922" s="220" t="s">
        <v>1256</v>
      </c>
      <c r="C922" s="230" t="s">
        <v>1558</v>
      </c>
      <c r="D922" s="222" t="s">
        <v>1416</v>
      </c>
      <c r="E922" s="199">
        <v>0</v>
      </c>
      <c r="F922" s="244">
        <f t="shared" si="29"/>
        <v>0</v>
      </c>
      <c r="G922" s="172">
        <v>0</v>
      </c>
      <c r="H922" s="208">
        <f t="shared" si="30"/>
        <v>0</v>
      </c>
    </row>
    <row r="923" spans="1:8" ht="18" thickBot="1" x14ac:dyDescent="0.45">
      <c r="A923" s="182"/>
      <c r="B923" s="220"/>
      <c r="C923" s="230"/>
      <c r="D923" s="222"/>
      <c r="E923" s="199">
        <v>0</v>
      </c>
      <c r="F923" s="244">
        <f t="shared" si="29"/>
        <v>0</v>
      </c>
      <c r="G923" s="172" t="s">
        <v>1658</v>
      </c>
      <c r="H923" s="208" t="str">
        <f t="shared" si="30"/>
        <v/>
      </c>
    </row>
    <row r="924" spans="1:8" ht="18" thickBot="1" x14ac:dyDescent="0.45">
      <c r="A924" s="182"/>
      <c r="B924" s="220"/>
      <c r="C924" s="158" t="s">
        <v>1559</v>
      </c>
      <c r="D924" s="158"/>
      <c r="E924" s="199">
        <v>0</v>
      </c>
      <c r="F924" s="244">
        <f t="shared" si="29"/>
        <v>0</v>
      </c>
      <c r="G924" s="172" t="s">
        <v>1658</v>
      </c>
      <c r="H924" s="208" t="str">
        <f t="shared" si="30"/>
        <v/>
      </c>
    </row>
    <row r="925" spans="1:8" ht="18" thickBot="1" x14ac:dyDescent="0.45">
      <c r="A925" s="182"/>
      <c r="B925" s="220" t="s">
        <v>1257</v>
      </c>
      <c r="C925" s="221" t="s">
        <v>1560</v>
      </c>
      <c r="D925" s="220" t="s">
        <v>1417</v>
      </c>
      <c r="E925" s="199">
        <v>0</v>
      </c>
      <c r="F925" s="244">
        <f t="shared" si="29"/>
        <v>0</v>
      </c>
      <c r="G925" s="172">
        <v>0</v>
      </c>
      <c r="H925" s="208">
        <f t="shared" si="30"/>
        <v>0</v>
      </c>
    </row>
    <row r="926" spans="1:8" ht="18" thickBot="1" x14ac:dyDescent="0.45">
      <c r="A926" s="182"/>
      <c r="B926" s="220" t="s">
        <v>1258</v>
      </c>
      <c r="C926" s="221" t="s">
        <v>1561</v>
      </c>
      <c r="D926" s="220" t="s">
        <v>1418</v>
      </c>
      <c r="E926" s="199">
        <v>0</v>
      </c>
      <c r="F926" s="244">
        <f t="shared" si="29"/>
        <v>0</v>
      </c>
      <c r="G926" s="172">
        <v>0</v>
      </c>
      <c r="H926" s="208">
        <f t="shared" si="30"/>
        <v>0</v>
      </c>
    </row>
    <row r="927" spans="1:8" ht="18" thickBot="1" x14ac:dyDescent="0.45">
      <c r="A927" s="182"/>
      <c r="B927" s="220" t="s">
        <v>1259</v>
      </c>
      <c r="C927" s="221" t="s">
        <v>1562</v>
      </c>
      <c r="D927" s="220" t="s">
        <v>1419</v>
      </c>
      <c r="E927" s="199">
        <v>0</v>
      </c>
      <c r="F927" s="244">
        <f t="shared" si="29"/>
        <v>0</v>
      </c>
      <c r="G927" s="172">
        <v>0</v>
      </c>
      <c r="H927" s="208">
        <f t="shared" si="30"/>
        <v>0</v>
      </c>
    </row>
    <row r="928" spans="1:8" ht="18" thickBot="1" x14ac:dyDescent="0.45">
      <c r="A928" s="182"/>
      <c r="B928" s="220" t="s">
        <v>1260</v>
      </c>
      <c r="C928" s="221" t="s">
        <v>1563</v>
      </c>
      <c r="D928" s="220" t="s">
        <v>1420</v>
      </c>
      <c r="E928" s="199">
        <v>0</v>
      </c>
      <c r="F928" s="244">
        <f t="shared" si="29"/>
        <v>0</v>
      </c>
      <c r="G928" s="172">
        <v>0</v>
      </c>
      <c r="H928" s="208">
        <f t="shared" si="30"/>
        <v>0</v>
      </c>
    </row>
    <row r="929" spans="1:8" ht="18" thickBot="1" x14ac:dyDescent="0.45">
      <c r="A929" s="182"/>
      <c r="B929" s="220" t="s">
        <v>422</v>
      </c>
      <c r="C929" s="195" t="s">
        <v>1564</v>
      </c>
      <c r="D929" s="220" t="s">
        <v>1350</v>
      </c>
      <c r="E929" s="199">
        <v>0</v>
      </c>
      <c r="F929" s="244">
        <f t="shared" si="29"/>
        <v>0</v>
      </c>
      <c r="G929" s="172">
        <v>1.6</v>
      </c>
      <c r="H929" s="208">
        <f t="shared" si="30"/>
        <v>1.6</v>
      </c>
    </row>
    <row r="930" spans="1:8" ht="18" thickBot="1" x14ac:dyDescent="0.45">
      <c r="A930" s="182"/>
      <c r="B930" s="220" t="s">
        <v>1261</v>
      </c>
      <c r="C930" s="229" t="s">
        <v>1565</v>
      </c>
      <c r="D930" s="220" t="s">
        <v>1350</v>
      </c>
      <c r="E930" s="199">
        <v>0</v>
      </c>
      <c r="F930" s="244">
        <f t="shared" si="29"/>
        <v>0</v>
      </c>
      <c r="G930" s="172">
        <v>1.6</v>
      </c>
      <c r="H930" s="208">
        <f t="shared" si="30"/>
        <v>1.6</v>
      </c>
    </row>
    <row r="931" spans="1:8" ht="18" thickBot="1" x14ac:dyDescent="0.45">
      <c r="A931" s="182"/>
      <c r="B931" s="220" t="s">
        <v>1262</v>
      </c>
      <c r="C931" s="229" t="s">
        <v>1566</v>
      </c>
      <c r="D931" s="220" t="s">
        <v>1350</v>
      </c>
      <c r="E931" s="199">
        <v>0</v>
      </c>
      <c r="F931" s="244">
        <f t="shared" si="29"/>
        <v>0</v>
      </c>
      <c r="G931" s="172">
        <v>1.6</v>
      </c>
      <c r="H931" s="208">
        <f t="shared" si="30"/>
        <v>1.6</v>
      </c>
    </row>
    <row r="932" spans="1:8" ht="18" thickBot="1" x14ac:dyDescent="0.45">
      <c r="A932" s="182"/>
      <c r="B932" s="220" t="s">
        <v>1263</v>
      </c>
      <c r="C932" s="228" t="s">
        <v>1567</v>
      </c>
      <c r="D932" s="222" t="s">
        <v>1350</v>
      </c>
      <c r="E932" s="199">
        <v>0</v>
      </c>
      <c r="F932" s="244">
        <f t="shared" si="29"/>
        <v>0</v>
      </c>
      <c r="G932" s="172">
        <v>0</v>
      </c>
      <c r="H932" s="208">
        <f t="shared" si="30"/>
        <v>0</v>
      </c>
    </row>
    <row r="933" spans="1:8" ht="18" thickBot="1" x14ac:dyDescent="0.45">
      <c r="A933" s="182"/>
      <c r="B933" s="220"/>
      <c r="C933" s="228"/>
      <c r="D933" s="222"/>
      <c r="E933" s="199">
        <v>0</v>
      </c>
      <c r="F933" s="244">
        <f t="shared" si="29"/>
        <v>0</v>
      </c>
      <c r="G933" s="172" t="s">
        <v>1658</v>
      </c>
      <c r="H933" s="208" t="str">
        <f t="shared" si="30"/>
        <v/>
      </c>
    </row>
    <row r="934" spans="1:8" ht="18" thickBot="1" x14ac:dyDescent="0.45">
      <c r="A934" s="182"/>
      <c r="B934" s="220" t="s">
        <v>1264</v>
      </c>
      <c r="C934" s="228" t="s">
        <v>1568</v>
      </c>
      <c r="D934" s="222" t="s">
        <v>1350</v>
      </c>
      <c r="E934" s="199">
        <v>0</v>
      </c>
      <c r="F934" s="244">
        <f t="shared" si="29"/>
        <v>0</v>
      </c>
      <c r="G934" s="172">
        <v>0</v>
      </c>
      <c r="H934" s="208">
        <f t="shared" si="30"/>
        <v>0</v>
      </c>
    </row>
    <row r="935" spans="1:8" ht="18" thickBot="1" x14ac:dyDescent="0.45">
      <c r="A935" s="182"/>
      <c r="B935" s="220"/>
      <c r="C935" s="228"/>
      <c r="D935" s="222"/>
      <c r="E935" s="199">
        <v>0</v>
      </c>
      <c r="F935" s="244">
        <f t="shared" si="29"/>
        <v>0</v>
      </c>
      <c r="G935" s="172" t="s">
        <v>1658</v>
      </c>
      <c r="H935" s="208" t="str">
        <f t="shared" si="30"/>
        <v/>
      </c>
    </row>
    <row r="936" spans="1:8" ht="18" thickBot="1" x14ac:dyDescent="0.45">
      <c r="A936" s="182"/>
      <c r="B936" s="220" t="s">
        <v>1265</v>
      </c>
      <c r="C936" s="229" t="s">
        <v>1569</v>
      </c>
      <c r="D936" s="220" t="s">
        <v>1350</v>
      </c>
      <c r="E936" s="199">
        <v>0</v>
      </c>
      <c r="F936" s="244">
        <f t="shared" si="29"/>
        <v>0</v>
      </c>
      <c r="G936" s="172">
        <v>1.6</v>
      </c>
      <c r="H936" s="208">
        <f t="shared" si="30"/>
        <v>1.6</v>
      </c>
    </row>
    <row r="937" spans="1:8" ht="18" thickBot="1" x14ac:dyDescent="0.45">
      <c r="A937" s="182"/>
      <c r="B937" s="220" t="s">
        <v>1266</v>
      </c>
      <c r="C937" s="229" t="s">
        <v>1570</v>
      </c>
      <c r="D937" s="220" t="s">
        <v>1350</v>
      </c>
      <c r="E937" s="199">
        <v>0</v>
      </c>
      <c r="F937" s="244">
        <f t="shared" si="29"/>
        <v>0</v>
      </c>
      <c r="G937" s="172">
        <v>1.6</v>
      </c>
      <c r="H937" s="208">
        <f t="shared" si="30"/>
        <v>1.6</v>
      </c>
    </row>
    <row r="938" spans="1:8" ht="18" thickBot="1" x14ac:dyDescent="0.45">
      <c r="A938" s="182"/>
      <c r="B938" s="220" t="s">
        <v>1267</v>
      </c>
      <c r="C938" s="229" t="s">
        <v>1571</v>
      </c>
      <c r="D938" s="220" t="s">
        <v>1350</v>
      </c>
      <c r="E938" s="199">
        <v>0</v>
      </c>
      <c r="F938" s="244">
        <f t="shared" si="29"/>
        <v>0</v>
      </c>
      <c r="G938" s="172">
        <v>1.6</v>
      </c>
      <c r="H938" s="208">
        <f t="shared" si="30"/>
        <v>1.6</v>
      </c>
    </row>
    <row r="939" spans="1:8" ht="18" thickBot="1" x14ac:dyDescent="0.45">
      <c r="A939" s="182"/>
      <c r="B939" s="220" t="s">
        <v>1268</v>
      </c>
      <c r="C939" s="221" t="s">
        <v>1572</v>
      </c>
      <c r="D939" s="220" t="s">
        <v>1421</v>
      </c>
      <c r="E939" s="199">
        <v>0</v>
      </c>
      <c r="F939" s="244">
        <f t="shared" si="29"/>
        <v>0</v>
      </c>
      <c r="G939" s="172">
        <v>0</v>
      </c>
      <c r="H939" s="208">
        <f t="shared" si="30"/>
        <v>0</v>
      </c>
    </row>
    <row r="940" spans="1:8" ht="18" thickBot="1" x14ac:dyDescent="0.45">
      <c r="A940" s="182"/>
      <c r="B940" s="220" t="s">
        <v>963</v>
      </c>
      <c r="C940" s="221" t="s">
        <v>1573</v>
      </c>
      <c r="D940" s="220" t="s">
        <v>1422</v>
      </c>
      <c r="E940" s="199">
        <v>0</v>
      </c>
      <c r="F940" s="244">
        <f t="shared" si="29"/>
        <v>0</v>
      </c>
      <c r="G940" s="172">
        <v>0</v>
      </c>
      <c r="H940" s="208">
        <f t="shared" si="30"/>
        <v>0</v>
      </c>
    </row>
    <row r="941" spans="1:8" ht="18" thickBot="1" x14ac:dyDescent="0.45">
      <c r="A941" s="182"/>
      <c r="B941" s="220" t="s">
        <v>964</v>
      </c>
      <c r="C941" s="221" t="s">
        <v>1574</v>
      </c>
      <c r="D941" s="220" t="s">
        <v>1423</v>
      </c>
      <c r="E941" s="199">
        <v>0</v>
      </c>
      <c r="F941" s="244">
        <f t="shared" si="29"/>
        <v>0</v>
      </c>
      <c r="G941" s="172">
        <v>0</v>
      </c>
      <c r="H941" s="208">
        <f t="shared" si="30"/>
        <v>0</v>
      </c>
    </row>
    <row r="942" spans="1:8" ht="18" thickBot="1" x14ac:dyDescent="0.45">
      <c r="A942" s="182"/>
      <c r="B942" s="220" t="s">
        <v>1269</v>
      </c>
      <c r="C942" s="221" t="s">
        <v>1575</v>
      </c>
      <c r="D942" s="220" t="s">
        <v>1424</v>
      </c>
      <c r="E942" s="199">
        <v>0</v>
      </c>
      <c r="F942" s="244">
        <f t="shared" si="29"/>
        <v>0</v>
      </c>
      <c r="G942" s="172">
        <v>0</v>
      </c>
      <c r="H942" s="208">
        <f t="shared" si="30"/>
        <v>0</v>
      </c>
    </row>
    <row r="943" spans="1:8" ht="18" thickBot="1" x14ac:dyDescent="0.45">
      <c r="A943" s="182"/>
      <c r="B943" s="220" t="s">
        <v>1270</v>
      </c>
      <c r="C943" s="221" t="s">
        <v>1576</v>
      </c>
      <c r="D943" s="220" t="s">
        <v>1425</v>
      </c>
      <c r="E943" s="199">
        <v>0</v>
      </c>
      <c r="F943" s="244">
        <f t="shared" si="29"/>
        <v>0</v>
      </c>
      <c r="G943" s="172">
        <v>0</v>
      </c>
      <c r="H943" s="208">
        <f t="shared" si="30"/>
        <v>0</v>
      </c>
    </row>
    <row r="944" spans="1:8" ht="18" thickBot="1" x14ac:dyDescent="0.45">
      <c r="A944" s="182"/>
      <c r="B944" s="220" t="s">
        <v>1271</v>
      </c>
      <c r="C944" s="221" t="s">
        <v>1577</v>
      </c>
      <c r="D944" s="220" t="s">
        <v>1426</v>
      </c>
      <c r="E944" s="199">
        <v>0</v>
      </c>
      <c r="F944" s="244">
        <f t="shared" si="29"/>
        <v>0</v>
      </c>
      <c r="G944" s="172">
        <v>0</v>
      </c>
      <c r="H944" s="208">
        <f t="shared" si="30"/>
        <v>0</v>
      </c>
    </row>
    <row r="945" spans="1:8" ht="18" thickBot="1" x14ac:dyDescent="0.45">
      <c r="A945" s="182"/>
      <c r="B945" s="220" t="s">
        <v>1272</v>
      </c>
      <c r="C945" s="231" t="s">
        <v>1578</v>
      </c>
      <c r="D945" s="220" t="s">
        <v>1350</v>
      </c>
      <c r="E945" s="199">
        <v>0</v>
      </c>
      <c r="F945" s="244">
        <f t="shared" si="29"/>
        <v>0</v>
      </c>
      <c r="G945" s="172">
        <v>1.6</v>
      </c>
      <c r="H945" s="208">
        <f t="shared" si="30"/>
        <v>1.6</v>
      </c>
    </row>
    <row r="946" spans="1:8" ht="18" thickBot="1" x14ac:dyDescent="0.45">
      <c r="A946" s="182"/>
      <c r="B946" s="220" t="s">
        <v>402</v>
      </c>
      <c r="C946" s="231" t="s">
        <v>1579</v>
      </c>
      <c r="D946" s="220" t="s">
        <v>1350</v>
      </c>
      <c r="E946" s="199">
        <v>0</v>
      </c>
      <c r="F946" s="244">
        <f t="shared" si="29"/>
        <v>0</v>
      </c>
      <c r="G946" s="172">
        <v>1.6</v>
      </c>
      <c r="H946" s="208">
        <f t="shared" si="30"/>
        <v>1.6</v>
      </c>
    </row>
    <row r="947" spans="1:8" ht="18" thickBot="1" x14ac:dyDescent="0.45">
      <c r="A947" s="182"/>
      <c r="B947" s="220" t="s">
        <v>1273</v>
      </c>
      <c r="C947" s="231" t="s">
        <v>1580</v>
      </c>
      <c r="D947" s="220" t="s">
        <v>1350</v>
      </c>
      <c r="E947" s="199">
        <v>1855.3</v>
      </c>
      <c r="F947" s="244">
        <f t="shared" si="29"/>
        <v>2.4936827956989247</v>
      </c>
      <c r="G947" s="172">
        <v>1.6</v>
      </c>
      <c r="H947" s="208">
        <f t="shared" si="30"/>
        <v>-0.89368279569892461</v>
      </c>
    </row>
    <row r="948" spans="1:8" ht="18" thickBot="1" x14ac:dyDescent="0.45">
      <c r="A948" s="182"/>
      <c r="B948" s="220" t="s">
        <v>1274</v>
      </c>
      <c r="C948" s="231" t="s">
        <v>1581</v>
      </c>
      <c r="D948" s="220" t="s">
        <v>1350</v>
      </c>
      <c r="E948" s="199">
        <v>1811.6</v>
      </c>
      <c r="F948" s="244">
        <f t="shared" si="29"/>
        <v>2.4349462365591394</v>
      </c>
      <c r="G948" s="172">
        <v>1.6</v>
      </c>
      <c r="H948" s="208">
        <f t="shared" si="30"/>
        <v>-0.83494623655913935</v>
      </c>
    </row>
    <row r="949" spans="1:8" ht="18" thickBot="1" x14ac:dyDescent="0.45">
      <c r="A949" s="182"/>
      <c r="B949" s="220"/>
      <c r="C949" s="231"/>
      <c r="D949" s="220"/>
      <c r="E949" s="199">
        <v>0</v>
      </c>
      <c r="F949" s="244">
        <f t="shared" si="29"/>
        <v>0</v>
      </c>
      <c r="G949" s="172" t="s">
        <v>1658</v>
      </c>
      <c r="H949" s="208" t="str">
        <f t="shared" si="30"/>
        <v/>
      </c>
    </row>
    <row r="950" spans="1:8" ht="18" thickBot="1" x14ac:dyDescent="0.45">
      <c r="A950" s="182"/>
      <c r="B950" s="220" t="s">
        <v>1275</v>
      </c>
      <c r="C950" s="231" t="s">
        <v>1582</v>
      </c>
      <c r="D950" s="220" t="s">
        <v>1350</v>
      </c>
      <c r="E950" s="199">
        <v>1137.8000000000002</v>
      </c>
      <c r="F950" s="244">
        <f t="shared" si="29"/>
        <v>1.5293010752688174</v>
      </c>
      <c r="G950" s="172">
        <v>1.6</v>
      </c>
      <c r="H950" s="208">
        <f t="shared" si="30"/>
        <v>7.0698924731182666E-2</v>
      </c>
    </row>
    <row r="951" spans="1:8" ht="18" thickBot="1" x14ac:dyDescent="0.45">
      <c r="A951" s="182"/>
      <c r="B951" s="220" t="s">
        <v>1276</v>
      </c>
      <c r="C951" s="231" t="s">
        <v>1583</v>
      </c>
      <c r="D951" s="220" t="s">
        <v>1350</v>
      </c>
      <c r="E951" s="199">
        <v>1971.3000000000002</v>
      </c>
      <c r="F951" s="244">
        <f t="shared" si="29"/>
        <v>2.6495967741935487</v>
      </c>
      <c r="G951" s="172">
        <v>1.6</v>
      </c>
      <c r="H951" s="208">
        <f t="shared" si="30"/>
        <v>-1.0495967741935486</v>
      </c>
    </row>
    <row r="952" spans="1:8" ht="18" thickBot="1" x14ac:dyDescent="0.45">
      <c r="A952" s="182"/>
      <c r="B952" s="220" t="s">
        <v>1277</v>
      </c>
      <c r="C952" s="231" t="s">
        <v>1584</v>
      </c>
      <c r="D952" s="220" t="s">
        <v>1350</v>
      </c>
      <c r="E952" s="199">
        <v>1236.7</v>
      </c>
      <c r="F952" s="244">
        <f t="shared" si="29"/>
        <v>1.662231182795699</v>
      </c>
      <c r="G952" s="172">
        <v>1.6</v>
      </c>
      <c r="H952" s="208">
        <f t="shared" si="30"/>
        <v>-6.2231182795698947E-2</v>
      </c>
    </row>
    <row r="953" spans="1:8" ht="18" thickBot="1" x14ac:dyDescent="0.45">
      <c r="A953" s="182"/>
      <c r="B953" s="220" t="s">
        <v>1278</v>
      </c>
      <c r="C953" s="231" t="s">
        <v>1585</v>
      </c>
      <c r="D953" s="220" t="s">
        <v>1350</v>
      </c>
      <c r="E953" s="199">
        <v>0</v>
      </c>
      <c r="F953" s="244">
        <f t="shared" si="29"/>
        <v>0</v>
      </c>
      <c r="G953" s="172">
        <v>1.6</v>
      </c>
      <c r="H953" s="208">
        <f t="shared" si="30"/>
        <v>1.6</v>
      </c>
    </row>
    <row r="954" spans="1:8" ht="18" thickBot="1" x14ac:dyDescent="0.45">
      <c r="A954" s="182"/>
      <c r="B954" s="220" t="s">
        <v>1279</v>
      </c>
      <c r="C954" s="231" t="s">
        <v>1586</v>
      </c>
      <c r="D954" s="220" t="s">
        <v>1350</v>
      </c>
      <c r="E954" s="199">
        <v>0</v>
      </c>
      <c r="F954" s="244">
        <f t="shared" si="29"/>
        <v>0</v>
      </c>
      <c r="G954" s="172">
        <v>1.6</v>
      </c>
      <c r="H954" s="208">
        <f t="shared" si="30"/>
        <v>1.6</v>
      </c>
    </row>
    <row r="955" spans="1:8" ht="18" thickBot="1" x14ac:dyDescent="0.45">
      <c r="A955" s="182"/>
      <c r="B955" s="196" t="s">
        <v>1280</v>
      </c>
      <c r="C955" s="196" t="s">
        <v>1587</v>
      </c>
      <c r="D955" s="220" t="s">
        <v>1350</v>
      </c>
      <c r="E955" s="199">
        <v>0</v>
      </c>
      <c r="F955" s="244">
        <f t="shared" si="29"/>
        <v>0</v>
      </c>
      <c r="G955" s="172">
        <v>1.6</v>
      </c>
      <c r="H955" s="208">
        <f t="shared" si="30"/>
        <v>1.6</v>
      </c>
    </row>
    <row r="956" spans="1:8" ht="18" thickBot="1" x14ac:dyDescent="0.45">
      <c r="A956" s="182"/>
      <c r="B956" s="220" t="s">
        <v>392</v>
      </c>
      <c r="C956" s="229" t="s">
        <v>1588</v>
      </c>
      <c r="D956" s="220" t="s">
        <v>1427</v>
      </c>
      <c r="E956" s="199">
        <v>0</v>
      </c>
      <c r="F956" s="244">
        <f t="shared" si="29"/>
        <v>0</v>
      </c>
      <c r="G956" s="172">
        <v>1.1000000000000001</v>
      </c>
      <c r="H956" s="208">
        <f t="shared" si="30"/>
        <v>1.1000000000000001</v>
      </c>
    </row>
    <row r="957" spans="1:8" ht="18" thickBot="1" x14ac:dyDescent="0.45">
      <c r="A957" s="182"/>
      <c r="B957" s="220" t="s">
        <v>1281</v>
      </c>
      <c r="C957" s="220" t="s">
        <v>1589</v>
      </c>
      <c r="D957" s="220" t="s">
        <v>1428</v>
      </c>
      <c r="E957" s="199">
        <v>0</v>
      </c>
      <c r="F957" s="244">
        <f t="shared" si="29"/>
        <v>0</v>
      </c>
      <c r="G957" s="172">
        <v>4</v>
      </c>
      <c r="H957" s="208">
        <f t="shared" si="30"/>
        <v>4</v>
      </c>
    </row>
    <row r="958" spans="1:8" ht="18" thickBot="1" x14ac:dyDescent="0.45">
      <c r="A958" s="182"/>
      <c r="B958" s="220" t="s">
        <v>1282</v>
      </c>
      <c r="C958" s="220" t="s">
        <v>1590</v>
      </c>
      <c r="D958" s="220"/>
      <c r="E958" s="199">
        <v>0</v>
      </c>
      <c r="F958" s="244">
        <f t="shared" si="29"/>
        <v>0</v>
      </c>
      <c r="G958" s="172">
        <v>0</v>
      </c>
      <c r="H958" s="208">
        <f t="shared" si="30"/>
        <v>0</v>
      </c>
    </row>
    <row r="959" spans="1:8" ht="18" thickBot="1" x14ac:dyDescent="0.45">
      <c r="A959" s="182"/>
      <c r="B959" s="220" t="s">
        <v>1283</v>
      </c>
      <c r="C959" s="222" t="s">
        <v>1591</v>
      </c>
      <c r="D959" s="222" t="s">
        <v>1429</v>
      </c>
      <c r="E959" s="199">
        <v>0</v>
      </c>
      <c r="F959" s="244">
        <f t="shared" si="29"/>
        <v>0</v>
      </c>
      <c r="G959" s="172">
        <v>0</v>
      </c>
      <c r="H959" s="208">
        <f t="shared" si="30"/>
        <v>0</v>
      </c>
    </row>
    <row r="960" spans="1:8" ht="18" thickBot="1" x14ac:dyDescent="0.45">
      <c r="A960" s="182"/>
      <c r="B960" s="220"/>
      <c r="C960" s="222"/>
      <c r="D960" s="222"/>
      <c r="E960" s="199">
        <v>0</v>
      </c>
      <c r="F960" s="244">
        <f t="shared" si="29"/>
        <v>0</v>
      </c>
      <c r="G960" s="172" t="s">
        <v>1658</v>
      </c>
      <c r="H960" s="208" t="str">
        <f t="shared" si="30"/>
        <v/>
      </c>
    </row>
    <row r="961" spans="1:8" ht="18" thickBot="1" x14ac:dyDescent="0.45">
      <c r="A961" s="182"/>
      <c r="B961" s="220" t="s">
        <v>1284</v>
      </c>
      <c r="C961" s="220" t="s">
        <v>1592</v>
      </c>
      <c r="D961" s="220"/>
      <c r="E961" s="199">
        <v>0</v>
      </c>
      <c r="F961" s="244">
        <f t="shared" si="29"/>
        <v>0</v>
      </c>
      <c r="G961" s="172">
        <v>0</v>
      </c>
      <c r="H961" s="208">
        <f t="shared" si="30"/>
        <v>0</v>
      </c>
    </row>
    <row r="962" spans="1:8" ht="18" thickBot="1" x14ac:dyDescent="0.45">
      <c r="A962" s="182"/>
      <c r="B962" s="220" t="s">
        <v>1285</v>
      </c>
      <c r="C962" s="220" t="s">
        <v>1593</v>
      </c>
      <c r="D962" s="158"/>
      <c r="E962" s="199">
        <v>0</v>
      </c>
      <c r="F962" s="244">
        <f t="shared" si="29"/>
        <v>0</v>
      </c>
      <c r="G962" s="172">
        <v>0</v>
      </c>
      <c r="H962" s="208">
        <f t="shared" si="30"/>
        <v>0</v>
      </c>
    </row>
    <row r="963" spans="1:8" ht="18" thickBot="1" x14ac:dyDescent="0.45">
      <c r="A963" s="182"/>
      <c r="B963" s="220" t="s">
        <v>1286</v>
      </c>
      <c r="C963" s="220" t="s">
        <v>1594</v>
      </c>
      <c r="D963" s="158"/>
      <c r="E963" s="199">
        <v>0</v>
      </c>
      <c r="F963" s="244">
        <f t="shared" si="29"/>
        <v>0</v>
      </c>
      <c r="G963" s="172">
        <v>0</v>
      </c>
      <c r="H963" s="208">
        <f t="shared" si="30"/>
        <v>0</v>
      </c>
    </row>
    <row r="964" spans="1:8" ht="18" thickBot="1" x14ac:dyDescent="0.45">
      <c r="A964" s="182"/>
      <c r="B964" s="220" t="s">
        <v>1287</v>
      </c>
      <c r="C964" s="220" t="s">
        <v>1595</v>
      </c>
      <c r="D964" s="220"/>
      <c r="E964" s="199">
        <v>0</v>
      </c>
      <c r="F964" s="244">
        <f t="shared" si="29"/>
        <v>0</v>
      </c>
      <c r="G964" s="172">
        <v>0</v>
      </c>
      <c r="H964" s="208">
        <f t="shared" si="30"/>
        <v>0</v>
      </c>
    </row>
    <row r="965" spans="1:8" ht="18" thickBot="1" x14ac:dyDescent="0.45">
      <c r="A965" s="182"/>
      <c r="B965" s="220"/>
      <c r="C965" s="220"/>
      <c r="D965" s="220"/>
      <c r="E965" s="199">
        <v>0</v>
      </c>
      <c r="F965" s="244">
        <f t="shared" ref="F965:F1028" si="31">E965/(24*31)</f>
        <v>0</v>
      </c>
      <c r="G965" s="172" t="s">
        <v>1658</v>
      </c>
      <c r="H965" s="208" t="str">
        <f t="shared" ref="H965:H1028" si="32">IFERROR(G965-F965, "")</f>
        <v/>
      </c>
    </row>
    <row r="966" spans="1:8" ht="18" thickBot="1" x14ac:dyDescent="0.45">
      <c r="A966" s="182"/>
      <c r="B966" s="220" t="s">
        <v>1288</v>
      </c>
      <c r="C966" s="220" t="s">
        <v>1596</v>
      </c>
      <c r="D966" s="158" t="s">
        <v>1430</v>
      </c>
      <c r="E966" s="199">
        <v>0</v>
      </c>
      <c r="F966" s="244">
        <f t="shared" si="31"/>
        <v>0</v>
      </c>
      <c r="G966" s="172">
        <v>0</v>
      </c>
      <c r="H966" s="208">
        <f t="shared" si="32"/>
        <v>0</v>
      </c>
    </row>
    <row r="967" spans="1:8" ht="18" thickBot="1" x14ac:dyDescent="0.45">
      <c r="A967" s="182"/>
      <c r="B967" s="220"/>
      <c r="C967" s="220"/>
      <c r="D967" s="158"/>
      <c r="E967" s="199">
        <v>0</v>
      </c>
      <c r="F967" s="244">
        <f t="shared" si="31"/>
        <v>0</v>
      </c>
      <c r="G967" s="172" t="s">
        <v>1658</v>
      </c>
      <c r="H967" s="208" t="str">
        <f t="shared" si="32"/>
        <v/>
      </c>
    </row>
    <row r="968" spans="1:8" ht="18" thickBot="1" x14ac:dyDescent="0.45">
      <c r="A968" s="182"/>
      <c r="B968" s="220" t="s">
        <v>1289</v>
      </c>
      <c r="C968" s="220" t="s">
        <v>1597</v>
      </c>
      <c r="D968" s="158" t="s">
        <v>1431</v>
      </c>
      <c r="E968" s="199">
        <v>0</v>
      </c>
      <c r="F968" s="244">
        <f t="shared" si="31"/>
        <v>0</v>
      </c>
      <c r="G968" s="172">
        <v>0</v>
      </c>
      <c r="H968" s="208">
        <f t="shared" si="32"/>
        <v>0</v>
      </c>
    </row>
    <row r="969" spans="1:8" ht="18" thickBot="1" x14ac:dyDescent="0.45">
      <c r="A969" s="182"/>
      <c r="B969" s="220" t="s">
        <v>381</v>
      </c>
      <c r="C969" s="158"/>
      <c r="D969" s="158"/>
      <c r="E969" s="199">
        <v>0</v>
      </c>
      <c r="F969" s="244">
        <f t="shared" si="31"/>
        <v>0</v>
      </c>
      <c r="G969" s="172">
        <v>0</v>
      </c>
      <c r="H969" s="208">
        <f t="shared" si="32"/>
        <v>0</v>
      </c>
    </row>
    <row r="970" spans="1:8" ht="18" thickBot="1" x14ac:dyDescent="0.45">
      <c r="A970" s="182"/>
      <c r="B970" s="220" t="s">
        <v>1290</v>
      </c>
      <c r="C970" s="220" t="s">
        <v>1598</v>
      </c>
      <c r="D970" s="227"/>
      <c r="E970" s="199">
        <v>0</v>
      </c>
      <c r="F970" s="244">
        <f t="shared" si="31"/>
        <v>0</v>
      </c>
      <c r="G970" s="172">
        <v>0</v>
      </c>
      <c r="H970" s="208">
        <f t="shared" si="32"/>
        <v>0</v>
      </c>
    </row>
    <row r="971" spans="1:8" ht="18" thickBot="1" x14ac:dyDescent="0.45">
      <c r="A971" s="182"/>
      <c r="B971" s="220" t="s">
        <v>1291</v>
      </c>
      <c r="C971" s="222" t="s">
        <v>1599</v>
      </c>
      <c r="D971" s="227"/>
      <c r="E971" s="199">
        <v>0</v>
      </c>
      <c r="F971" s="244">
        <f t="shared" si="31"/>
        <v>0</v>
      </c>
      <c r="G971" s="172">
        <v>0</v>
      </c>
      <c r="H971" s="208">
        <f t="shared" si="32"/>
        <v>0</v>
      </c>
    </row>
    <row r="972" spans="1:8" ht="18" thickBot="1" x14ac:dyDescent="0.45">
      <c r="A972" s="182"/>
      <c r="B972" s="220"/>
      <c r="C972" s="222"/>
      <c r="D972" s="227"/>
      <c r="E972" s="199">
        <v>0</v>
      </c>
      <c r="F972" s="244">
        <f t="shared" si="31"/>
        <v>0</v>
      </c>
      <c r="G972" s="172" t="s">
        <v>1658</v>
      </c>
      <c r="H972" s="208" t="str">
        <f t="shared" si="32"/>
        <v/>
      </c>
    </row>
    <row r="973" spans="1:8" ht="18" thickBot="1" x14ac:dyDescent="0.45">
      <c r="A973" s="182"/>
      <c r="B973" s="220" t="s">
        <v>1292</v>
      </c>
      <c r="C973" s="229" t="s">
        <v>1600</v>
      </c>
      <c r="D973" s="220" t="s">
        <v>1432</v>
      </c>
      <c r="E973" s="199">
        <v>0</v>
      </c>
      <c r="F973" s="244">
        <f t="shared" si="31"/>
        <v>0</v>
      </c>
      <c r="G973" s="172">
        <v>2.2000000000000002</v>
      </c>
      <c r="H973" s="208">
        <f t="shared" si="32"/>
        <v>2.2000000000000002</v>
      </c>
    </row>
    <row r="974" spans="1:8" ht="18" thickBot="1" x14ac:dyDescent="0.45">
      <c r="A974" s="182"/>
      <c r="B974" s="220" t="s">
        <v>1293</v>
      </c>
      <c r="C974" s="229" t="s">
        <v>1601</v>
      </c>
      <c r="D974" s="220" t="s">
        <v>1433</v>
      </c>
      <c r="E974" s="199">
        <v>0</v>
      </c>
      <c r="F974" s="244">
        <f t="shared" si="31"/>
        <v>0</v>
      </c>
      <c r="G974" s="172">
        <v>2.2000000000000002</v>
      </c>
      <c r="H974" s="208">
        <f t="shared" si="32"/>
        <v>2.2000000000000002</v>
      </c>
    </row>
    <row r="975" spans="1:8" ht="18" thickBot="1" x14ac:dyDescent="0.45">
      <c r="A975" s="182"/>
      <c r="B975" s="220" t="s">
        <v>1294</v>
      </c>
      <c r="C975" s="229" t="s">
        <v>1602</v>
      </c>
      <c r="D975" s="220" t="s">
        <v>1433</v>
      </c>
      <c r="E975" s="199">
        <v>0</v>
      </c>
      <c r="F975" s="244">
        <f t="shared" si="31"/>
        <v>0</v>
      </c>
      <c r="G975" s="172">
        <v>1.1000000000000001</v>
      </c>
      <c r="H975" s="208">
        <f t="shared" si="32"/>
        <v>1.1000000000000001</v>
      </c>
    </row>
    <row r="976" spans="1:8" ht="18" thickBot="1" x14ac:dyDescent="0.45">
      <c r="A976" s="182"/>
      <c r="B976" s="220" t="s">
        <v>1295</v>
      </c>
      <c r="C976" s="220" t="s">
        <v>1603</v>
      </c>
      <c r="D976" s="220" t="s">
        <v>1434</v>
      </c>
      <c r="E976" s="199">
        <v>0</v>
      </c>
      <c r="F976" s="244">
        <f t="shared" si="31"/>
        <v>0</v>
      </c>
      <c r="G976" s="172">
        <v>2.2000000000000002</v>
      </c>
      <c r="H976" s="208">
        <f t="shared" si="32"/>
        <v>2.2000000000000002</v>
      </c>
    </row>
    <row r="977" spans="1:8" ht="18" thickBot="1" x14ac:dyDescent="0.45">
      <c r="A977" s="182"/>
      <c r="B977" s="158" t="s">
        <v>1296</v>
      </c>
      <c r="C977" s="158" t="s">
        <v>1604</v>
      </c>
      <c r="D977" s="227" t="s">
        <v>1435</v>
      </c>
      <c r="E977" s="199">
        <v>0</v>
      </c>
      <c r="F977" s="244">
        <f t="shared" si="31"/>
        <v>0</v>
      </c>
      <c r="G977" s="172">
        <v>0</v>
      </c>
      <c r="H977" s="208">
        <f t="shared" si="32"/>
        <v>0</v>
      </c>
    </row>
    <row r="978" spans="1:8" ht="18" thickBot="1" x14ac:dyDescent="0.45">
      <c r="A978" s="182"/>
      <c r="B978" s="220" t="s">
        <v>1297</v>
      </c>
      <c r="C978" s="222" t="s">
        <v>1605</v>
      </c>
      <c r="D978" s="227" t="s">
        <v>1436</v>
      </c>
      <c r="E978" s="199">
        <v>0</v>
      </c>
      <c r="F978" s="244">
        <f t="shared" si="31"/>
        <v>0</v>
      </c>
      <c r="G978" s="172">
        <v>0</v>
      </c>
      <c r="H978" s="208">
        <f t="shared" si="32"/>
        <v>0</v>
      </c>
    </row>
    <row r="979" spans="1:8" ht="18" thickBot="1" x14ac:dyDescent="0.45">
      <c r="A979" s="182"/>
      <c r="B979" s="220" t="s">
        <v>1298</v>
      </c>
      <c r="C979" s="220" t="s">
        <v>1606</v>
      </c>
      <c r="D979" s="219" t="s">
        <v>1437</v>
      </c>
      <c r="E979" s="199">
        <v>0</v>
      </c>
      <c r="F979" s="244">
        <f t="shared" si="31"/>
        <v>0</v>
      </c>
      <c r="G979" s="172">
        <v>0</v>
      </c>
      <c r="H979" s="208">
        <f t="shared" si="32"/>
        <v>0</v>
      </c>
    </row>
    <row r="980" spans="1:8" ht="18" thickBot="1" x14ac:dyDescent="0.45">
      <c r="A980" s="182"/>
      <c r="B980" s="220" t="s">
        <v>369</v>
      </c>
      <c r="C980" s="158"/>
      <c r="D980" s="227"/>
      <c r="E980" s="199">
        <v>0</v>
      </c>
      <c r="F980" s="244">
        <f t="shared" si="31"/>
        <v>0</v>
      </c>
      <c r="G980" s="172">
        <v>0</v>
      </c>
      <c r="H980" s="208">
        <f t="shared" si="32"/>
        <v>0</v>
      </c>
    </row>
    <row r="981" spans="1:8" ht="18" thickBot="1" x14ac:dyDescent="0.45">
      <c r="A981" s="182"/>
      <c r="B981" s="220" t="s">
        <v>1299</v>
      </c>
      <c r="C981" s="220" t="s">
        <v>1607</v>
      </c>
      <c r="D981" s="220" t="s">
        <v>1438</v>
      </c>
      <c r="E981" s="199">
        <v>0</v>
      </c>
      <c r="F981" s="244">
        <f t="shared" si="31"/>
        <v>0</v>
      </c>
      <c r="G981" s="172">
        <v>2.2000000000000002</v>
      </c>
      <c r="H981" s="208">
        <f t="shared" si="32"/>
        <v>2.2000000000000002</v>
      </c>
    </row>
    <row r="982" spans="1:8" ht="18" thickBot="1" x14ac:dyDescent="0.45">
      <c r="A982" s="182"/>
      <c r="B982" s="220" t="s">
        <v>1300</v>
      </c>
      <c r="C982" s="229" t="s">
        <v>1608</v>
      </c>
      <c r="D982" s="220" t="s">
        <v>1439</v>
      </c>
      <c r="E982" s="199">
        <v>0</v>
      </c>
      <c r="F982" s="244">
        <f t="shared" si="31"/>
        <v>0</v>
      </c>
      <c r="G982" s="172">
        <v>0.55000000000000004</v>
      </c>
      <c r="H982" s="208">
        <f t="shared" si="32"/>
        <v>0.55000000000000004</v>
      </c>
    </row>
    <row r="983" spans="1:8" ht="18" thickBot="1" x14ac:dyDescent="0.45">
      <c r="A983" s="182"/>
      <c r="B983" s="220" t="s">
        <v>1301</v>
      </c>
      <c r="C983" s="220" t="s">
        <v>1609</v>
      </c>
      <c r="D983" s="219"/>
      <c r="E983" s="199">
        <v>1891.8</v>
      </c>
      <c r="F983" s="244">
        <f t="shared" si="31"/>
        <v>2.5427419354838707</v>
      </c>
      <c r="G983" s="172">
        <v>0</v>
      </c>
      <c r="H983" s="208">
        <f t="shared" si="32"/>
        <v>-2.5427419354838707</v>
      </c>
    </row>
    <row r="984" spans="1:8" ht="18" thickBot="1" x14ac:dyDescent="0.45">
      <c r="A984" s="182"/>
      <c r="B984" s="220" t="s">
        <v>1302</v>
      </c>
      <c r="C984" s="220" t="s">
        <v>1610</v>
      </c>
      <c r="D984" s="219"/>
      <c r="E984" s="199">
        <v>0</v>
      </c>
      <c r="F984" s="244">
        <f t="shared" si="31"/>
        <v>0</v>
      </c>
      <c r="G984" s="172">
        <v>0</v>
      </c>
      <c r="H984" s="208">
        <f t="shared" si="32"/>
        <v>0</v>
      </c>
    </row>
    <row r="985" spans="1:8" ht="18" thickBot="1" x14ac:dyDescent="0.45">
      <c r="A985" s="182"/>
      <c r="B985" s="220" t="s">
        <v>1303</v>
      </c>
      <c r="C985" s="220" t="s">
        <v>1611</v>
      </c>
      <c r="D985" s="219"/>
      <c r="E985" s="199">
        <v>0</v>
      </c>
      <c r="F985" s="244">
        <f t="shared" si="31"/>
        <v>0</v>
      </c>
      <c r="G985" s="172">
        <v>0</v>
      </c>
      <c r="H985" s="208">
        <f t="shared" si="32"/>
        <v>0</v>
      </c>
    </row>
    <row r="986" spans="1:8" ht="18" thickBot="1" x14ac:dyDescent="0.45">
      <c r="A986" s="182"/>
      <c r="B986" s="220" t="s">
        <v>1304</v>
      </c>
      <c r="C986" s="229" t="s">
        <v>1612</v>
      </c>
      <c r="D986" s="220" t="s">
        <v>1440</v>
      </c>
      <c r="E986" s="199">
        <v>0</v>
      </c>
      <c r="F986" s="244">
        <f t="shared" si="31"/>
        <v>0</v>
      </c>
      <c r="G986" s="172">
        <v>2.2000000000000002</v>
      </c>
      <c r="H986" s="208">
        <f t="shared" si="32"/>
        <v>2.2000000000000002</v>
      </c>
    </row>
    <row r="987" spans="1:8" ht="18" thickBot="1" x14ac:dyDescent="0.45">
      <c r="A987" s="182"/>
      <c r="B987" s="220" t="s">
        <v>1305</v>
      </c>
      <c r="C987" s="220" t="s">
        <v>1613</v>
      </c>
      <c r="D987" s="219"/>
      <c r="E987" s="199">
        <v>0</v>
      </c>
      <c r="F987" s="244">
        <f t="shared" si="31"/>
        <v>0</v>
      </c>
      <c r="G987" s="172">
        <v>0</v>
      </c>
      <c r="H987" s="208">
        <f t="shared" si="32"/>
        <v>0</v>
      </c>
    </row>
    <row r="988" spans="1:8" ht="18" thickBot="1" x14ac:dyDescent="0.45">
      <c r="A988" s="182"/>
      <c r="B988" s="220" t="s">
        <v>1306</v>
      </c>
      <c r="C988" s="220" t="s">
        <v>1614</v>
      </c>
      <c r="D988" s="219"/>
      <c r="E988" s="199">
        <v>0</v>
      </c>
      <c r="F988" s="244">
        <f t="shared" si="31"/>
        <v>0</v>
      </c>
      <c r="G988" s="172">
        <v>0</v>
      </c>
      <c r="H988" s="208">
        <f t="shared" si="32"/>
        <v>0</v>
      </c>
    </row>
    <row r="989" spans="1:8" ht="18" thickBot="1" x14ac:dyDescent="0.45">
      <c r="A989" s="182"/>
      <c r="B989" s="220" t="s">
        <v>1307</v>
      </c>
      <c r="C989" s="220" t="s">
        <v>1615</v>
      </c>
      <c r="D989" s="227" t="s">
        <v>1441</v>
      </c>
      <c r="E989" s="199">
        <v>0</v>
      </c>
      <c r="F989" s="244">
        <f t="shared" si="31"/>
        <v>0</v>
      </c>
      <c r="G989" s="172">
        <v>0</v>
      </c>
      <c r="H989" s="208">
        <f t="shared" si="32"/>
        <v>0</v>
      </c>
    </row>
    <row r="990" spans="1:8" ht="18" thickBot="1" x14ac:dyDescent="0.45">
      <c r="A990" s="182"/>
      <c r="B990" s="220" t="s">
        <v>357</v>
      </c>
      <c r="C990" s="158"/>
      <c r="D990" s="227"/>
      <c r="E990" s="199">
        <v>0</v>
      </c>
      <c r="F990" s="244">
        <f t="shared" si="31"/>
        <v>0</v>
      </c>
      <c r="G990" s="172">
        <v>0</v>
      </c>
      <c r="H990" s="208">
        <f t="shared" si="32"/>
        <v>0</v>
      </c>
    </row>
    <row r="991" spans="1:8" ht="18" thickBot="1" x14ac:dyDescent="0.45">
      <c r="A991" s="182"/>
      <c r="B991" s="220" t="s">
        <v>1308</v>
      </c>
      <c r="C991" s="223" t="s">
        <v>1616</v>
      </c>
      <c r="D991" s="220" t="s">
        <v>1442</v>
      </c>
      <c r="E991" s="199">
        <v>0</v>
      </c>
      <c r="F991" s="244">
        <f t="shared" si="31"/>
        <v>0</v>
      </c>
      <c r="G991" s="172">
        <v>0</v>
      </c>
      <c r="H991" s="208">
        <f t="shared" si="32"/>
        <v>0</v>
      </c>
    </row>
    <row r="992" spans="1:8" ht="18" thickBot="1" x14ac:dyDescent="0.45">
      <c r="A992" s="182"/>
      <c r="B992" s="220"/>
      <c r="C992" s="223"/>
      <c r="D992" s="220"/>
      <c r="E992" s="199">
        <v>0</v>
      </c>
      <c r="F992" s="244">
        <f t="shared" si="31"/>
        <v>0</v>
      </c>
      <c r="G992" s="172" t="s">
        <v>1658</v>
      </c>
      <c r="H992" s="208" t="str">
        <f t="shared" si="32"/>
        <v/>
      </c>
    </row>
    <row r="993" spans="1:8" ht="18" thickBot="1" x14ac:dyDescent="0.45">
      <c r="A993" s="182"/>
      <c r="B993" s="220" t="s">
        <v>1309</v>
      </c>
      <c r="C993" s="219" t="s">
        <v>1617</v>
      </c>
      <c r="D993" s="219"/>
      <c r="E993" s="199">
        <v>0</v>
      </c>
      <c r="F993" s="244">
        <f t="shared" si="31"/>
        <v>0</v>
      </c>
      <c r="G993" s="172">
        <v>0</v>
      </c>
      <c r="H993" s="208">
        <f t="shared" si="32"/>
        <v>0</v>
      </c>
    </row>
    <row r="994" spans="1:8" ht="18" thickBot="1" x14ac:dyDescent="0.45">
      <c r="A994" s="182"/>
      <c r="B994" s="220" t="s">
        <v>1310</v>
      </c>
      <c r="C994" s="223" t="s">
        <v>1618</v>
      </c>
      <c r="D994" s="220" t="s">
        <v>1443</v>
      </c>
      <c r="E994" s="199">
        <v>0</v>
      </c>
      <c r="F994" s="244">
        <f t="shared" si="31"/>
        <v>0</v>
      </c>
      <c r="G994" s="172">
        <v>1.1000000000000001</v>
      </c>
      <c r="H994" s="208">
        <f t="shared" si="32"/>
        <v>1.1000000000000001</v>
      </c>
    </row>
    <row r="995" spans="1:8" ht="18" thickBot="1" x14ac:dyDescent="0.45">
      <c r="A995" s="182"/>
      <c r="B995" s="220"/>
      <c r="C995" s="223"/>
      <c r="D995" s="219"/>
      <c r="E995" s="199">
        <v>0</v>
      </c>
      <c r="F995" s="244">
        <f t="shared" si="31"/>
        <v>0</v>
      </c>
      <c r="G995" s="172" t="s">
        <v>1658</v>
      </c>
      <c r="H995" s="208" t="str">
        <f t="shared" si="32"/>
        <v/>
      </c>
    </row>
    <row r="996" spans="1:8" ht="18" thickBot="1" x14ac:dyDescent="0.45">
      <c r="A996" s="182"/>
      <c r="B996" s="220" t="s">
        <v>1311</v>
      </c>
      <c r="C996" s="223" t="s">
        <v>1619</v>
      </c>
      <c r="D996" s="220" t="s">
        <v>1443</v>
      </c>
      <c r="E996" s="199">
        <v>0</v>
      </c>
      <c r="F996" s="244">
        <f t="shared" si="31"/>
        <v>0</v>
      </c>
      <c r="G996" s="172">
        <v>1.1000000000000001</v>
      </c>
      <c r="H996" s="208">
        <f t="shared" si="32"/>
        <v>1.1000000000000001</v>
      </c>
    </row>
    <row r="997" spans="1:8" ht="18" thickBot="1" x14ac:dyDescent="0.45">
      <c r="A997" s="182"/>
      <c r="B997" s="220" t="s">
        <v>1312</v>
      </c>
      <c r="C997" s="223" t="s">
        <v>1620</v>
      </c>
      <c r="D997" s="220" t="s">
        <v>1444</v>
      </c>
      <c r="E997" s="199">
        <v>0</v>
      </c>
      <c r="F997" s="244">
        <f t="shared" si="31"/>
        <v>0</v>
      </c>
      <c r="G997" s="172">
        <v>2.2000000000000002</v>
      </c>
      <c r="H997" s="208">
        <f t="shared" si="32"/>
        <v>2.2000000000000002</v>
      </c>
    </row>
    <row r="998" spans="1:8" ht="18" thickBot="1" x14ac:dyDescent="0.45">
      <c r="A998" s="182"/>
      <c r="B998" s="220" t="s">
        <v>1313</v>
      </c>
      <c r="C998" s="219" t="s">
        <v>1621</v>
      </c>
      <c r="D998" s="164"/>
      <c r="E998" s="199">
        <v>2271.5</v>
      </c>
      <c r="F998" s="244">
        <f t="shared" si="31"/>
        <v>3.0530913978494625</v>
      </c>
      <c r="G998" s="172">
        <v>0</v>
      </c>
      <c r="H998" s="208">
        <f t="shared" si="32"/>
        <v>-3.0530913978494625</v>
      </c>
    </row>
    <row r="999" spans="1:8" ht="18" thickBot="1" x14ac:dyDescent="0.45">
      <c r="A999" s="182"/>
      <c r="B999" s="220" t="s">
        <v>1314</v>
      </c>
      <c r="C999" s="219" t="s">
        <v>1622</v>
      </c>
      <c r="D999" s="219"/>
      <c r="E999" s="199">
        <v>0</v>
      </c>
      <c r="F999" s="244">
        <f t="shared" si="31"/>
        <v>0</v>
      </c>
      <c r="G999" s="172">
        <v>0</v>
      </c>
      <c r="H999" s="208">
        <f t="shared" si="32"/>
        <v>0</v>
      </c>
    </row>
    <row r="1000" spans="1:8" ht="18" thickBot="1" x14ac:dyDescent="0.45">
      <c r="A1000" s="182"/>
      <c r="B1000" s="220"/>
      <c r="C1000" s="219" t="s">
        <v>1623</v>
      </c>
      <c r="D1000" s="220"/>
      <c r="E1000" s="199">
        <v>0</v>
      </c>
      <c r="F1000" s="244">
        <f t="shared" si="31"/>
        <v>0</v>
      </c>
      <c r="G1000" s="172" t="s">
        <v>1658</v>
      </c>
      <c r="H1000" s="208" t="str">
        <f t="shared" si="32"/>
        <v/>
      </c>
    </row>
    <row r="1001" spans="1:8" ht="18" thickBot="1" x14ac:dyDescent="0.45">
      <c r="A1001" s="182"/>
      <c r="B1001" s="220"/>
      <c r="C1001" s="219" t="s">
        <v>1623</v>
      </c>
      <c r="D1001" s="220"/>
      <c r="E1001" s="199">
        <v>0</v>
      </c>
      <c r="F1001" s="244">
        <f t="shared" si="31"/>
        <v>0</v>
      </c>
      <c r="G1001" s="172" t="s">
        <v>1658</v>
      </c>
      <c r="H1001" s="208" t="str">
        <f t="shared" si="32"/>
        <v/>
      </c>
    </row>
    <row r="1002" spans="1:8" ht="18" thickBot="1" x14ac:dyDescent="0.45">
      <c r="A1002" s="182"/>
      <c r="B1002" s="220" t="s">
        <v>345</v>
      </c>
      <c r="C1002" s="227"/>
      <c r="D1002" s="158"/>
      <c r="E1002" s="199">
        <v>0</v>
      </c>
      <c r="F1002" s="244">
        <f t="shared" si="31"/>
        <v>0</v>
      </c>
      <c r="G1002" s="172">
        <v>0</v>
      </c>
      <c r="H1002" s="208">
        <f t="shared" si="32"/>
        <v>0</v>
      </c>
    </row>
    <row r="1003" spans="1:8" ht="18" thickBot="1" x14ac:dyDescent="0.45">
      <c r="A1003" s="182"/>
      <c r="B1003" s="220" t="s">
        <v>1315</v>
      </c>
      <c r="C1003" s="223" t="s">
        <v>1624</v>
      </c>
      <c r="D1003" s="220" t="s">
        <v>1445</v>
      </c>
      <c r="E1003" s="199">
        <v>0</v>
      </c>
      <c r="F1003" s="244">
        <f t="shared" si="31"/>
        <v>0</v>
      </c>
      <c r="G1003" s="172">
        <v>2.2000000000000002</v>
      </c>
      <c r="H1003" s="208">
        <f t="shared" si="32"/>
        <v>2.2000000000000002</v>
      </c>
    </row>
    <row r="1004" spans="1:8" ht="18" thickBot="1" x14ac:dyDescent="0.45">
      <c r="A1004" s="182"/>
      <c r="B1004" s="220" t="s">
        <v>1316</v>
      </c>
      <c r="C1004" s="223" t="s">
        <v>1625</v>
      </c>
      <c r="D1004" s="220" t="s">
        <v>1445</v>
      </c>
      <c r="E1004" s="199">
        <v>0</v>
      </c>
      <c r="F1004" s="244">
        <f t="shared" si="31"/>
        <v>0</v>
      </c>
      <c r="G1004" s="172">
        <v>2.2000000000000002</v>
      </c>
      <c r="H1004" s="208">
        <f t="shared" si="32"/>
        <v>2.2000000000000002</v>
      </c>
    </row>
    <row r="1005" spans="1:8" ht="18" thickBot="1" x14ac:dyDescent="0.45">
      <c r="A1005" s="182"/>
      <c r="B1005" s="220" t="s">
        <v>1317</v>
      </c>
      <c r="C1005" s="160" t="s">
        <v>1626</v>
      </c>
      <c r="D1005" s="220" t="s">
        <v>1445</v>
      </c>
      <c r="E1005" s="199">
        <v>0</v>
      </c>
      <c r="F1005" s="244">
        <f t="shared" si="31"/>
        <v>0</v>
      </c>
      <c r="G1005" s="172">
        <v>2.2000000000000002</v>
      </c>
      <c r="H1005" s="208">
        <f t="shared" si="32"/>
        <v>2.2000000000000002</v>
      </c>
    </row>
    <row r="1006" spans="1:8" ht="18" thickBot="1" x14ac:dyDescent="0.45">
      <c r="A1006" s="182"/>
      <c r="B1006" s="220" t="s">
        <v>349</v>
      </c>
      <c r="C1006" s="160"/>
      <c r="D1006" s="220" t="s">
        <v>1445</v>
      </c>
      <c r="E1006" s="199">
        <v>0</v>
      </c>
      <c r="F1006" s="244">
        <f t="shared" si="31"/>
        <v>0</v>
      </c>
      <c r="G1006" s="172">
        <v>2.2000000000000002</v>
      </c>
      <c r="H1006" s="208">
        <f t="shared" si="32"/>
        <v>2.2000000000000002</v>
      </c>
    </row>
    <row r="1007" spans="1:8" ht="18" thickBot="1" x14ac:dyDescent="0.45">
      <c r="A1007" s="182"/>
      <c r="B1007" s="220" t="s">
        <v>1318</v>
      </c>
      <c r="C1007" s="227" t="s">
        <v>1627</v>
      </c>
      <c r="D1007" s="227" t="s">
        <v>1446</v>
      </c>
      <c r="E1007" s="199">
        <v>0</v>
      </c>
      <c r="F1007" s="244">
        <f t="shared" si="31"/>
        <v>0</v>
      </c>
      <c r="G1007" s="172">
        <v>0</v>
      </c>
      <c r="H1007" s="208">
        <f t="shared" si="32"/>
        <v>0</v>
      </c>
    </row>
    <row r="1008" spans="1:8" ht="18" thickBot="1" x14ac:dyDescent="0.45">
      <c r="A1008" s="182"/>
      <c r="B1008" s="220" t="s">
        <v>1319</v>
      </c>
      <c r="C1008" s="227" t="s">
        <v>1628</v>
      </c>
      <c r="D1008" s="227" t="s">
        <v>1447</v>
      </c>
      <c r="E1008" s="199">
        <v>0</v>
      </c>
      <c r="F1008" s="244">
        <f t="shared" si="31"/>
        <v>0</v>
      </c>
      <c r="G1008" s="172">
        <v>0</v>
      </c>
      <c r="H1008" s="208">
        <f t="shared" si="32"/>
        <v>0</v>
      </c>
    </row>
    <row r="1009" spans="1:8" ht="18" thickBot="1" x14ac:dyDescent="0.45">
      <c r="A1009" s="182"/>
      <c r="B1009" s="220" t="s">
        <v>1320</v>
      </c>
      <c r="C1009" s="219" t="s">
        <v>1629</v>
      </c>
      <c r="D1009" s="220" t="s">
        <v>1350</v>
      </c>
      <c r="E1009" s="199">
        <v>0</v>
      </c>
      <c r="F1009" s="244">
        <f t="shared" si="31"/>
        <v>0</v>
      </c>
      <c r="G1009" s="172">
        <v>2.2000000000000002</v>
      </c>
      <c r="H1009" s="208">
        <f t="shared" si="32"/>
        <v>2.2000000000000002</v>
      </c>
    </row>
    <row r="1010" spans="1:8" ht="18" thickBot="1" x14ac:dyDescent="0.45">
      <c r="A1010" s="182"/>
      <c r="B1010" s="220" t="s">
        <v>1321</v>
      </c>
      <c r="C1010" s="223" t="s">
        <v>1630</v>
      </c>
      <c r="D1010" s="219" t="s">
        <v>1350</v>
      </c>
      <c r="E1010" s="199">
        <v>0</v>
      </c>
      <c r="F1010" s="244">
        <f t="shared" si="31"/>
        <v>0</v>
      </c>
      <c r="G1010" s="172">
        <v>0</v>
      </c>
      <c r="H1010" s="208">
        <f t="shared" si="32"/>
        <v>0</v>
      </c>
    </row>
    <row r="1011" spans="1:8" ht="18" thickBot="1" x14ac:dyDescent="0.45">
      <c r="A1011" s="182"/>
      <c r="B1011" s="220"/>
      <c r="C1011" s="223"/>
      <c r="D1011" s="220"/>
      <c r="E1011" s="199">
        <v>0</v>
      </c>
      <c r="F1011" s="244">
        <f t="shared" si="31"/>
        <v>0</v>
      </c>
      <c r="G1011" s="172" t="s">
        <v>1658</v>
      </c>
      <c r="H1011" s="208" t="str">
        <f t="shared" si="32"/>
        <v/>
      </c>
    </row>
    <row r="1012" spans="1:8" ht="18" thickBot="1" x14ac:dyDescent="0.45">
      <c r="A1012" s="182"/>
      <c r="B1012" s="220" t="s">
        <v>333</v>
      </c>
      <c r="C1012" s="227"/>
      <c r="D1012" s="227"/>
      <c r="E1012" s="199">
        <v>0</v>
      </c>
      <c r="F1012" s="244">
        <f t="shared" si="31"/>
        <v>0</v>
      </c>
      <c r="G1012" s="172">
        <v>0</v>
      </c>
      <c r="H1012" s="208">
        <f t="shared" si="32"/>
        <v>0</v>
      </c>
    </row>
    <row r="1013" spans="1:8" ht="18" thickBot="1" x14ac:dyDescent="0.45">
      <c r="A1013" s="182"/>
      <c r="B1013" s="220" t="s">
        <v>566</v>
      </c>
      <c r="C1013" s="223" t="s">
        <v>1631</v>
      </c>
      <c r="D1013" s="220" t="s">
        <v>1350</v>
      </c>
      <c r="E1013" s="199">
        <v>0</v>
      </c>
      <c r="F1013" s="244">
        <f t="shared" si="31"/>
        <v>0</v>
      </c>
      <c r="G1013" s="172">
        <v>1.6</v>
      </c>
      <c r="H1013" s="208">
        <f t="shared" si="32"/>
        <v>1.6</v>
      </c>
    </row>
    <row r="1014" spans="1:8" ht="18" thickBot="1" x14ac:dyDescent="0.45">
      <c r="A1014" s="182"/>
      <c r="B1014" s="220" t="s">
        <v>1322</v>
      </c>
      <c r="C1014" s="223" t="s">
        <v>1632</v>
      </c>
      <c r="D1014" s="220" t="s">
        <v>1350</v>
      </c>
      <c r="E1014" s="199">
        <v>2135.6000000000004</v>
      </c>
      <c r="F1014" s="244">
        <f t="shared" si="31"/>
        <v>2.8704301075268823</v>
      </c>
      <c r="G1014" s="172">
        <v>1.6</v>
      </c>
      <c r="H1014" s="208">
        <f t="shared" si="32"/>
        <v>-1.2704301075268822</v>
      </c>
    </row>
    <row r="1015" spans="1:8" ht="18" thickBot="1" x14ac:dyDescent="0.45">
      <c r="A1015" s="182"/>
      <c r="B1015" s="220" t="s">
        <v>1323</v>
      </c>
      <c r="C1015" s="223" t="s">
        <v>1633</v>
      </c>
      <c r="D1015" s="220" t="s">
        <v>1350</v>
      </c>
      <c r="E1015" s="199">
        <v>2742.7</v>
      </c>
      <c r="F1015" s="244">
        <f t="shared" si="31"/>
        <v>3.6864247311827953</v>
      </c>
      <c r="G1015" s="172">
        <v>1.6</v>
      </c>
      <c r="H1015" s="208">
        <f t="shared" si="32"/>
        <v>-2.0864247311827953</v>
      </c>
    </row>
    <row r="1016" spans="1:8" ht="18" thickBot="1" x14ac:dyDescent="0.45">
      <c r="A1016" s="182"/>
      <c r="B1016" s="220" t="s">
        <v>1324</v>
      </c>
      <c r="C1016" s="219" t="s">
        <v>1634</v>
      </c>
      <c r="D1016" s="220" t="s">
        <v>1350</v>
      </c>
      <c r="E1016" s="199">
        <v>1210.5999999999999</v>
      </c>
      <c r="F1016" s="244">
        <f t="shared" si="31"/>
        <v>1.6271505376344084</v>
      </c>
      <c r="G1016" s="172">
        <v>2.2000000000000002</v>
      </c>
      <c r="H1016" s="208">
        <f t="shared" si="32"/>
        <v>0.57284946236559176</v>
      </c>
    </row>
    <row r="1017" spans="1:8" ht="18" thickBot="1" x14ac:dyDescent="0.45">
      <c r="A1017" s="182"/>
      <c r="B1017" s="220" t="s">
        <v>1325</v>
      </c>
      <c r="C1017" s="227" t="s">
        <v>1635</v>
      </c>
      <c r="D1017" s="227" t="s">
        <v>1448</v>
      </c>
      <c r="E1017" s="199">
        <v>0</v>
      </c>
      <c r="F1017" s="244">
        <f t="shared" si="31"/>
        <v>0</v>
      </c>
      <c r="G1017" s="172">
        <v>0</v>
      </c>
      <c r="H1017" s="208">
        <f t="shared" si="32"/>
        <v>0</v>
      </c>
    </row>
    <row r="1018" spans="1:8" ht="18" thickBot="1" x14ac:dyDescent="0.45">
      <c r="A1018" s="182"/>
      <c r="B1018" s="220" t="s">
        <v>1326</v>
      </c>
      <c r="C1018" s="227" t="s">
        <v>1636</v>
      </c>
      <c r="D1018" s="227" t="s">
        <v>1449</v>
      </c>
      <c r="E1018" s="199">
        <v>0</v>
      </c>
      <c r="F1018" s="244">
        <f t="shared" si="31"/>
        <v>0</v>
      </c>
      <c r="G1018" s="172">
        <v>0</v>
      </c>
      <c r="H1018" s="208">
        <f t="shared" si="32"/>
        <v>0</v>
      </c>
    </row>
    <row r="1019" spans="1:8" ht="18" thickBot="1" x14ac:dyDescent="0.45">
      <c r="A1019" s="182"/>
      <c r="B1019" s="220" t="s">
        <v>1327</v>
      </c>
      <c r="C1019" s="227" t="s">
        <v>1637</v>
      </c>
      <c r="D1019" s="227" t="s">
        <v>1450</v>
      </c>
      <c r="E1019" s="199">
        <v>0</v>
      </c>
      <c r="F1019" s="244">
        <f t="shared" si="31"/>
        <v>0</v>
      </c>
      <c r="G1019" s="172">
        <v>0</v>
      </c>
      <c r="H1019" s="208">
        <f t="shared" si="32"/>
        <v>0</v>
      </c>
    </row>
    <row r="1020" spans="1:8" ht="18" thickBot="1" x14ac:dyDescent="0.45">
      <c r="A1020" s="182"/>
      <c r="B1020" s="220" t="s">
        <v>1328</v>
      </c>
      <c r="C1020" s="227" t="s">
        <v>1638</v>
      </c>
      <c r="D1020" s="227" t="s">
        <v>1451</v>
      </c>
      <c r="E1020" s="199">
        <v>0</v>
      </c>
      <c r="F1020" s="244">
        <f t="shared" si="31"/>
        <v>0</v>
      </c>
      <c r="G1020" s="172">
        <v>0</v>
      </c>
      <c r="H1020" s="208">
        <f t="shared" si="32"/>
        <v>0</v>
      </c>
    </row>
    <row r="1021" spans="1:8" ht="18" thickBot="1" x14ac:dyDescent="0.45">
      <c r="A1021" s="182"/>
      <c r="B1021" s="220" t="s">
        <v>1329</v>
      </c>
      <c r="C1021" s="227"/>
      <c r="D1021" s="227"/>
      <c r="E1021" s="199">
        <v>0</v>
      </c>
      <c r="F1021" s="244">
        <f t="shared" si="31"/>
        <v>0</v>
      </c>
      <c r="G1021" s="172">
        <v>0</v>
      </c>
      <c r="H1021" s="208">
        <f t="shared" si="32"/>
        <v>0</v>
      </c>
    </row>
    <row r="1022" spans="1:8" ht="18" thickBot="1" x14ac:dyDescent="0.45">
      <c r="A1022" s="182"/>
      <c r="B1022" s="220" t="s">
        <v>1330</v>
      </c>
      <c r="C1022" s="223" t="s">
        <v>1639</v>
      </c>
      <c r="D1022" s="220" t="s">
        <v>1452</v>
      </c>
      <c r="E1022" s="199">
        <v>0</v>
      </c>
      <c r="F1022" s="244">
        <f t="shared" si="31"/>
        <v>0</v>
      </c>
      <c r="G1022" s="172">
        <v>2.2000000000000002</v>
      </c>
      <c r="H1022" s="208">
        <f t="shared" si="32"/>
        <v>2.2000000000000002</v>
      </c>
    </row>
    <row r="1023" spans="1:8" ht="18" thickBot="1" x14ac:dyDescent="0.45">
      <c r="A1023" s="182"/>
      <c r="B1023" s="220" t="s">
        <v>1331</v>
      </c>
      <c r="C1023" s="223" t="s">
        <v>1640</v>
      </c>
      <c r="D1023" s="220" t="s">
        <v>1452</v>
      </c>
      <c r="E1023" s="199">
        <v>0</v>
      </c>
      <c r="F1023" s="244">
        <f t="shared" si="31"/>
        <v>0</v>
      </c>
      <c r="G1023" s="172">
        <v>2.2000000000000002</v>
      </c>
      <c r="H1023" s="208">
        <f t="shared" si="32"/>
        <v>2.2000000000000002</v>
      </c>
    </row>
    <row r="1024" spans="1:8" ht="18" thickBot="1" x14ac:dyDescent="0.45">
      <c r="A1024" s="182"/>
      <c r="B1024" s="220" t="s">
        <v>1332</v>
      </c>
      <c r="C1024" s="223" t="s">
        <v>1641</v>
      </c>
      <c r="D1024" s="220" t="s">
        <v>1452</v>
      </c>
      <c r="E1024" s="199">
        <v>0</v>
      </c>
      <c r="F1024" s="244">
        <f t="shared" si="31"/>
        <v>0</v>
      </c>
      <c r="G1024" s="172">
        <v>2.2000000000000002</v>
      </c>
      <c r="H1024" s="208">
        <f t="shared" si="32"/>
        <v>2.2000000000000002</v>
      </c>
    </row>
    <row r="1025" spans="1:8" ht="18" thickBot="1" x14ac:dyDescent="0.45">
      <c r="A1025" s="182"/>
      <c r="B1025" s="220" t="s">
        <v>1333</v>
      </c>
      <c r="C1025" s="223" t="s">
        <v>1642</v>
      </c>
      <c r="D1025" s="220" t="s">
        <v>1452</v>
      </c>
      <c r="E1025" s="199">
        <v>0</v>
      </c>
      <c r="F1025" s="244">
        <f t="shared" si="31"/>
        <v>0</v>
      </c>
      <c r="G1025" s="172">
        <v>2.2000000000000002</v>
      </c>
      <c r="H1025" s="208">
        <f t="shared" si="32"/>
        <v>2.2000000000000002</v>
      </c>
    </row>
    <row r="1026" spans="1:8" ht="18" thickBot="1" x14ac:dyDescent="0.45">
      <c r="A1026" s="182"/>
      <c r="B1026" s="220" t="s">
        <v>1334</v>
      </c>
      <c r="C1026" s="223" t="s">
        <v>1643</v>
      </c>
      <c r="D1026" s="219" t="s">
        <v>1452</v>
      </c>
      <c r="E1026" s="199">
        <v>0</v>
      </c>
      <c r="F1026" s="244">
        <f t="shared" si="31"/>
        <v>0</v>
      </c>
      <c r="G1026" s="172">
        <v>0</v>
      </c>
      <c r="H1026" s="208">
        <f t="shared" si="32"/>
        <v>0</v>
      </c>
    </row>
    <row r="1027" spans="1:8" ht="18" thickBot="1" x14ac:dyDescent="0.45">
      <c r="A1027" s="182"/>
      <c r="B1027" s="220"/>
      <c r="C1027" s="223"/>
      <c r="D1027" s="219"/>
      <c r="E1027" s="199">
        <v>0</v>
      </c>
      <c r="F1027" s="244">
        <f t="shared" si="31"/>
        <v>0</v>
      </c>
      <c r="G1027" s="172" t="s">
        <v>1658</v>
      </c>
      <c r="H1027" s="208" t="str">
        <f t="shared" si="32"/>
        <v/>
      </c>
    </row>
    <row r="1028" spans="1:8" ht="18" thickBot="1" x14ac:dyDescent="0.45">
      <c r="A1028" s="182"/>
      <c r="B1028" s="220"/>
      <c r="C1028" s="223"/>
      <c r="D1028" s="220"/>
      <c r="E1028" s="199">
        <v>0</v>
      </c>
      <c r="F1028" s="244">
        <f t="shared" si="31"/>
        <v>0</v>
      </c>
      <c r="G1028" s="172" t="s">
        <v>1658</v>
      </c>
      <c r="H1028" s="208" t="str">
        <f t="shared" si="32"/>
        <v/>
      </c>
    </row>
    <row r="1029" spans="1:8" ht="18" thickBot="1" x14ac:dyDescent="0.45">
      <c r="A1029" s="182"/>
      <c r="B1029" s="220" t="s">
        <v>1335</v>
      </c>
      <c r="C1029" s="223" t="s">
        <v>1644</v>
      </c>
      <c r="D1029" s="220" t="s">
        <v>1452</v>
      </c>
      <c r="E1029" s="199">
        <v>0</v>
      </c>
      <c r="F1029" s="244">
        <f t="shared" ref="F1029:F1064" si="33">E1029/(24*31)</f>
        <v>0</v>
      </c>
      <c r="G1029" s="172">
        <v>2.2000000000000002</v>
      </c>
      <c r="H1029" s="208">
        <f t="shared" ref="H1029:H1063" si="34">IFERROR(G1029-F1029, "")</f>
        <v>2.2000000000000002</v>
      </c>
    </row>
    <row r="1030" spans="1:8" ht="18" thickBot="1" x14ac:dyDescent="0.45">
      <c r="A1030" s="182"/>
      <c r="B1030" s="220" t="s">
        <v>1336</v>
      </c>
      <c r="C1030" s="223" t="s">
        <v>1645</v>
      </c>
      <c r="D1030" s="220" t="s">
        <v>1452</v>
      </c>
      <c r="E1030" s="199">
        <v>0</v>
      </c>
      <c r="F1030" s="244">
        <f t="shared" si="33"/>
        <v>0</v>
      </c>
      <c r="G1030" s="172">
        <v>2.2000000000000002</v>
      </c>
      <c r="H1030" s="208">
        <f t="shared" si="34"/>
        <v>2.2000000000000002</v>
      </c>
    </row>
    <row r="1031" spans="1:8" ht="18" thickBot="1" x14ac:dyDescent="0.45">
      <c r="A1031" s="182"/>
      <c r="B1031" s="220" t="s">
        <v>1337</v>
      </c>
      <c r="C1031" s="223" t="s">
        <v>1646</v>
      </c>
      <c r="D1031" s="220" t="s">
        <v>1452</v>
      </c>
      <c r="E1031" s="199">
        <v>0</v>
      </c>
      <c r="F1031" s="244">
        <f t="shared" si="33"/>
        <v>0</v>
      </c>
      <c r="G1031" s="172">
        <v>2.2000000000000002</v>
      </c>
      <c r="H1031" s="208">
        <f t="shared" si="34"/>
        <v>2.2000000000000002</v>
      </c>
    </row>
    <row r="1032" spans="1:8" ht="18" thickBot="1" x14ac:dyDescent="0.45">
      <c r="A1032" s="182"/>
      <c r="B1032" s="182"/>
      <c r="C1032" s="222"/>
      <c r="D1032" s="222" t="s">
        <v>1453</v>
      </c>
      <c r="E1032" s="199">
        <v>0</v>
      </c>
      <c r="F1032" s="244">
        <f t="shared" si="33"/>
        <v>0</v>
      </c>
      <c r="G1032" s="172" t="s">
        <v>1658</v>
      </c>
      <c r="H1032" s="208" t="str">
        <f t="shared" si="34"/>
        <v/>
      </c>
    </row>
    <row r="1033" spans="1:8" ht="18" thickBot="1" x14ac:dyDescent="0.45">
      <c r="A1033" s="182"/>
      <c r="B1033" s="182"/>
      <c r="C1033" s="222"/>
      <c r="D1033" s="222" t="s">
        <v>1454</v>
      </c>
      <c r="E1033" s="199">
        <v>0</v>
      </c>
      <c r="F1033" s="244">
        <f t="shared" si="33"/>
        <v>0</v>
      </c>
      <c r="G1033" s="172" t="s">
        <v>1658</v>
      </c>
      <c r="H1033" s="208" t="str">
        <f t="shared" si="34"/>
        <v/>
      </c>
    </row>
    <row r="1034" spans="1:8" ht="18" thickBot="1" x14ac:dyDescent="0.45">
      <c r="A1034" s="182"/>
      <c r="B1034" s="182"/>
      <c r="C1034" s="222"/>
      <c r="D1034" s="222" t="s">
        <v>1455</v>
      </c>
      <c r="E1034" s="199">
        <v>0</v>
      </c>
      <c r="F1034" s="244">
        <f t="shared" si="33"/>
        <v>0</v>
      </c>
      <c r="G1034" s="172" t="s">
        <v>1659</v>
      </c>
      <c r="H1034" s="208" t="str">
        <f t="shared" si="34"/>
        <v/>
      </c>
    </row>
    <row r="1035" spans="1:8" ht="18" thickBot="1" x14ac:dyDescent="0.45">
      <c r="A1035" s="182"/>
      <c r="B1035" s="182"/>
      <c r="C1035" s="182"/>
      <c r="D1035" s="182"/>
      <c r="E1035" s="199">
        <v>0</v>
      </c>
      <c r="F1035" s="244">
        <f t="shared" si="33"/>
        <v>0</v>
      </c>
      <c r="G1035" s="172" t="s">
        <v>1659</v>
      </c>
      <c r="H1035" s="208" t="str">
        <f t="shared" si="34"/>
        <v/>
      </c>
    </row>
    <row r="1036" spans="1:8" ht="18" thickBot="1" x14ac:dyDescent="0.45">
      <c r="A1036" s="182"/>
      <c r="B1036" s="182"/>
      <c r="C1036" s="182"/>
      <c r="D1036" s="182"/>
      <c r="E1036" s="199">
        <v>0</v>
      </c>
      <c r="F1036" s="244">
        <f t="shared" si="33"/>
        <v>0</v>
      </c>
      <c r="G1036" s="172" t="s">
        <v>1659</v>
      </c>
      <c r="H1036" s="208" t="str">
        <f t="shared" si="34"/>
        <v/>
      </c>
    </row>
    <row r="1037" spans="1:8" ht="18" thickBot="1" x14ac:dyDescent="0.45">
      <c r="A1037" s="182"/>
      <c r="B1037" s="182"/>
      <c r="C1037" s="182"/>
      <c r="D1037" s="182"/>
      <c r="E1037" s="199">
        <v>0</v>
      </c>
      <c r="F1037" s="244">
        <f t="shared" si="33"/>
        <v>0</v>
      </c>
      <c r="G1037" s="172" t="s">
        <v>1659</v>
      </c>
      <c r="H1037" s="208" t="str">
        <f t="shared" si="34"/>
        <v/>
      </c>
    </row>
    <row r="1038" spans="1:8" ht="18" thickBot="1" x14ac:dyDescent="0.45">
      <c r="A1038" s="182"/>
      <c r="B1038" s="182"/>
      <c r="C1038" s="182"/>
      <c r="D1038" s="182"/>
      <c r="E1038" s="199">
        <v>0</v>
      </c>
      <c r="F1038" s="244">
        <f t="shared" si="33"/>
        <v>0</v>
      </c>
      <c r="G1038" s="172" t="s">
        <v>1659</v>
      </c>
      <c r="H1038" s="208" t="str">
        <f t="shared" si="34"/>
        <v/>
      </c>
    </row>
    <row r="1039" spans="1:8" ht="18" thickBot="1" x14ac:dyDescent="0.45">
      <c r="A1039" s="182"/>
      <c r="B1039" s="182"/>
      <c r="C1039" s="182"/>
      <c r="D1039" s="182"/>
      <c r="E1039" s="199">
        <v>0</v>
      </c>
      <c r="F1039" s="244">
        <f t="shared" si="33"/>
        <v>0</v>
      </c>
      <c r="G1039" s="172" t="s">
        <v>1659</v>
      </c>
      <c r="H1039" s="208" t="str">
        <f t="shared" si="34"/>
        <v/>
      </c>
    </row>
    <row r="1040" spans="1:8" ht="18" thickBot="1" x14ac:dyDescent="0.45">
      <c r="A1040" s="182"/>
      <c r="B1040" s="182"/>
      <c r="C1040" s="182"/>
      <c r="D1040" s="182"/>
      <c r="E1040" s="199">
        <v>0</v>
      </c>
      <c r="F1040" s="244">
        <f t="shared" si="33"/>
        <v>0</v>
      </c>
      <c r="G1040" s="172" t="s">
        <v>1659</v>
      </c>
      <c r="H1040" s="208" t="str">
        <f t="shared" si="34"/>
        <v/>
      </c>
    </row>
    <row r="1041" spans="1:8" ht="18" thickBot="1" x14ac:dyDescent="0.45">
      <c r="A1041" s="182"/>
      <c r="B1041" s="182"/>
      <c r="C1041" s="182"/>
      <c r="D1041" s="182"/>
      <c r="E1041" s="199">
        <v>0</v>
      </c>
      <c r="F1041" s="244">
        <f t="shared" si="33"/>
        <v>0</v>
      </c>
      <c r="G1041" s="172" t="s">
        <v>1659</v>
      </c>
      <c r="H1041" s="208" t="str">
        <f t="shared" si="34"/>
        <v/>
      </c>
    </row>
    <row r="1042" spans="1:8" ht="18" thickBot="1" x14ac:dyDescent="0.45">
      <c r="A1042" s="182"/>
      <c r="B1042" s="182"/>
      <c r="C1042" s="182"/>
      <c r="D1042" s="182"/>
      <c r="E1042" s="199">
        <v>0</v>
      </c>
      <c r="F1042" s="244">
        <f t="shared" si="33"/>
        <v>0</v>
      </c>
      <c r="G1042" s="172" t="s">
        <v>1659</v>
      </c>
      <c r="H1042" s="208" t="str">
        <f t="shared" si="34"/>
        <v/>
      </c>
    </row>
    <row r="1043" spans="1:8" ht="18" thickBot="1" x14ac:dyDescent="0.45">
      <c r="A1043" s="182"/>
      <c r="B1043" s="182"/>
      <c r="C1043" s="182"/>
      <c r="D1043" s="182"/>
      <c r="E1043" s="199">
        <v>0</v>
      </c>
      <c r="F1043" s="244">
        <f t="shared" si="33"/>
        <v>0</v>
      </c>
      <c r="G1043" s="172" t="s">
        <v>1659</v>
      </c>
      <c r="H1043" s="208" t="str">
        <f t="shared" si="34"/>
        <v/>
      </c>
    </row>
    <row r="1044" spans="1:8" ht="18" thickBot="1" x14ac:dyDescent="0.45">
      <c r="A1044" s="182"/>
      <c r="B1044" s="182"/>
      <c r="C1044" s="182"/>
      <c r="D1044" s="182"/>
      <c r="E1044" s="199">
        <v>429.2</v>
      </c>
      <c r="F1044" s="244">
        <f t="shared" si="33"/>
        <v>0.57688172043010755</v>
      </c>
      <c r="G1044" s="172" t="s">
        <v>1659</v>
      </c>
      <c r="H1044" s="208" t="str">
        <f t="shared" si="34"/>
        <v/>
      </c>
    </row>
    <row r="1045" spans="1:8" ht="18" thickBot="1" x14ac:dyDescent="0.45">
      <c r="A1045" s="182"/>
      <c r="B1045" s="182"/>
      <c r="C1045" s="182"/>
      <c r="D1045" s="182"/>
      <c r="E1045" s="199">
        <v>131.5</v>
      </c>
      <c r="F1045" s="244">
        <f t="shared" si="33"/>
        <v>0.176747311827957</v>
      </c>
      <c r="G1045" s="172" t="s">
        <v>1659</v>
      </c>
      <c r="H1045" s="208" t="str">
        <f t="shared" si="34"/>
        <v/>
      </c>
    </row>
    <row r="1046" spans="1:8" ht="18" thickBot="1" x14ac:dyDescent="0.45">
      <c r="A1046" s="182"/>
      <c r="B1046" s="182"/>
      <c r="C1046" s="182"/>
      <c r="D1046" s="182"/>
      <c r="E1046" s="199">
        <v>131.5</v>
      </c>
      <c r="F1046" s="244">
        <f t="shared" si="33"/>
        <v>0.176747311827957</v>
      </c>
      <c r="G1046" s="172" t="s">
        <v>1659</v>
      </c>
      <c r="H1046" s="208" t="str">
        <f t="shared" si="34"/>
        <v/>
      </c>
    </row>
    <row r="1047" spans="1:8" ht="18" thickBot="1" x14ac:dyDescent="0.45">
      <c r="A1047" s="182"/>
      <c r="B1047" s="182"/>
      <c r="C1047" s="182"/>
      <c r="D1047" s="182"/>
      <c r="E1047" s="199">
        <v>521.4</v>
      </c>
      <c r="F1047" s="244">
        <f t="shared" si="33"/>
        <v>0.70080645161290323</v>
      </c>
      <c r="G1047" s="172" t="s">
        <v>1659</v>
      </c>
      <c r="H1047" s="208" t="str">
        <f t="shared" si="34"/>
        <v/>
      </c>
    </row>
    <row r="1048" spans="1:8" ht="18" thickBot="1" x14ac:dyDescent="0.45">
      <c r="A1048" s="182"/>
      <c r="B1048" s="182"/>
      <c r="C1048" s="182"/>
      <c r="D1048" s="182"/>
      <c r="E1048" s="199">
        <v>582.9</v>
      </c>
      <c r="F1048" s="244">
        <f t="shared" si="33"/>
        <v>0.78346774193548385</v>
      </c>
      <c r="G1048" s="172" t="s">
        <v>1659</v>
      </c>
      <c r="H1048" s="208" t="str">
        <f t="shared" si="34"/>
        <v/>
      </c>
    </row>
    <row r="1049" spans="1:8" ht="18" thickBot="1" x14ac:dyDescent="0.45">
      <c r="A1049" s="182"/>
      <c r="B1049" s="182"/>
      <c r="C1049" s="182"/>
      <c r="D1049" s="182"/>
      <c r="E1049" s="199">
        <v>339.7</v>
      </c>
      <c r="F1049" s="244">
        <f t="shared" si="33"/>
        <v>0.4565860215053763</v>
      </c>
      <c r="G1049" s="172" t="s">
        <v>1659</v>
      </c>
      <c r="H1049" s="208" t="str">
        <f t="shared" si="34"/>
        <v/>
      </c>
    </row>
    <row r="1050" spans="1:8" ht="18" thickBot="1" x14ac:dyDescent="0.45">
      <c r="A1050" s="182"/>
      <c r="B1050" s="182"/>
      <c r="C1050" s="182"/>
      <c r="D1050" s="182"/>
      <c r="E1050" s="199">
        <v>0</v>
      </c>
      <c r="F1050" s="244">
        <f t="shared" si="33"/>
        <v>0</v>
      </c>
      <c r="G1050" s="172" t="s">
        <v>1659</v>
      </c>
      <c r="H1050" s="208" t="str">
        <f t="shared" si="34"/>
        <v/>
      </c>
    </row>
    <row r="1051" spans="1:8" ht="18" thickBot="1" x14ac:dyDescent="0.45">
      <c r="A1051" s="182"/>
      <c r="B1051" s="182"/>
      <c r="C1051" s="182"/>
      <c r="D1051" s="182"/>
      <c r="E1051" s="199">
        <v>0</v>
      </c>
      <c r="F1051" s="244">
        <f t="shared" si="33"/>
        <v>0</v>
      </c>
      <c r="G1051" s="172" t="s">
        <v>1659</v>
      </c>
      <c r="H1051" s="208" t="str">
        <f t="shared" si="34"/>
        <v/>
      </c>
    </row>
    <row r="1052" spans="1:8" ht="18" thickBot="1" x14ac:dyDescent="0.45">
      <c r="A1052" s="182"/>
      <c r="B1052" s="182"/>
      <c r="C1052" s="182"/>
      <c r="D1052" s="182"/>
      <c r="E1052" s="199">
        <v>0</v>
      </c>
      <c r="F1052" s="244">
        <f t="shared" si="33"/>
        <v>0</v>
      </c>
      <c r="G1052" s="172" t="s">
        <v>1659</v>
      </c>
      <c r="H1052" s="208" t="str">
        <f t="shared" si="34"/>
        <v/>
      </c>
    </row>
    <row r="1053" spans="1:8" ht="18" thickBot="1" x14ac:dyDescent="0.45">
      <c r="A1053" s="182"/>
      <c r="B1053" s="182"/>
      <c r="C1053" s="182"/>
      <c r="D1053" s="182"/>
      <c r="E1053" s="199">
        <v>83.8</v>
      </c>
      <c r="F1053" s="244">
        <f t="shared" si="33"/>
        <v>0.11263440860215053</v>
      </c>
      <c r="G1053" s="172" t="s">
        <v>1659</v>
      </c>
      <c r="H1053" s="208" t="str">
        <f t="shared" si="34"/>
        <v/>
      </c>
    </row>
    <row r="1054" spans="1:8" ht="18" thickBot="1" x14ac:dyDescent="0.45">
      <c r="A1054" s="182"/>
      <c r="B1054" s="182"/>
      <c r="C1054" s="182"/>
      <c r="D1054" s="182"/>
      <c r="E1054" s="199">
        <v>254.8</v>
      </c>
      <c r="F1054" s="244">
        <f t="shared" si="33"/>
        <v>0.34247311827956989</v>
      </c>
      <c r="G1054" s="172" t="s">
        <v>1659</v>
      </c>
      <c r="H1054" s="208" t="str">
        <f t="shared" si="34"/>
        <v/>
      </c>
    </row>
    <row r="1055" spans="1:8" ht="18" thickBot="1" x14ac:dyDescent="0.45">
      <c r="A1055" s="182"/>
      <c r="B1055" s="182"/>
      <c r="C1055" s="182"/>
      <c r="D1055" s="182"/>
      <c r="E1055" s="199">
        <v>70.900000000000006</v>
      </c>
      <c r="F1055" s="244">
        <f t="shared" si="33"/>
        <v>9.5295698924731193E-2</v>
      </c>
      <c r="G1055" s="172" t="s">
        <v>1659</v>
      </c>
      <c r="H1055" s="208" t="str">
        <f t="shared" si="34"/>
        <v/>
      </c>
    </row>
    <row r="1056" spans="1:8" ht="18" thickBot="1" x14ac:dyDescent="0.45">
      <c r="A1056" s="182"/>
      <c r="B1056" s="182"/>
      <c r="C1056" s="182"/>
      <c r="D1056" s="182"/>
      <c r="E1056" s="199">
        <v>0</v>
      </c>
      <c r="F1056" s="244">
        <f t="shared" si="33"/>
        <v>0</v>
      </c>
      <c r="G1056" s="172" t="s">
        <v>1659</v>
      </c>
      <c r="H1056" s="208" t="str">
        <f t="shared" si="34"/>
        <v/>
      </c>
    </row>
    <row r="1057" spans="1:8" ht="18" thickBot="1" x14ac:dyDescent="0.45">
      <c r="A1057" s="182"/>
      <c r="B1057" s="182"/>
      <c r="C1057" s="182"/>
      <c r="D1057" s="182"/>
      <c r="E1057" s="199">
        <v>153.69999999999999</v>
      </c>
      <c r="F1057" s="244">
        <f t="shared" si="33"/>
        <v>0.20658602150537633</v>
      </c>
      <c r="G1057" s="172" t="s">
        <v>1659</v>
      </c>
      <c r="H1057" s="208" t="str">
        <f t="shared" si="34"/>
        <v/>
      </c>
    </row>
    <row r="1058" spans="1:8" ht="18" thickBot="1" x14ac:dyDescent="0.45">
      <c r="A1058" s="182"/>
      <c r="B1058" s="182"/>
      <c r="C1058" s="182"/>
      <c r="D1058" s="182"/>
      <c r="E1058" s="199">
        <v>0</v>
      </c>
      <c r="F1058" s="244">
        <f t="shared" si="33"/>
        <v>0</v>
      </c>
      <c r="G1058" s="172" t="s">
        <v>1659</v>
      </c>
      <c r="H1058" s="208" t="str">
        <f t="shared" si="34"/>
        <v/>
      </c>
    </row>
    <row r="1059" spans="1:8" ht="18" thickBot="1" x14ac:dyDescent="0.45">
      <c r="A1059" s="182"/>
      <c r="B1059" s="182"/>
      <c r="C1059" s="182"/>
      <c r="D1059" s="182"/>
      <c r="E1059" s="199">
        <v>0</v>
      </c>
      <c r="F1059" s="244">
        <f t="shared" si="33"/>
        <v>0</v>
      </c>
      <c r="G1059" s="172" t="s">
        <v>1659</v>
      </c>
      <c r="H1059" s="208" t="str">
        <f t="shared" si="34"/>
        <v/>
      </c>
    </row>
    <row r="1060" spans="1:8" ht="18" thickBot="1" x14ac:dyDescent="0.45">
      <c r="A1060" s="182"/>
      <c r="B1060" s="182"/>
      <c r="C1060" s="182"/>
      <c r="D1060" s="182"/>
      <c r="E1060" s="199">
        <v>220.8</v>
      </c>
      <c r="F1060" s="244">
        <f t="shared" si="33"/>
        <v>0.29677419354838713</v>
      </c>
      <c r="G1060" s="172" t="s">
        <v>1659</v>
      </c>
      <c r="H1060" s="208" t="str">
        <f t="shared" si="34"/>
        <v/>
      </c>
    </row>
    <row r="1061" spans="1:8" ht="18" thickBot="1" x14ac:dyDescent="0.45">
      <c r="A1061" s="182"/>
      <c r="B1061" s="182"/>
      <c r="C1061" s="182"/>
      <c r="D1061" s="182"/>
      <c r="E1061" s="199">
        <v>301.2</v>
      </c>
      <c r="F1061" s="244">
        <f t="shared" si="33"/>
        <v>0.40483870967741936</v>
      </c>
      <c r="G1061" s="172" t="s">
        <v>1659</v>
      </c>
      <c r="H1061" s="208" t="str">
        <f t="shared" si="34"/>
        <v/>
      </c>
    </row>
    <row r="1062" spans="1:8" ht="18" thickBot="1" x14ac:dyDescent="0.45">
      <c r="A1062" s="182"/>
      <c r="B1062" s="182"/>
      <c r="C1062" s="182"/>
      <c r="D1062" s="182"/>
      <c r="E1062" s="199">
        <v>671.9</v>
      </c>
      <c r="F1062" s="244">
        <f t="shared" si="33"/>
        <v>0.90309139784946235</v>
      </c>
      <c r="G1062" s="172" t="s">
        <v>1659</v>
      </c>
      <c r="H1062" s="208" t="str">
        <f t="shared" si="34"/>
        <v/>
      </c>
    </row>
    <row r="1063" spans="1:8" x14ac:dyDescent="0.4">
      <c r="A1063" s="182"/>
      <c r="B1063" s="182"/>
      <c r="C1063" s="182"/>
      <c r="D1063" s="182"/>
      <c r="E1063" s="199">
        <v>788.8</v>
      </c>
      <c r="F1063" s="244">
        <f t="shared" si="33"/>
        <v>1.0602150537634407</v>
      </c>
      <c r="G1063" s="172" t="s">
        <v>1659</v>
      </c>
      <c r="H1063" s="208" t="str">
        <f t="shared" si="34"/>
        <v/>
      </c>
    </row>
    <row r="1064" spans="1:8" x14ac:dyDescent="0.4">
      <c r="E1064" s="200">
        <v>266.10000000000002</v>
      </c>
      <c r="F1064" s="244">
        <f t="shared" si="33"/>
        <v>0.35766129032258065</v>
      </c>
    </row>
  </sheetData>
  <autoFilter ref="A3:I3" xr:uid="{15F1B521-2D36-4A92-8A17-E3B5DD2C4820}"/>
  <phoneticPr fontId="1" type="noConversion"/>
  <conditionalFormatting sqref="E4">
    <cfRule type="expression" priority="1">
      <formula>IF(E4="#N/A","", E4)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17DEE-CD63-4458-AAF7-C1750D64BC80}">
  <sheetPr codeName="Sheet9">
    <tabColor theme="7"/>
  </sheetPr>
  <dimension ref="A1:J6"/>
  <sheetViews>
    <sheetView zoomScaleNormal="100" workbookViewId="0">
      <selection activeCell="A2" sqref="A2:A4"/>
    </sheetView>
  </sheetViews>
  <sheetFormatPr defaultRowHeight="17.399999999999999" x14ac:dyDescent="0.4"/>
  <cols>
    <col min="1" max="1" width="31.69921875" customWidth="1"/>
    <col min="2" max="3" width="18.69921875" customWidth="1"/>
  </cols>
  <sheetData>
    <row r="1" spans="1:10" ht="22.95" customHeight="1" thickBot="1" x14ac:dyDescent="0.45">
      <c r="A1" s="2" t="s">
        <v>84</v>
      </c>
      <c r="B1" s="2" t="s">
        <v>1649</v>
      </c>
      <c r="C1" s="2" t="s">
        <v>260</v>
      </c>
      <c r="J1">
        <v>31</v>
      </c>
    </row>
    <row r="2" spans="1:10" ht="25.05" customHeight="1" thickBot="1" x14ac:dyDescent="0.45">
      <c r="A2" s="292" t="str">
        <f>"Total PowerUsage for Customer: "&amp;Power_Download!U2</f>
        <v>Total PowerUsage for Customer: Sejong</v>
      </c>
      <c r="B2" s="50" t="s">
        <v>1697</v>
      </c>
      <c r="C2" s="254">
        <f>Power_Download!V2</f>
        <v>35.200000000000003</v>
      </c>
      <c r="D2" t="s">
        <v>1705</v>
      </c>
      <c r="E2" t="s">
        <v>1706</v>
      </c>
      <c r="J2">
        <v>18</v>
      </c>
    </row>
    <row r="3" spans="1:10" ht="25.05" customHeight="1" thickBot="1" x14ac:dyDescent="0.45">
      <c r="A3" s="293"/>
      <c r="B3" s="50" t="s">
        <v>1698</v>
      </c>
      <c r="C3" s="254">
        <f>Power_Download!W2</f>
        <v>19.00739247311828</v>
      </c>
      <c r="D3" t="s">
        <v>1707</v>
      </c>
      <c r="J3">
        <v>18</v>
      </c>
    </row>
    <row r="4" spans="1:10" ht="25.05" customHeight="1" thickBot="1" x14ac:dyDescent="0.45">
      <c r="A4" s="294"/>
      <c r="B4" s="50" t="s">
        <v>1699</v>
      </c>
      <c r="C4" s="254">
        <f>Power_Download!X2</f>
        <v>16.192607526881723</v>
      </c>
      <c r="D4" t="s">
        <v>1708</v>
      </c>
    </row>
    <row r="5" spans="1:10" ht="4.95" customHeight="1" x14ac:dyDescent="0.4">
      <c r="A5" s="295" t="s">
        <v>31</v>
      </c>
      <c r="B5" s="296"/>
      <c r="C5" s="297"/>
    </row>
    <row r="6" spans="1:10" ht="4.95" customHeight="1" thickBot="1" x14ac:dyDescent="0.45">
      <c r="A6" s="298"/>
      <c r="B6" s="299"/>
      <c r="C6" s="300"/>
    </row>
  </sheetData>
  <mergeCells count="2">
    <mergeCell ref="A2:A4"/>
    <mergeCell ref="A5:C6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  <vt:lpstr>Temp&amp;Hum_Download</vt:lpstr>
      <vt:lpstr>Temp&amp;Hum_Summary</vt:lpstr>
      <vt:lpstr>Power_Download</vt:lpstr>
      <vt:lpstr>Power_Summary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2024-01-12T06:19:01Z</dcterms:modified>
</cp:coreProperties>
</file>